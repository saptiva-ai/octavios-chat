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ajaware2024\Pictures\INVEX ANALITICS\"/>
    </mc:Choice>
  </mc:AlternateContent>
  <xr:revisionPtr revIDLastSave="0" documentId="13_ncr:1_{785CD01C-450D-4323-87C3-99DEB5E424C0}" xr6:coauthVersionLast="47" xr6:coauthVersionMax="47" xr10:uidLastSave="{00000000-0000-0000-0000-000000000000}"/>
  <bookViews>
    <workbookView xWindow="-110" yWindow="-110" windowWidth="19420" windowHeight="11500" tabRatio="506" xr2:uid="{2D883E8B-5278-CF45-A916-A94EC6C7A539}"/>
  </bookViews>
  <sheets>
    <sheet name="ACUMULADO" sheetId="4" r:id="rId1"/>
    <sheet name="Sheet1" sheetId="2" r:id="rId2"/>
    <sheet name="Sheet2" sheetId="3" r:id="rId3"/>
    <sheet name="CASTIGOS" sheetId="1" r:id="rId4"/>
  </sheets>
  <definedNames>
    <definedName name="_xlnm._FilterDatabase" localSheetId="3" hidden="1">CASTIGOS!$A$1:$R$723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78" i="1" l="1"/>
  <c r="U1778" i="1"/>
  <c r="T1779" i="1"/>
  <c r="U1779" i="1"/>
  <c r="T1780" i="1"/>
  <c r="U1780" i="1"/>
  <c r="T1781" i="1"/>
  <c r="U1781" i="1"/>
  <c r="T1782" i="1"/>
  <c r="U1782" i="1"/>
  <c r="T1783" i="1"/>
  <c r="U1783" i="1"/>
  <c r="T1784" i="1"/>
  <c r="U1784" i="1"/>
  <c r="T1785" i="1"/>
  <c r="U1785" i="1"/>
  <c r="T1786" i="1"/>
  <c r="U1786" i="1"/>
  <c r="T1787" i="1"/>
  <c r="U1787" i="1"/>
  <c r="T1788" i="1"/>
  <c r="U1788" i="1"/>
  <c r="T1789" i="1"/>
  <c r="U1789" i="1"/>
  <c r="T1790" i="1"/>
  <c r="U1790" i="1"/>
  <c r="T1791" i="1"/>
  <c r="U1791" i="1"/>
  <c r="T1792" i="1"/>
  <c r="U1792" i="1"/>
  <c r="T1793" i="1"/>
  <c r="U1793" i="1"/>
  <c r="T1794" i="1"/>
  <c r="U1794" i="1"/>
  <c r="T1795" i="1"/>
  <c r="U1795" i="1"/>
  <c r="T1796" i="1"/>
  <c r="U1796" i="1"/>
  <c r="T1797" i="1"/>
  <c r="U1797" i="1"/>
  <c r="T1798" i="1"/>
  <c r="U1798" i="1"/>
  <c r="T1799" i="1"/>
  <c r="U1799" i="1"/>
  <c r="T1800" i="1"/>
  <c r="U1800" i="1"/>
  <c r="T1801" i="1"/>
  <c r="U1801" i="1"/>
  <c r="T1802" i="1"/>
  <c r="U1802" i="1"/>
  <c r="T1803" i="1"/>
  <c r="U1803" i="1"/>
  <c r="T1804" i="1"/>
  <c r="U1804" i="1"/>
  <c r="T1805" i="1"/>
  <c r="U1805" i="1"/>
  <c r="T1806" i="1"/>
  <c r="U1806" i="1"/>
  <c r="T1807" i="1"/>
  <c r="U1807" i="1"/>
  <c r="T1808" i="1"/>
  <c r="U1808" i="1"/>
  <c r="T1809" i="1"/>
  <c r="U1809" i="1"/>
  <c r="T1810" i="1"/>
  <c r="U1810" i="1"/>
  <c r="T1811" i="1"/>
  <c r="U1811" i="1"/>
  <c r="T1812" i="1"/>
  <c r="U1812" i="1"/>
  <c r="T1813" i="1"/>
  <c r="U1813" i="1"/>
  <c r="T1814" i="1"/>
  <c r="U1814" i="1"/>
  <c r="T1815" i="1"/>
  <c r="U1815" i="1"/>
  <c r="T1816" i="1"/>
  <c r="U1816" i="1"/>
  <c r="T1817" i="1"/>
  <c r="U1817" i="1"/>
  <c r="T1818" i="1"/>
  <c r="U1818" i="1"/>
  <c r="T1819" i="1"/>
  <c r="U1819" i="1"/>
  <c r="T1820" i="1"/>
  <c r="U1820" i="1"/>
  <c r="T1821" i="1"/>
  <c r="U1821" i="1"/>
  <c r="T1822" i="1"/>
  <c r="U1822" i="1"/>
  <c r="T1823" i="1"/>
  <c r="U1823" i="1"/>
  <c r="T1824" i="1"/>
  <c r="U1824" i="1"/>
  <c r="T1825" i="1"/>
  <c r="U1825" i="1"/>
  <c r="T1826" i="1"/>
  <c r="U1826" i="1"/>
  <c r="T1827" i="1"/>
  <c r="U1827" i="1"/>
  <c r="T1828" i="1"/>
  <c r="U1828" i="1"/>
  <c r="T1829" i="1"/>
  <c r="U1829" i="1"/>
  <c r="T1830" i="1"/>
  <c r="U1830" i="1"/>
  <c r="T1831" i="1"/>
  <c r="U1831" i="1"/>
  <c r="T1832" i="1"/>
  <c r="U1832" i="1"/>
  <c r="T1833" i="1"/>
  <c r="U1833" i="1"/>
  <c r="T1834" i="1"/>
  <c r="U1834" i="1"/>
  <c r="T1835" i="1"/>
  <c r="U1835" i="1"/>
  <c r="T1836" i="1"/>
  <c r="U1836" i="1"/>
  <c r="T1837" i="1"/>
  <c r="U1837" i="1"/>
  <c r="T1838" i="1"/>
  <c r="U1838" i="1"/>
  <c r="T1839" i="1"/>
  <c r="U1839" i="1"/>
  <c r="T1840" i="1"/>
  <c r="U1840" i="1"/>
  <c r="T1841" i="1"/>
  <c r="U1841" i="1"/>
  <c r="T1842" i="1"/>
  <c r="U1842" i="1"/>
  <c r="T1843" i="1"/>
  <c r="U1843" i="1"/>
  <c r="T1844" i="1"/>
  <c r="U1844" i="1"/>
  <c r="T1845" i="1"/>
  <c r="U1845" i="1"/>
  <c r="T1846" i="1"/>
  <c r="U1846" i="1"/>
  <c r="T1847" i="1"/>
  <c r="U1847" i="1"/>
  <c r="T1848" i="1"/>
  <c r="U1848" i="1"/>
  <c r="T1849" i="1"/>
  <c r="U1849" i="1"/>
  <c r="T1850" i="1"/>
  <c r="U1850" i="1"/>
  <c r="T1851" i="1"/>
  <c r="U1851" i="1"/>
  <c r="T1852" i="1"/>
  <c r="U1852" i="1"/>
  <c r="T1853" i="1"/>
  <c r="U1853" i="1"/>
  <c r="T1854" i="1"/>
  <c r="U1854" i="1"/>
  <c r="T1855" i="1"/>
  <c r="U1855" i="1"/>
  <c r="T1856" i="1"/>
  <c r="U1856" i="1"/>
  <c r="T1857" i="1"/>
  <c r="U1857" i="1"/>
  <c r="T1858" i="1"/>
  <c r="U1858" i="1"/>
  <c r="T1859" i="1"/>
  <c r="U1859" i="1"/>
  <c r="T1860" i="1"/>
  <c r="U1860" i="1"/>
  <c r="T1861" i="1"/>
  <c r="U1861" i="1"/>
  <c r="T1862" i="1"/>
  <c r="U1862" i="1"/>
  <c r="T1863" i="1"/>
  <c r="U1863" i="1"/>
  <c r="T1864" i="1"/>
  <c r="U1864" i="1"/>
  <c r="T1865" i="1"/>
  <c r="U1865" i="1"/>
  <c r="T1866" i="1"/>
  <c r="U1866" i="1"/>
  <c r="T1867" i="1"/>
  <c r="U1867" i="1"/>
  <c r="T1868" i="1"/>
  <c r="U1868" i="1"/>
  <c r="T1869" i="1"/>
  <c r="U1869" i="1"/>
  <c r="T1870" i="1"/>
  <c r="U1870" i="1"/>
  <c r="T1871" i="1"/>
  <c r="U1871" i="1"/>
  <c r="T1872" i="1"/>
  <c r="U1872" i="1"/>
  <c r="T1873" i="1"/>
  <c r="U1873" i="1"/>
  <c r="T1874" i="1"/>
  <c r="U1874" i="1"/>
  <c r="T1875" i="1"/>
  <c r="U1875" i="1"/>
  <c r="T1876" i="1"/>
  <c r="U1876" i="1"/>
  <c r="T1877" i="1"/>
  <c r="U1877" i="1"/>
  <c r="T1878" i="1"/>
  <c r="U1878" i="1"/>
  <c r="T1879" i="1"/>
  <c r="U1879" i="1"/>
  <c r="T1880" i="1"/>
  <c r="U1880" i="1"/>
  <c r="T1881" i="1"/>
  <c r="U1881" i="1"/>
  <c r="T1882" i="1"/>
  <c r="U1882" i="1"/>
  <c r="T1883" i="1"/>
  <c r="U1883" i="1"/>
  <c r="T1884" i="1"/>
  <c r="U1884" i="1"/>
  <c r="T1885" i="1"/>
  <c r="U1885" i="1"/>
  <c r="T1886" i="1"/>
  <c r="U1886" i="1"/>
  <c r="T1887" i="1"/>
  <c r="U1887" i="1"/>
  <c r="T1888" i="1"/>
  <c r="U1888" i="1"/>
  <c r="T1889" i="1"/>
  <c r="U1889" i="1"/>
  <c r="T1890" i="1"/>
  <c r="U1890" i="1"/>
  <c r="T1891" i="1"/>
  <c r="U1891" i="1"/>
  <c r="T1892" i="1"/>
  <c r="U1892" i="1"/>
  <c r="T1893" i="1"/>
  <c r="U1893" i="1"/>
  <c r="T1894" i="1"/>
  <c r="U1894" i="1"/>
  <c r="T1895" i="1"/>
  <c r="U1895" i="1"/>
  <c r="T1896" i="1"/>
  <c r="U1896" i="1"/>
  <c r="T1897" i="1"/>
  <c r="U1897" i="1"/>
  <c r="T1898" i="1"/>
  <c r="U1898" i="1"/>
  <c r="T1899" i="1"/>
  <c r="U1899" i="1"/>
  <c r="T1900" i="1"/>
  <c r="U1900" i="1"/>
  <c r="T1901" i="1"/>
  <c r="U1901" i="1"/>
  <c r="T1902" i="1"/>
  <c r="U1902" i="1"/>
  <c r="T1903" i="1"/>
  <c r="U1903" i="1"/>
  <c r="T1904" i="1"/>
  <c r="U1904" i="1"/>
  <c r="T1905" i="1"/>
  <c r="U1905" i="1"/>
  <c r="T1906" i="1"/>
  <c r="U1906" i="1"/>
  <c r="T1907" i="1"/>
  <c r="U1907" i="1"/>
  <c r="T1908" i="1"/>
  <c r="U1908" i="1"/>
  <c r="T1909" i="1"/>
  <c r="U1909" i="1"/>
  <c r="T1910" i="1"/>
  <c r="U1910" i="1"/>
  <c r="T1911" i="1"/>
  <c r="U1911" i="1"/>
  <c r="T1912" i="1"/>
  <c r="U1912" i="1"/>
  <c r="T1913" i="1"/>
  <c r="U1913" i="1"/>
  <c r="T1914" i="1"/>
  <c r="U1914" i="1"/>
  <c r="T1915" i="1"/>
  <c r="U1915" i="1"/>
  <c r="T1916" i="1"/>
  <c r="U1916" i="1"/>
  <c r="T1917" i="1"/>
  <c r="U1917" i="1"/>
  <c r="T1918" i="1"/>
  <c r="U1918" i="1"/>
  <c r="T1919" i="1"/>
  <c r="U1919" i="1"/>
  <c r="T1920" i="1"/>
  <c r="U1920" i="1"/>
  <c r="T1921" i="1"/>
  <c r="U1921" i="1"/>
  <c r="T1922" i="1"/>
  <c r="U1922" i="1"/>
  <c r="T1923" i="1"/>
  <c r="U1923" i="1"/>
  <c r="T1924" i="1"/>
  <c r="U1924" i="1"/>
  <c r="T1925" i="1"/>
  <c r="U1925" i="1"/>
  <c r="T1926" i="1"/>
  <c r="U1926" i="1"/>
  <c r="T1927" i="1"/>
  <c r="U1927" i="1"/>
  <c r="T1928" i="1"/>
  <c r="U1928" i="1"/>
  <c r="T1929" i="1"/>
  <c r="U1929" i="1"/>
  <c r="T1930" i="1"/>
  <c r="U1930" i="1"/>
  <c r="T1931" i="1"/>
  <c r="U1931" i="1"/>
  <c r="T1932" i="1"/>
  <c r="U1932" i="1"/>
  <c r="T1933" i="1"/>
  <c r="U1933" i="1"/>
  <c r="T1934" i="1"/>
  <c r="U1934" i="1"/>
  <c r="T1935" i="1"/>
  <c r="U1935" i="1"/>
  <c r="T1936" i="1"/>
  <c r="U1936" i="1"/>
  <c r="T1937" i="1"/>
  <c r="U1937" i="1"/>
  <c r="T1938" i="1"/>
  <c r="U1938" i="1"/>
  <c r="T1939" i="1"/>
  <c r="U1939" i="1"/>
  <c r="T1940" i="1"/>
  <c r="U1940" i="1"/>
  <c r="T1941" i="1"/>
  <c r="U1941" i="1"/>
  <c r="T1942" i="1"/>
  <c r="U1942" i="1"/>
  <c r="T1943" i="1"/>
  <c r="U1943" i="1"/>
  <c r="T1944" i="1"/>
  <c r="U1944" i="1"/>
  <c r="T1945" i="1"/>
  <c r="U1945" i="1"/>
  <c r="T1946" i="1"/>
  <c r="U1946" i="1"/>
  <c r="T1947" i="1"/>
  <c r="U1947" i="1"/>
  <c r="T1948" i="1"/>
  <c r="U1948" i="1"/>
  <c r="T1949" i="1"/>
  <c r="U1949" i="1"/>
  <c r="T1950" i="1"/>
  <c r="U1950" i="1"/>
  <c r="T1951" i="1"/>
  <c r="U1951" i="1"/>
  <c r="T1952" i="1"/>
  <c r="U1952" i="1"/>
  <c r="T1953" i="1"/>
  <c r="U1953" i="1"/>
  <c r="T1954" i="1"/>
  <c r="U1954" i="1"/>
  <c r="T1955" i="1"/>
  <c r="U1955" i="1"/>
  <c r="T1956" i="1"/>
  <c r="U1956" i="1"/>
  <c r="T1957" i="1"/>
  <c r="U1957" i="1"/>
  <c r="T1958" i="1"/>
  <c r="U1958" i="1"/>
  <c r="T1959" i="1"/>
  <c r="U1959" i="1"/>
  <c r="T1960" i="1"/>
  <c r="U1960" i="1"/>
  <c r="T1961" i="1"/>
  <c r="U1961" i="1"/>
  <c r="AF13" i="2"/>
  <c r="AG13" i="2"/>
  <c r="AH13" i="2"/>
  <c r="AI13" i="2"/>
  <c r="AJ13" i="2"/>
  <c r="AK13" i="2"/>
  <c r="AL13" i="2"/>
  <c r="AM13" i="2"/>
  <c r="AN13" i="2"/>
  <c r="AO13" i="2"/>
  <c r="T1732" i="1"/>
  <c r="U1732" i="1"/>
  <c r="T1733" i="1"/>
  <c r="U1733" i="1"/>
  <c r="T1734" i="1"/>
  <c r="U1734" i="1"/>
  <c r="T1735" i="1"/>
  <c r="U1735" i="1"/>
  <c r="T1736" i="1"/>
  <c r="U1736" i="1"/>
  <c r="T1737" i="1"/>
  <c r="U1737" i="1"/>
  <c r="T1738" i="1"/>
  <c r="U1738" i="1"/>
  <c r="T1739" i="1"/>
  <c r="U1739" i="1"/>
  <c r="T1740" i="1"/>
  <c r="U1740" i="1"/>
  <c r="T1741" i="1"/>
  <c r="U1741" i="1"/>
  <c r="T1742" i="1"/>
  <c r="U1742" i="1"/>
  <c r="T1743" i="1"/>
  <c r="U1743" i="1"/>
  <c r="T1744" i="1"/>
  <c r="U1744" i="1"/>
  <c r="T1745" i="1"/>
  <c r="U1745" i="1"/>
  <c r="T1746" i="1"/>
  <c r="U1746" i="1"/>
  <c r="T1747" i="1"/>
  <c r="U1747" i="1"/>
  <c r="T1748" i="1"/>
  <c r="U1748" i="1"/>
  <c r="T1749" i="1"/>
  <c r="U1749" i="1"/>
  <c r="T1750" i="1"/>
  <c r="U1750" i="1"/>
  <c r="T1751" i="1"/>
  <c r="U1751" i="1"/>
  <c r="T1752" i="1"/>
  <c r="U1752" i="1"/>
  <c r="T1753" i="1"/>
  <c r="U1753" i="1"/>
  <c r="T1754" i="1"/>
  <c r="U1754" i="1"/>
  <c r="T1755" i="1"/>
  <c r="U1755" i="1"/>
  <c r="T1756" i="1"/>
  <c r="U1756" i="1"/>
  <c r="T1757" i="1"/>
  <c r="U1757" i="1"/>
  <c r="T1758" i="1"/>
  <c r="U1758" i="1"/>
  <c r="T1759" i="1"/>
  <c r="U1759" i="1"/>
  <c r="T1760" i="1"/>
  <c r="U1760" i="1"/>
  <c r="T1761" i="1"/>
  <c r="U1761" i="1"/>
  <c r="T1762" i="1"/>
  <c r="U1762" i="1"/>
  <c r="T1763" i="1"/>
  <c r="U1763" i="1"/>
  <c r="T1764" i="1"/>
  <c r="U1764" i="1"/>
  <c r="T1765" i="1"/>
  <c r="U1765" i="1"/>
  <c r="T1766" i="1"/>
  <c r="U1766" i="1"/>
  <c r="T1767" i="1"/>
  <c r="U1767" i="1"/>
  <c r="T1768" i="1"/>
  <c r="U1768" i="1"/>
  <c r="T1769" i="1"/>
  <c r="U1769" i="1"/>
  <c r="T1770" i="1"/>
  <c r="U1770" i="1"/>
  <c r="T1771" i="1"/>
  <c r="U1771" i="1"/>
  <c r="T1772" i="1"/>
  <c r="U1772" i="1"/>
  <c r="T1773" i="1"/>
  <c r="U1773" i="1"/>
  <c r="T1774" i="1"/>
  <c r="U1774" i="1"/>
  <c r="T1775" i="1"/>
  <c r="U1775" i="1"/>
  <c r="T1776" i="1"/>
  <c r="U1776" i="1"/>
  <c r="T1777" i="1"/>
  <c r="U1777" i="1"/>
  <c r="T1646" i="1"/>
  <c r="U1646" i="1"/>
  <c r="T1647" i="1"/>
  <c r="U1647" i="1"/>
  <c r="T1648" i="1"/>
  <c r="U1648" i="1"/>
  <c r="T1649" i="1"/>
  <c r="U1649" i="1"/>
  <c r="T1650" i="1"/>
  <c r="U1650" i="1"/>
  <c r="T1651" i="1"/>
  <c r="U1651" i="1"/>
  <c r="T1652" i="1"/>
  <c r="U1652" i="1"/>
  <c r="T1653" i="1"/>
  <c r="U1653" i="1"/>
  <c r="T1654" i="1"/>
  <c r="U1654" i="1"/>
  <c r="T1655" i="1"/>
  <c r="U1655" i="1"/>
  <c r="T1656" i="1"/>
  <c r="U1656" i="1"/>
  <c r="T1657" i="1"/>
  <c r="U1657" i="1"/>
  <c r="T1658" i="1"/>
  <c r="U1658" i="1"/>
  <c r="T1659" i="1"/>
  <c r="U1659" i="1"/>
  <c r="T1660" i="1"/>
  <c r="U1660" i="1"/>
  <c r="T1661" i="1"/>
  <c r="U1661" i="1"/>
  <c r="T1662" i="1"/>
  <c r="U1662" i="1"/>
  <c r="T1663" i="1"/>
  <c r="U1663" i="1"/>
  <c r="T1664" i="1"/>
  <c r="U1664" i="1"/>
  <c r="T1665" i="1"/>
  <c r="U1665" i="1"/>
  <c r="T1666" i="1"/>
  <c r="U1666" i="1"/>
  <c r="T1667" i="1"/>
  <c r="U1667" i="1"/>
  <c r="T1668" i="1"/>
  <c r="U1668" i="1"/>
  <c r="T1669" i="1"/>
  <c r="U1669" i="1"/>
  <c r="T1670" i="1"/>
  <c r="U1670" i="1"/>
  <c r="T1671" i="1"/>
  <c r="U1671" i="1"/>
  <c r="T1672" i="1"/>
  <c r="U1672" i="1"/>
  <c r="T1673" i="1"/>
  <c r="U1673" i="1"/>
  <c r="T1674" i="1"/>
  <c r="U1674" i="1"/>
  <c r="T1675" i="1"/>
  <c r="U1675" i="1"/>
  <c r="T1676" i="1"/>
  <c r="U1676" i="1"/>
  <c r="T1677" i="1"/>
  <c r="U1677" i="1"/>
  <c r="T1678" i="1"/>
  <c r="U1678" i="1"/>
  <c r="T1679" i="1"/>
  <c r="U1679" i="1"/>
  <c r="T1680" i="1"/>
  <c r="U1680" i="1"/>
  <c r="T1681" i="1"/>
  <c r="U1681" i="1"/>
  <c r="T1682" i="1"/>
  <c r="U1682" i="1"/>
  <c r="T1683" i="1"/>
  <c r="U1683" i="1"/>
  <c r="T1684" i="1"/>
  <c r="U1684" i="1"/>
  <c r="T1685" i="1"/>
  <c r="U1685" i="1"/>
  <c r="T1686" i="1"/>
  <c r="U1686" i="1"/>
  <c r="T1687" i="1"/>
  <c r="U1687" i="1"/>
  <c r="T1688" i="1"/>
  <c r="U1688" i="1"/>
  <c r="T1689" i="1"/>
  <c r="U1689" i="1"/>
  <c r="T1690" i="1"/>
  <c r="U1690" i="1"/>
  <c r="T1691" i="1"/>
  <c r="U1691" i="1"/>
  <c r="T1692" i="1"/>
  <c r="U1692" i="1"/>
  <c r="T1693" i="1"/>
  <c r="U1693" i="1"/>
  <c r="T1694" i="1"/>
  <c r="U1694" i="1"/>
  <c r="T1695" i="1"/>
  <c r="U1695" i="1"/>
  <c r="T1696" i="1"/>
  <c r="U1696" i="1"/>
  <c r="T1697" i="1"/>
  <c r="U1697" i="1"/>
  <c r="T1698" i="1"/>
  <c r="U1698" i="1"/>
  <c r="T1699" i="1"/>
  <c r="U1699" i="1"/>
  <c r="T1700" i="1"/>
  <c r="U1700" i="1"/>
  <c r="T1701" i="1"/>
  <c r="U1701" i="1"/>
  <c r="T1702" i="1"/>
  <c r="U1702" i="1"/>
  <c r="T1703" i="1"/>
  <c r="U1703" i="1"/>
  <c r="T1704" i="1"/>
  <c r="U1704" i="1"/>
  <c r="T1705" i="1"/>
  <c r="U1705" i="1"/>
  <c r="T1706" i="1"/>
  <c r="U1706" i="1"/>
  <c r="T1707" i="1"/>
  <c r="U1707" i="1"/>
  <c r="T1708" i="1"/>
  <c r="U1708" i="1"/>
  <c r="T1709" i="1"/>
  <c r="U1709" i="1"/>
  <c r="T1710" i="1"/>
  <c r="U1710" i="1"/>
  <c r="T1711" i="1"/>
  <c r="U1711" i="1"/>
  <c r="T1712" i="1"/>
  <c r="U1712" i="1"/>
  <c r="T1713" i="1"/>
  <c r="U1713" i="1"/>
  <c r="T1714" i="1"/>
  <c r="U1714" i="1"/>
  <c r="T1715" i="1"/>
  <c r="U1715" i="1"/>
  <c r="T1716" i="1"/>
  <c r="U1716" i="1"/>
  <c r="T1717" i="1"/>
  <c r="U1717" i="1"/>
  <c r="T1718" i="1"/>
  <c r="U1718" i="1"/>
  <c r="T1719" i="1"/>
  <c r="U1719" i="1"/>
  <c r="T1720" i="1"/>
  <c r="U1720" i="1"/>
  <c r="T1721" i="1"/>
  <c r="U1721" i="1"/>
  <c r="T1722" i="1"/>
  <c r="U1722" i="1"/>
  <c r="T1723" i="1"/>
  <c r="U1723" i="1"/>
  <c r="T1724" i="1"/>
  <c r="U1724" i="1"/>
  <c r="T1725" i="1"/>
  <c r="U1725" i="1"/>
  <c r="T1726" i="1"/>
  <c r="U1726" i="1"/>
  <c r="T1727" i="1"/>
  <c r="U1727" i="1"/>
  <c r="T1728" i="1"/>
  <c r="U1728" i="1"/>
  <c r="T1729" i="1"/>
  <c r="U1729" i="1"/>
  <c r="T1730" i="1"/>
  <c r="U1730" i="1"/>
  <c r="T1731" i="1"/>
  <c r="U1731" i="1"/>
  <c r="T1640" i="1"/>
  <c r="U1640" i="1"/>
  <c r="T1641" i="1"/>
  <c r="U1641" i="1"/>
  <c r="T1642" i="1"/>
  <c r="U1642" i="1"/>
  <c r="T1643" i="1"/>
  <c r="U1643" i="1"/>
  <c r="T1644" i="1"/>
  <c r="U1644" i="1"/>
  <c r="T1645" i="1"/>
  <c r="U1645" i="1"/>
  <c r="T1548" i="1"/>
  <c r="U1548" i="1"/>
  <c r="T1549" i="1"/>
  <c r="U1549" i="1"/>
  <c r="T1550" i="1"/>
  <c r="U1550" i="1"/>
  <c r="T1551" i="1"/>
  <c r="U1551" i="1"/>
  <c r="T1552" i="1"/>
  <c r="U1552" i="1"/>
  <c r="T1553" i="1"/>
  <c r="U1553" i="1"/>
  <c r="T1554" i="1"/>
  <c r="U1554" i="1"/>
  <c r="T1555" i="1"/>
  <c r="U1555" i="1"/>
  <c r="T1556" i="1"/>
  <c r="U1556" i="1"/>
  <c r="T1557" i="1"/>
  <c r="U1557" i="1"/>
  <c r="T1558" i="1"/>
  <c r="U1558" i="1"/>
  <c r="T1559" i="1"/>
  <c r="U1559" i="1"/>
  <c r="T1560" i="1"/>
  <c r="U1560" i="1"/>
  <c r="T1561" i="1"/>
  <c r="U1561" i="1"/>
  <c r="T1562" i="1"/>
  <c r="U1562" i="1"/>
  <c r="T1563" i="1"/>
  <c r="U1563" i="1"/>
  <c r="T1564" i="1"/>
  <c r="U1564" i="1"/>
  <c r="T1565" i="1"/>
  <c r="U1565" i="1"/>
  <c r="T1566" i="1"/>
  <c r="U1566" i="1"/>
  <c r="T1567" i="1"/>
  <c r="U1567" i="1"/>
  <c r="T1568" i="1"/>
  <c r="U1568" i="1"/>
  <c r="T1569" i="1"/>
  <c r="U1569" i="1"/>
  <c r="T1570" i="1"/>
  <c r="U1570" i="1"/>
  <c r="T1571" i="1"/>
  <c r="U1571" i="1"/>
  <c r="T1572" i="1"/>
  <c r="U1572" i="1"/>
  <c r="T1573" i="1"/>
  <c r="U1573" i="1"/>
  <c r="T1574" i="1"/>
  <c r="U1574" i="1"/>
  <c r="T1575" i="1"/>
  <c r="U1575" i="1"/>
  <c r="T1576" i="1"/>
  <c r="U1576" i="1"/>
  <c r="T1577" i="1"/>
  <c r="U1577" i="1"/>
  <c r="T1578" i="1"/>
  <c r="U1578" i="1"/>
  <c r="T1579" i="1"/>
  <c r="U1579" i="1"/>
  <c r="T1580" i="1"/>
  <c r="U1580" i="1"/>
  <c r="T1581" i="1"/>
  <c r="U1581" i="1"/>
  <c r="T1582" i="1"/>
  <c r="U1582" i="1"/>
  <c r="T1583" i="1"/>
  <c r="U1583" i="1"/>
  <c r="T1584" i="1"/>
  <c r="U1584" i="1"/>
  <c r="T1585" i="1"/>
  <c r="U1585" i="1"/>
  <c r="T1586" i="1"/>
  <c r="U1586" i="1"/>
  <c r="T1587" i="1"/>
  <c r="U1587" i="1"/>
  <c r="T1588" i="1"/>
  <c r="U1588" i="1"/>
  <c r="T1589" i="1"/>
  <c r="U1589" i="1"/>
  <c r="T1590" i="1"/>
  <c r="U1590" i="1"/>
  <c r="T1591" i="1"/>
  <c r="U1591" i="1"/>
  <c r="T1592" i="1"/>
  <c r="U1592" i="1"/>
  <c r="T1593" i="1"/>
  <c r="U1593" i="1"/>
  <c r="T1594" i="1"/>
  <c r="U1594" i="1"/>
  <c r="T1595" i="1"/>
  <c r="U1595" i="1"/>
  <c r="T1596" i="1"/>
  <c r="U1596" i="1"/>
  <c r="T1597" i="1"/>
  <c r="U1597" i="1"/>
  <c r="T1598" i="1"/>
  <c r="U1598" i="1"/>
  <c r="T1599" i="1"/>
  <c r="U1599" i="1"/>
  <c r="T1600" i="1"/>
  <c r="U1600" i="1"/>
  <c r="T1601" i="1"/>
  <c r="U1601" i="1"/>
  <c r="T1602" i="1"/>
  <c r="U1602" i="1"/>
  <c r="T1603" i="1"/>
  <c r="U1603" i="1"/>
  <c r="T1604" i="1"/>
  <c r="U1604" i="1"/>
  <c r="T1605" i="1"/>
  <c r="U1605" i="1"/>
  <c r="T1606" i="1"/>
  <c r="U1606" i="1"/>
  <c r="T1607" i="1"/>
  <c r="U1607" i="1"/>
  <c r="T1608" i="1"/>
  <c r="U1608" i="1"/>
  <c r="T1609" i="1"/>
  <c r="U1609" i="1"/>
  <c r="T1610" i="1"/>
  <c r="U1610" i="1"/>
  <c r="T1611" i="1"/>
  <c r="U1611" i="1"/>
  <c r="T1612" i="1"/>
  <c r="U1612" i="1"/>
  <c r="T1613" i="1"/>
  <c r="U1613" i="1"/>
  <c r="T1614" i="1"/>
  <c r="U1614" i="1"/>
  <c r="T1615" i="1"/>
  <c r="U1615" i="1"/>
  <c r="T1616" i="1"/>
  <c r="U1616" i="1"/>
  <c r="T1617" i="1"/>
  <c r="U1617" i="1"/>
  <c r="T1618" i="1"/>
  <c r="U1618" i="1"/>
  <c r="T1619" i="1"/>
  <c r="U1619" i="1"/>
  <c r="T1620" i="1"/>
  <c r="U1620" i="1"/>
  <c r="T1621" i="1"/>
  <c r="U1621" i="1"/>
  <c r="T1622" i="1"/>
  <c r="U1622" i="1"/>
  <c r="T1623" i="1"/>
  <c r="U1623" i="1"/>
  <c r="T1624" i="1"/>
  <c r="U1624" i="1"/>
  <c r="T1625" i="1"/>
  <c r="U1625" i="1"/>
  <c r="T1626" i="1"/>
  <c r="U1626" i="1"/>
  <c r="T1627" i="1"/>
  <c r="U1627" i="1"/>
  <c r="T1628" i="1"/>
  <c r="U1628" i="1"/>
  <c r="T1629" i="1"/>
  <c r="U1629" i="1"/>
  <c r="T1630" i="1"/>
  <c r="U1630" i="1"/>
  <c r="T1631" i="1"/>
  <c r="U1631" i="1"/>
  <c r="T1632" i="1"/>
  <c r="U1632" i="1"/>
  <c r="T1633" i="1"/>
  <c r="U1633" i="1"/>
  <c r="T1634" i="1"/>
  <c r="U1634" i="1"/>
  <c r="T1635" i="1"/>
  <c r="U1635" i="1"/>
  <c r="T1636" i="1"/>
  <c r="U1636" i="1"/>
  <c r="T1637" i="1"/>
  <c r="U1637" i="1"/>
  <c r="T1638" i="1"/>
  <c r="U1638" i="1"/>
  <c r="T1639" i="1"/>
  <c r="U1639" i="1"/>
  <c r="T1508" i="1"/>
  <c r="U1508" i="1"/>
  <c r="T1509" i="1"/>
  <c r="U1509" i="1"/>
  <c r="T1510" i="1"/>
  <c r="U1510" i="1"/>
  <c r="T1511" i="1"/>
  <c r="U1511" i="1"/>
  <c r="T1512" i="1"/>
  <c r="U1512" i="1"/>
  <c r="T1513" i="1"/>
  <c r="U1513" i="1"/>
  <c r="T1514" i="1"/>
  <c r="U1514" i="1"/>
  <c r="T1515" i="1"/>
  <c r="U1515" i="1"/>
  <c r="T1516" i="1"/>
  <c r="U1516" i="1"/>
  <c r="T1517" i="1"/>
  <c r="U1517" i="1"/>
  <c r="T1518" i="1"/>
  <c r="U1518" i="1"/>
  <c r="T1519" i="1"/>
  <c r="U1519" i="1"/>
  <c r="T1520" i="1"/>
  <c r="U1520" i="1"/>
  <c r="T1521" i="1"/>
  <c r="U1521" i="1"/>
  <c r="T1522" i="1"/>
  <c r="U1522" i="1"/>
  <c r="T1523" i="1"/>
  <c r="U1523" i="1"/>
  <c r="T1524" i="1"/>
  <c r="U1524" i="1"/>
  <c r="T1525" i="1"/>
  <c r="U1525" i="1"/>
  <c r="T1526" i="1"/>
  <c r="U1526" i="1"/>
  <c r="T1527" i="1"/>
  <c r="U1527" i="1"/>
  <c r="T1528" i="1"/>
  <c r="U1528" i="1"/>
  <c r="T1529" i="1"/>
  <c r="U1529" i="1"/>
  <c r="T1530" i="1"/>
  <c r="U1530" i="1"/>
  <c r="T1531" i="1"/>
  <c r="U1531" i="1"/>
  <c r="T1532" i="1"/>
  <c r="U1532" i="1"/>
  <c r="T1533" i="1"/>
  <c r="U1533" i="1"/>
  <c r="T1534" i="1"/>
  <c r="U1534" i="1"/>
  <c r="T1535" i="1"/>
  <c r="U1535" i="1"/>
  <c r="T1536" i="1"/>
  <c r="U1536" i="1"/>
  <c r="T1537" i="1"/>
  <c r="U1537" i="1"/>
  <c r="T1538" i="1"/>
  <c r="U1538" i="1"/>
  <c r="T1539" i="1"/>
  <c r="U1539" i="1"/>
  <c r="T1540" i="1"/>
  <c r="U1540" i="1"/>
  <c r="T1541" i="1"/>
  <c r="U1541" i="1"/>
  <c r="T1542" i="1"/>
  <c r="U1542" i="1"/>
  <c r="T1543" i="1"/>
  <c r="U1543" i="1"/>
  <c r="T1544" i="1"/>
  <c r="U1544" i="1"/>
  <c r="T1545" i="1"/>
  <c r="U1545" i="1"/>
  <c r="T1546" i="1"/>
  <c r="U1546" i="1"/>
  <c r="T1547" i="1"/>
  <c r="U1547" i="1"/>
  <c r="T1502" i="1"/>
  <c r="U1502" i="1"/>
  <c r="T1503" i="1"/>
  <c r="U1503" i="1"/>
  <c r="T1504" i="1"/>
  <c r="U1504" i="1"/>
  <c r="T1505" i="1"/>
  <c r="U1505" i="1"/>
  <c r="T1506" i="1"/>
  <c r="U1506" i="1"/>
  <c r="T1507" i="1"/>
  <c r="U1507" i="1"/>
  <c r="T1460" i="1"/>
  <c r="U1460" i="1"/>
  <c r="T1461" i="1"/>
  <c r="U1461" i="1"/>
  <c r="T1462" i="1"/>
  <c r="U1462" i="1"/>
  <c r="T1463" i="1"/>
  <c r="U1463" i="1"/>
  <c r="T1464" i="1"/>
  <c r="U1464" i="1"/>
  <c r="T1465" i="1"/>
  <c r="U1465" i="1"/>
  <c r="T1466" i="1"/>
  <c r="U1466" i="1"/>
  <c r="T1467" i="1"/>
  <c r="U1467" i="1"/>
  <c r="T1468" i="1"/>
  <c r="U1468" i="1"/>
  <c r="T1469" i="1"/>
  <c r="U1469" i="1"/>
  <c r="T1470" i="1"/>
  <c r="U1470" i="1"/>
  <c r="T1471" i="1"/>
  <c r="U1471" i="1"/>
  <c r="T1472" i="1"/>
  <c r="U1472" i="1"/>
  <c r="T1473" i="1"/>
  <c r="U1473" i="1"/>
  <c r="T1474" i="1"/>
  <c r="U1474" i="1"/>
  <c r="T1475" i="1"/>
  <c r="U1475" i="1"/>
  <c r="T1476" i="1"/>
  <c r="U1476" i="1"/>
  <c r="T1477" i="1"/>
  <c r="U1477" i="1"/>
  <c r="T1478" i="1"/>
  <c r="U1478" i="1"/>
  <c r="T1479" i="1"/>
  <c r="U1479" i="1"/>
  <c r="T1480" i="1"/>
  <c r="U1480" i="1"/>
  <c r="T1481" i="1"/>
  <c r="U1481" i="1"/>
  <c r="T1482" i="1"/>
  <c r="U1482" i="1"/>
  <c r="T1483" i="1"/>
  <c r="U1483" i="1"/>
  <c r="T1484" i="1"/>
  <c r="U1484" i="1"/>
  <c r="T1485" i="1"/>
  <c r="U1485" i="1"/>
  <c r="T1486" i="1"/>
  <c r="U1486" i="1"/>
  <c r="T1487" i="1"/>
  <c r="U1487" i="1"/>
  <c r="T1488" i="1"/>
  <c r="U1488" i="1"/>
  <c r="T1489" i="1"/>
  <c r="U1489" i="1"/>
  <c r="T1490" i="1"/>
  <c r="U1490" i="1"/>
  <c r="T1491" i="1"/>
  <c r="U1491" i="1"/>
  <c r="T1492" i="1"/>
  <c r="U1492" i="1"/>
  <c r="T1493" i="1"/>
  <c r="U1493" i="1"/>
  <c r="T1494" i="1"/>
  <c r="U1494" i="1"/>
  <c r="T1495" i="1"/>
  <c r="U1495" i="1"/>
  <c r="T1496" i="1"/>
  <c r="U1496" i="1"/>
  <c r="T1497" i="1"/>
  <c r="U1497" i="1"/>
  <c r="T1498" i="1"/>
  <c r="U1498" i="1"/>
  <c r="T1499" i="1"/>
  <c r="U1499" i="1"/>
  <c r="T1500" i="1"/>
  <c r="U1500" i="1"/>
  <c r="T1501" i="1"/>
  <c r="U1501" i="1"/>
  <c r="T1456" i="1"/>
  <c r="U1456" i="1"/>
  <c r="T1457" i="1"/>
  <c r="U1457" i="1"/>
  <c r="T1458" i="1"/>
  <c r="U1458" i="1"/>
  <c r="T1459" i="1"/>
  <c r="U1459" i="1"/>
  <c r="T1415" i="1"/>
  <c r="U1415" i="1"/>
  <c r="T1416" i="1"/>
  <c r="U1416" i="1"/>
  <c r="T1417" i="1"/>
  <c r="U1417" i="1"/>
  <c r="T1418" i="1"/>
  <c r="U1418" i="1"/>
  <c r="T1419" i="1"/>
  <c r="U1419" i="1"/>
  <c r="T1420" i="1"/>
  <c r="U1420" i="1"/>
  <c r="T1421" i="1"/>
  <c r="U1421" i="1"/>
  <c r="T1422" i="1"/>
  <c r="U1422" i="1"/>
  <c r="T1423" i="1"/>
  <c r="U1423" i="1"/>
  <c r="T1424" i="1"/>
  <c r="U1424" i="1"/>
  <c r="T1425" i="1"/>
  <c r="U1425" i="1"/>
  <c r="T1426" i="1"/>
  <c r="U1426" i="1"/>
  <c r="T1427" i="1"/>
  <c r="U1427" i="1"/>
  <c r="T1428" i="1"/>
  <c r="U1428" i="1"/>
  <c r="T1429" i="1"/>
  <c r="U1429" i="1"/>
  <c r="T1430" i="1"/>
  <c r="U1430" i="1"/>
  <c r="T1431" i="1"/>
  <c r="U1431" i="1"/>
  <c r="T1432" i="1"/>
  <c r="U1432" i="1"/>
  <c r="T1433" i="1"/>
  <c r="U1433" i="1"/>
  <c r="T1434" i="1"/>
  <c r="U1434" i="1"/>
  <c r="T1435" i="1"/>
  <c r="U1435" i="1"/>
  <c r="T1436" i="1"/>
  <c r="U1436" i="1"/>
  <c r="T1437" i="1"/>
  <c r="U1437" i="1"/>
  <c r="T1438" i="1"/>
  <c r="U1438" i="1"/>
  <c r="T1439" i="1"/>
  <c r="U1439" i="1"/>
  <c r="T1440" i="1"/>
  <c r="U1440" i="1"/>
  <c r="T1441" i="1"/>
  <c r="U1441" i="1"/>
  <c r="T1442" i="1"/>
  <c r="U1442" i="1"/>
  <c r="T1443" i="1"/>
  <c r="U1443" i="1"/>
  <c r="T1444" i="1"/>
  <c r="U1444" i="1"/>
  <c r="T1445" i="1"/>
  <c r="U1445" i="1"/>
  <c r="T1446" i="1"/>
  <c r="U1446" i="1"/>
  <c r="T1447" i="1"/>
  <c r="U1447" i="1"/>
  <c r="T1448" i="1"/>
  <c r="U1448" i="1"/>
  <c r="T1449" i="1"/>
  <c r="U1449" i="1"/>
  <c r="T1450" i="1"/>
  <c r="U1450" i="1"/>
  <c r="T1451" i="1"/>
  <c r="U1451" i="1"/>
  <c r="T1452" i="1"/>
  <c r="U1452" i="1"/>
  <c r="T1453" i="1"/>
  <c r="U1453" i="1"/>
  <c r="T1454" i="1"/>
  <c r="U1454" i="1"/>
  <c r="T1455" i="1"/>
  <c r="U1455" i="1"/>
  <c r="T1410" i="1"/>
  <c r="U1410" i="1"/>
  <c r="T1411" i="1"/>
  <c r="U1411" i="1"/>
  <c r="T1412" i="1"/>
  <c r="U1412" i="1"/>
  <c r="T1413" i="1"/>
  <c r="U1413" i="1"/>
  <c r="T1414" i="1"/>
  <c r="U1414" i="1"/>
  <c r="T1364" i="1"/>
  <c r="U1364" i="1"/>
  <c r="T1365" i="1"/>
  <c r="U1365" i="1"/>
  <c r="T1366" i="1"/>
  <c r="U1366" i="1"/>
  <c r="T1367" i="1"/>
  <c r="U1367" i="1"/>
  <c r="T1368" i="1"/>
  <c r="U1368" i="1"/>
  <c r="T1369" i="1"/>
  <c r="U1369" i="1"/>
  <c r="T1370" i="1"/>
  <c r="U1370" i="1"/>
  <c r="T1371" i="1"/>
  <c r="U1371" i="1"/>
  <c r="T1372" i="1"/>
  <c r="U1372" i="1"/>
  <c r="T1373" i="1"/>
  <c r="U1373" i="1"/>
  <c r="T1374" i="1"/>
  <c r="U1374" i="1"/>
  <c r="T1375" i="1"/>
  <c r="U1375" i="1"/>
  <c r="T1376" i="1"/>
  <c r="U1376" i="1"/>
  <c r="T1377" i="1"/>
  <c r="U1377" i="1"/>
  <c r="T1378" i="1"/>
  <c r="U1378" i="1"/>
  <c r="T1379" i="1"/>
  <c r="U1379" i="1"/>
  <c r="T1380" i="1"/>
  <c r="U1380" i="1"/>
  <c r="T1381" i="1"/>
  <c r="U1381" i="1"/>
  <c r="T1382" i="1"/>
  <c r="U1382" i="1"/>
  <c r="T1383" i="1"/>
  <c r="U1383" i="1"/>
  <c r="T1384" i="1"/>
  <c r="U1384" i="1"/>
  <c r="T1385" i="1"/>
  <c r="U1385" i="1"/>
  <c r="T1386" i="1"/>
  <c r="U1386" i="1"/>
  <c r="T1387" i="1"/>
  <c r="U1387" i="1"/>
  <c r="T1388" i="1"/>
  <c r="U1388" i="1"/>
  <c r="T1389" i="1"/>
  <c r="U1389" i="1"/>
  <c r="T1390" i="1"/>
  <c r="U1390" i="1"/>
  <c r="T1391" i="1"/>
  <c r="U1391" i="1"/>
  <c r="T1392" i="1"/>
  <c r="U1392" i="1"/>
  <c r="T1393" i="1"/>
  <c r="U1393" i="1"/>
  <c r="T1394" i="1"/>
  <c r="U1394" i="1"/>
  <c r="T1395" i="1"/>
  <c r="U1395" i="1"/>
  <c r="T1396" i="1"/>
  <c r="U1396" i="1"/>
  <c r="T1397" i="1"/>
  <c r="U1397" i="1"/>
  <c r="T1398" i="1"/>
  <c r="U1398" i="1"/>
  <c r="T1399" i="1"/>
  <c r="U1399" i="1"/>
  <c r="T1400" i="1"/>
  <c r="U1400" i="1"/>
  <c r="T1401" i="1"/>
  <c r="U1401" i="1"/>
  <c r="T1402" i="1"/>
  <c r="U1402" i="1"/>
  <c r="T1403" i="1"/>
  <c r="U1403" i="1"/>
  <c r="T1404" i="1"/>
  <c r="U1404" i="1"/>
  <c r="T1405" i="1"/>
  <c r="U1405" i="1"/>
  <c r="T1406" i="1"/>
  <c r="U1406" i="1"/>
  <c r="T1407" i="1"/>
  <c r="U1407" i="1"/>
  <c r="T1408" i="1"/>
  <c r="U1408" i="1"/>
  <c r="T1409" i="1"/>
  <c r="U1409" i="1"/>
  <c r="AE13" i="2"/>
  <c r="T1318" i="1"/>
  <c r="U1318" i="1"/>
  <c r="T1319" i="1"/>
  <c r="U1319" i="1"/>
  <c r="T1320" i="1"/>
  <c r="U1320" i="1"/>
  <c r="T1321" i="1"/>
  <c r="U1321" i="1"/>
  <c r="T1322" i="1"/>
  <c r="U1322" i="1"/>
  <c r="T1323" i="1"/>
  <c r="U1323" i="1"/>
  <c r="T1324" i="1"/>
  <c r="U1324" i="1"/>
  <c r="T1325" i="1"/>
  <c r="U1325" i="1"/>
  <c r="T1326" i="1"/>
  <c r="U1326" i="1"/>
  <c r="T1327" i="1"/>
  <c r="U1327" i="1"/>
  <c r="T1328" i="1"/>
  <c r="U1328" i="1"/>
  <c r="T1329" i="1"/>
  <c r="U1329" i="1"/>
  <c r="T1330" i="1"/>
  <c r="U1330" i="1"/>
  <c r="T1331" i="1"/>
  <c r="U1331" i="1"/>
  <c r="T1332" i="1"/>
  <c r="U1332" i="1"/>
  <c r="T1333" i="1"/>
  <c r="U1333" i="1"/>
  <c r="T1334" i="1"/>
  <c r="U1334" i="1"/>
  <c r="T1335" i="1"/>
  <c r="U1335" i="1"/>
  <c r="T1336" i="1"/>
  <c r="U1336" i="1"/>
  <c r="T1337" i="1"/>
  <c r="U1337" i="1"/>
  <c r="T1338" i="1"/>
  <c r="U1338" i="1"/>
  <c r="T1339" i="1"/>
  <c r="U1339" i="1"/>
  <c r="T1340" i="1"/>
  <c r="U1340" i="1"/>
  <c r="T1341" i="1"/>
  <c r="U1341" i="1"/>
  <c r="T1342" i="1"/>
  <c r="U1342" i="1"/>
  <c r="T1343" i="1"/>
  <c r="U1343" i="1"/>
  <c r="T1344" i="1"/>
  <c r="U1344" i="1"/>
  <c r="T1345" i="1"/>
  <c r="U1345" i="1"/>
  <c r="T1346" i="1"/>
  <c r="U1346" i="1"/>
  <c r="T1347" i="1"/>
  <c r="U1347" i="1"/>
  <c r="T1348" i="1"/>
  <c r="U1348" i="1"/>
  <c r="T1349" i="1"/>
  <c r="U1349" i="1"/>
  <c r="T1350" i="1"/>
  <c r="U1350" i="1"/>
  <c r="T1351" i="1"/>
  <c r="U1351" i="1"/>
  <c r="T1352" i="1"/>
  <c r="U1352" i="1"/>
  <c r="T1353" i="1"/>
  <c r="U1353" i="1"/>
  <c r="T1354" i="1"/>
  <c r="U1354" i="1"/>
  <c r="T1355" i="1"/>
  <c r="U1355" i="1"/>
  <c r="T1356" i="1"/>
  <c r="U1356" i="1"/>
  <c r="T1357" i="1"/>
  <c r="U1357" i="1"/>
  <c r="T1358" i="1"/>
  <c r="U1358" i="1"/>
  <c r="T1359" i="1"/>
  <c r="U1359" i="1"/>
  <c r="T1360" i="1"/>
  <c r="U1360" i="1"/>
  <c r="T1361" i="1"/>
  <c r="U1361" i="1"/>
  <c r="T1362" i="1"/>
  <c r="U1362" i="1"/>
  <c r="T1363" i="1"/>
  <c r="U1363" i="1"/>
  <c r="AD13" i="2"/>
  <c r="T1272" i="1"/>
  <c r="U1272" i="1"/>
  <c r="T1273" i="1"/>
  <c r="U1273" i="1"/>
  <c r="T1274" i="1"/>
  <c r="U1274" i="1"/>
  <c r="T1275" i="1"/>
  <c r="U1275" i="1"/>
  <c r="T1276" i="1"/>
  <c r="U1276" i="1"/>
  <c r="T1277" i="1"/>
  <c r="U1277" i="1"/>
  <c r="T1278" i="1"/>
  <c r="U1278" i="1"/>
  <c r="T1279" i="1"/>
  <c r="U1279" i="1"/>
  <c r="T1280" i="1"/>
  <c r="U1280" i="1"/>
  <c r="T1281" i="1"/>
  <c r="U1281" i="1"/>
  <c r="T1282" i="1"/>
  <c r="U1282" i="1"/>
  <c r="T1283" i="1"/>
  <c r="U1283" i="1"/>
  <c r="T1284" i="1"/>
  <c r="U1284" i="1"/>
  <c r="T1285" i="1"/>
  <c r="U1285" i="1"/>
  <c r="T1286" i="1"/>
  <c r="U1286" i="1"/>
  <c r="T1287" i="1"/>
  <c r="U1287" i="1"/>
  <c r="T1288" i="1"/>
  <c r="U1288" i="1"/>
  <c r="T1289" i="1"/>
  <c r="U1289" i="1"/>
  <c r="T1290" i="1"/>
  <c r="U1290" i="1"/>
  <c r="T1291" i="1"/>
  <c r="U1291" i="1"/>
  <c r="T1292" i="1"/>
  <c r="U1292" i="1"/>
  <c r="T1293" i="1"/>
  <c r="U1293" i="1"/>
  <c r="T1294" i="1"/>
  <c r="U1294" i="1"/>
  <c r="T1295" i="1"/>
  <c r="U1295" i="1"/>
  <c r="T1296" i="1"/>
  <c r="U1296" i="1"/>
  <c r="T1297" i="1"/>
  <c r="U1297" i="1"/>
  <c r="T1298" i="1"/>
  <c r="U1298" i="1"/>
  <c r="T1299" i="1"/>
  <c r="U1299" i="1"/>
  <c r="T1300" i="1"/>
  <c r="U1300" i="1"/>
  <c r="T1301" i="1"/>
  <c r="U1301" i="1"/>
  <c r="T1302" i="1"/>
  <c r="U1302" i="1"/>
  <c r="T1303" i="1"/>
  <c r="U1303" i="1"/>
  <c r="T1304" i="1"/>
  <c r="U1304" i="1"/>
  <c r="T1305" i="1"/>
  <c r="U1305" i="1"/>
  <c r="T1306" i="1"/>
  <c r="U1306" i="1"/>
  <c r="T1307" i="1"/>
  <c r="U1307" i="1"/>
  <c r="T1308" i="1"/>
  <c r="U1308" i="1"/>
  <c r="T1309" i="1"/>
  <c r="U1309" i="1"/>
  <c r="T1310" i="1"/>
  <c r="U1310" i="1"/>
  <c r="T1311" i="1"/>
  <c r="U1311" i="1"/>
  <c r="T1312" i="1"/>
  <c r="U1312" i="1"/>
  <c r="T1313" i="1"/>
  <c r="U1313" i="1"/>
  <c r="T1314" i="1"/>
  <c r="U1314" i="1"/>
  <c r="T1315" i="1"/>
  <c r="U1315" i="1"/>
  <c r="T1316" i="1"/>
  <c r="U1316" i="1"/>
  <c r="T1317" i="1"/>
  <c r="U1317" i="1"/>
  <c r="AC13" i="2"/>
  <c r="T1226" i="1"/>
  <c r="U1226" i="1"/>
  <c r="T1227" i="1"/>
  <c r="U1227" i="1"/>
  <c r="T1228" i="1"/>
  <c r="U1228" i="1"/>
  <c r="T1229" i="1"/>
  <c r="U1229" i="1"/>
  <c r="T1230" i="1"/>
  <c r="U1230" i="1"/>
  <c r="T1231" i="1"/>
  <c r="U1231" i="1"/>
  <c r="T1232" i="1"/>
  <c r="U1232" i="1"/>
  <c r="T1233" i="1"/>
  <c r="U1233" i="1"/>
  <c r="T1234" i="1"/>
  <c r="U1234" i="1"/>
  <c r="T1235" i="1"/>
  <c r="U1235" i="1"/>
  <c r="T1236" i="1"/>
  <c r="U1236" i="1"/>
  <c r="T1237" i="1"/>
  <c r="U1237" i="1"/>
  <c r="T1238" i="1"/>
  <c r="U1238" i="1"/>
  <c r="T1239" i="1"/>
  <c r="U1239" i="1"/>
  <c r="T1240" i="1"/>
  <c r="U1240" i="1"/>
  <c r="T1241" i="1"/>
  <c r="U1241" i="1"/>
  <c r="T1242" i="1"/>
  <c r="U1242" i="1"/>
  <c r="T1243" i="1"/>
  <c r="U1243" i="1"/>
  <c r="T1244" i="1"/>
  <c r="U1244" i="1"/>
  <c r="T1245" i="1"/>
  <c r="U1245" i="1"/>
  <c r="T1246" i="1"/>
  <c r="U1246" i="1"/>
  <c r="T1247" i="1"/>
  <c r="U1247" i="1"/>
  <c r="T1248" i="1"/>
  <c r="U1248" i="1"/>
  <c r="T1249" i="1"/>
  <c r="U1249" i="1"/>
  <c r="T1250" i="1"/>
  <c r="U1250" i="1"/>
  <c r="T1251" i="1"/>
  <c r="U1251" i="1"/>
  <c r="T1252" i="1"/>
  <c r="U1252" i="1"/>
  <c r="T1253" i="1"/>
  <c r="U1253" i="1"/>
  <c r="T1254" i="1"/>
  <c r="U1254" i="1"/>
  <c r="T1255" i="1"/>
  <c r="U1255" i="1"/>
  <c r="T1256" i="1"/>
  <c r="U1256" i="1"/>
  <c r="T1257" i="1"/>
  <c r="U1257" i="1"/>
  <c r="T1258" i="1"/>
  <c r="U1258" i="1"/>
  <c r="T1259" i="1"/>
  <c r="U1259" i="1"/>
  <c r="T1260" i="1"/>
  <c r="U1260" i="1"/>
  <c r="T1261" i="1"/>
  <c r="U1261" i="1"/>
  <c r="T1262" i="1"/>
  <c r="U1262" i="1"/>
  <c r="T1263" i="1"/>
  <c r="U1263" i="1"/>
  <c r="T1264" i="1"/>
  <c r="U1264" i="1"/>
  <c r="T1265" i="1"/>
  <c r="U1265" i="1"/>
  <c r="T1266" i="1"/>
  <c r="U1266" i="1"/>
  <c r="T1267" i="1"/>
  <c r="U1267" i="1"/>
  <c r="T1268" i="1"/>
  <c r="U1268" i="1"/>
  <c r="T1269" i="1"/>
  <c r="U1269" i="1"/>
  <c r="T1270" i="1"/>
  <c r="U1270" i="1"/>
  <c r="T1271" i="1"/>
  <c r="U1271" i="1"/>
  <c r="AB13" i="2"/>
  <c r="T1180" i="1"/>
  <c r="U1180" i="1"/>
  <c r="T1181" i="1"/>
  <c r="U1181" i="1"/>
  <c r="T1182" i="1"/>
  <c r="U1182" i="1"/>
  <c r="T1183" i="1"/>
  <c r="U1183" i="1"/>
  <c r="T1184" i="1"/>
  <c r="U1184" i="1"/>
  <c r="T1185" i="1"/>
  <c r="U1185" i="1"/>
  <c r="T1186" i="1"/>
  <c r="U1186" i="1"/>
  <c r="T1187" i="1"/>
  <c r="U1187" i="1"/>
  <c r="T1188" i="1"/>
  <c r="U1188" i="1"/>
  <c r="T1189" i="1"/>
  <c r="U1189" i="1"/>
  <c r="T1190" i="1"/>
  <c r="U1190" i="1"/>
  <c r="T1191" i="1"/>
  <c r="U1191" i="1"/>
  <c r="T1192" i="1"/>
  <c r="U1192" i="1"/>
  <c r="T1193" i="1"/>
  <c r="U1193" i="1"/>
  <c r="T1194" i="1"/>
  <c r="U1194" i="1"/>
  <c r="T1195" i="1"/>
  <c r="U1195" i="1"/>
  <c r="T1196" i="1"/>
  <c r="U1196" i="1"/>
  <c r="T1197" i="1"/>
  <c r="U1197" i="1"/>
  <c r="T1198" i="1"/>
  <c r="U1198" i="1"/>
  <c r="T1199" i="1"/>
  <c r="U1199" i="1"/>
  <c r="T1200" i="1"/>
  <c r="U1200" i="1"/>
  <c r="T1201" i="1"/>
  <c r="U1201" i="1"/>
  <c r="T1202" i="1"/>
  <c r="U1202" i="1"/>
  <c r="T1203" i="1"/>
  <c r="U1203" i="1"/>
  <c r="T1204" i="1"/>
  <c r="U1204" i="1"/>
  <c r="T1205" i="1"/>
  <c r="U1205" i="1"/>
  <c r="T1206" i="1"/>
  <c r="U1206" i="1"/>
  <c r="T1207" i="1"/>
  <c r="U1207" i="1"/>
  <c r="T1208" i="1"/>
  <c r="U1208" i="1"/>
  <c r="T1209" i="1"/>
  <c r="U1209" i="1"/>
  <c r="T1210" i="1"/>
  <c r="U1210" i="1"/>
  <c r="T1211" i="1"/>
  <c r="U1211" i="1"/>
  <c r="T1212" i="1"/>
  <c r="U1212" i="1"/>
  <c r="T1213" i="1"/>
  <c r="U1213" i="1"/>
  <c r="T1214" i="1"/>
  <c r="U1214" i="1"/>
  <c r="T1215" i="1"/>
  <c r="U1215" i="1"/>
  <c r="T1216" i="1"/>
  <c r="U1216" i="1"/>
  <c r="T1217" i="1"/>
  <c r="U1217" i="1"/>
  <c r="T1218" i="1"/>
  <c r="U1218" i="1"/>
  <c r="T1219" i="1"/>
  <c r="U1219" i="1"/>
  <c r="T1220" i="1"/>
  <c r="U1220" i="1"/>
  <c r="T1221" i="1"/>
  <c r="U1221" i="1"/>
  <c r="T1222" i="1"/>
  <c r="U1222" i="1"/>
  <c r="T1223" i="1"/>
  <c r="U1223" i="1"/>
  <c r="T1224" i="1"/>
  <c r="U1224" i="1"/>
  <c r="T1225" i="1"/>
  <c r="U1225" i="1"/>
  <c r="T1134" i="1"/>
  <c r="U1134" i="1"/>
  <c r="T1135" i="1"/>
  <c r="U1135" i="1"/>
  <c r="T1136" i="1"/>
  <c r="U1136" i="1"/>
  <c r="T1137" i="1"/>
  <c r="U1137" i="1"/>
  <c r="T1138" i="1"/>
  <c r="U1138" i="1"/>
  <c r="T1139" i="1"/>
  <c r="U1139" i="1"/>
  <c r="T1140" i="1"/>
  <c r="U1140" i="1"/>
  <c r="T1141" i="1"/>
  <c r="U1141" i="1"/>
  <c r="T1142" i="1"/>
  <c r="U1142" i="1"/>
  <c r="T1143" i="1"/>
  <c r="U1143" i="1"/>
  <c r="T1144" i="1"/>
  <c r="U1144" i="1"/>
  <c r="T1145" i="1"/>
  <c r="U1145" i="1"/>
  <c r="T1146" i="1"/>
  <c r="U1146" i="1"/>
  <c r="T1147" i="1"/>
  <c r="U1147" i="1"/>
  <c r="T1148" i="1"/>
  <c r="U1148" i="1"/>
  <c r="T1149" i="1"/>
  <c r="U1149" i="1"/>
  <c r="T1150" i="1"/>
  <c r="U1150" i="1"/>
  <c r="T1151" i="1"/>
  <c r="U1151" i="1"/>
  <c r="T1152" i="1"/>
  <c r="U1152" i="1"/>
  <c r="T1153" i="1"/>
  <c r="U1153" i="1"/>
  <c r="T1154" i="1"/>
  <c r="U1154" i="1"/>
  <c r="T1155" i="1"/>
  <c r="U1155" i="1"/>
  <c r="T1156" i="1"/>
  <c r="U1156" i="1"/>
  <c r="T1157" i="1"/>
  <c r="U1157" i="1"/>
  <c r="T1158" i="1"/>
  <c r="U1158" i="1"/>
  <c r="T1159" i="1"/>
  <c r="U1159" i="1"/>
  <c r="T1160" i="1"/>
  <c r="U1160" i="1"/>
  <c r="T1161" i="1"/>
  <c r="U1161" i="1"/>
  <c r="T1162" i="1"/>
  <c r="U1162" i="1"/>
  <c r="T1163" i="1"/>
  <c r="U1163" i="1"/>
  <c r="T1164" i="1"/>
  <c r="U1164" i="1"/>
  <c r="T1165" i="1"/>
  <c r="U1165" i="1"/>
  <c r="T1166" i="1"/>
  <c r="U1166" i="1"/>
  <c r="T1167" i="1"/>
  <c r="U1167" i="1"/>
  <c r="T1168" i="1"/>
  <c r="U1168" i="1"/>
  <c r="T1169" i="1"/>
  <c r="U1169" i="1"/>
  <c r="T1170" i="1"/>
  <c r="U1170" i="1"/>
  <c r="T1171" i="1"/>
  <c r="U1171" i="1"/>
  <c r="T1172" i="1"/>
  <c r="U1172" i="1"/>
  <c r="T1173" i="1"/>
  <c r="U1173" i="1"/>
  <c r="T1174" i="1"/>
  <c r="U1174" i="1"/>
  <c r="T1175" i="1"/>
  <c r="U1175" i="1"/>
  <c r="T1176" i="1"/>
  <c r="U1176" i="1"/>
  <c r="T1177" i="1"/>
  <c r="U1177" i="1"/>
  <c r="T1178" i="1"/>
  <c r="U1178" i="1"/>
  <c r="T1179" i="1"/>
  <c r="U1179" i="1"/>
  <c r="AA13" i="2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Y13" i="2"/>
  <c r="Z13" i="2"/>
  <c r="X13" i="2"/>
  <c r="T998" i="1"/>
  <c r="U998" i="1"/>
  <c r="T999" i="1"/>
  <c r="U999" i="1"/>
  <c r="T1000" i="1"/>
  <c r="U1000" i="1"/>
  <c r="T1001" i="1"/>
  <c r="U1001" i="1"/>
  <c r="T1002" i="1"/>
  <c r="U1002" i="1"/>
  <c r="T1003" i="1"/>
  <c r="U1003" i="1"/>
  <c r="T1004" i="1"/>
  <c r="U1004" i="1"/>
  <c r="T1005" i="1"/>
  <c r="U1005" i="1"/>
  <c r="T1006" i="1"/>
  <c r="U1006" i="1"/>
  <c r="T1007" i="1"/>
  <c r="U1007" i="1"/>
  <c r="T1008" i="1"/>
  <c r="U1008" i="1"/>
  <c r="T1009" i="1"/>
  <c r="U1009" i="1"/>
  <c r="T1010" i="1"/>
  <c r="U1010" i="1"/>
  <c r="T1011" i="1"/>
  <c r="U1011" i="1"/>
  <c r="T1012" i="1"/>
  <c r="U1012" i="1"/>
  <c r="T1013" i="1"/>
  <c r="U1013" i="1"/>
  <c r="T1014" i="1"/>
  <c r="U1014" i="1"/>
  <c r="T1015" i="1"/>
  <c r="U1015" i="1"/>
  <c r="T1016" i="1"/>
  <c r="U1016" i="1"/>
  <c r="T1017" i="1"/>
  <c r="U1017" i="1"/>
  <c r="T1018" i="1"/>
  <c r="U1018" i="1"/>
  <c r="T1019" i="1"/>
  <c r="U1019" i="1"/>
  <c r="T1020" i="1"/>
  <c r="U1020" i="1"/>
  <c r="T1021" i="1"/>
  <c r="U1021" i="1"/>
  <c r="T1022" i="1"/>
  <c r="U1022" i="1"/>
  <c r="T1023" i="1"/>
  <c r="U1023" i="1"/>
  <c r="T1024" i="1"/>
  <c r="U1024" i="1"/>
  <c r="T1025" i="1"/>
  <c r="U1025" i="1"/>
  <c r="T1026" i="1"/>
  <c r="U1026" i="1"/>
  <c r="T1027" i="1"/>
  <c r="U1027" i="1"/>
  <c r="T1028" i="1"/>
  <c r="U1028" i="1"/>
  <c r="T1029" i="1"/>
  <c r="U1029" i="1"/>
  <c r="T1030" i="1"/>
  <c r="U1030" i="1"/>
  <c r="T1031" i="1"/>
  <c r="U1031" i="1"/>
  <c r="T1032" i="1"/>
  <c r="U1032" i="1"/>
  <c r="T1033" i="1"/>
  <c r="U1033" i="1"/>
  <c r="T1034" i="1"/>
  <c r="U1034" i="1"/>
  <c r="T1035" i="1"/>
  <c r="U1035" i="1"/>
  <c r="T1036" i="1"/>
  <c r="U1036" i="1"/>
  <c r="T1037" i="1"/>
  <c r="U1037" i="1"/>
  <c r="T1038" i="1"/>
  <c r="U1038" i="1"/>
  <c r="T1039" i="1"/>
  <c r="U1039" i="1"/>
  <c r="T1040" i="1"/>
  <c r="U1040" i="1"/>
  <c r="T1041" i="1"/>
  <c r="U1041" i="1"/>
  <c r="T1042" i="1"/>
  <c r="U1042" i="1"/>
  <c r="T953" i="1"/>
  <c r="U953" i="1"/>
  <c r="T954" i="1"/>
  <c r="U954" i="1"/>
  <c r="T955" i="1"/>
  <c r="U955" i="1"/>
  <c r="T956" i="1"/>
  <c r="U956" i="1"/>
  <c r="T957" i="1"/>
  <c r="U957" i="1"/>
  <c r="T958" i="1"/>
  <c r="U958" i="1"/>
  <c r="T959" i="1"/>
  <c r="U959" i="1"/>
  <c r="T960" i="1"/>
  <c r="U960" i="1"/>
  <c r="T961" i="1"/>
  <c r="U961" i="1"/>
  <c r="T962" i="1"/>
  <c r="U962" i="1"/>
  <c r="T963" i="1"/>
  <c r="U963" i="1"/>
  <c r="T964" i="1"/>
  <c r="U964" i="1"/>
  <c r="T965" i="1"/>
  <c r="U965" i="1"/>
  <c r="T966" i="1"/>
  <c r="U966" i="1"/>
  <c r="T967" i="1"/>
  <c r="U967" i="1"/>
  <c r="T968" i="1"/>
  <c r="U968" i="1"/>
  <c r="T969" i="1"/>
  <c r="U969" i="1"/>
  <c r="T970" i="1"/>
  <c r="U970" i="1"/>
  <c r="T971" i="1"/>
  <c r="U971" i="1"/>
  <c r="T972" i="1"/>
  <c r="U972" i="1"/>
  <c r="T973" i="1"/>
  <c r="U973" i="1"/>
  <c r="T974" i="1"/>
  <c r="U974" i="1"/>
  <c r="T975" i="1"/>
  <c r="U975" i="1"/>
  <c r="T976" i="1"/>
  <c r="U976" i="1"/>
  <c r="T977" i="1"/>
  <c r="U977" i="1"/>
  <c r="T978" i="1"/>
  <c r="U978" i="1"/>
  <c r="T979" i="1"/>
  <c r="U979" i="1"/>
  <c r="T980" i="1"/>
  <c r="U980" i="1"/>
  <c r="T981" i="1"/>
  <c r="U981" i="1"/>
  <c r="T982" i="1"/>
  <c r="U982" i="1"/>
  <c r="T983" i="1"/>
  <c r="U983" i="1"/>
  <c r="T984" i="1"/>
  <c r="U984" i="1"/>
  <c r="T985" i="1"/>
  <c r="U985" i="1"/>
  <c r="T986" i="1"/>
  <c r="U986" i="1"/>
  <c r="T987" i="1"/>
  <c r="U987" i="1"/>
  <c r="T988" i="1"/>
  <c r="U988" i="1"/>
  <c r="T989" i="1"/>
  <c r="U989" i="1"/>
  <c r="T990" i="1"/>
  <c r="U990" i="1"/>
  <c r="T991" i="1"/>
  <c r="U991" i="1"/>
  <c r="T992" i="1"/>
  <c r="U992" i="1"/>
  <c r="T993" i="1"/>
  <c r="U993" i="1"/>
  <c r="T994" i="1"/>
  <c r="U994" i="1"/>
  <c r="T995" i="1"/>
  <c r="U995" i="1"/>
  <c r="T996" i="1"/>
  <c r="U996" i="1"/>
  <c r="T997" i="1"/>
  <c r="U997" i="1"/>
  <c r="W13" i="2"/>
  <c r="V13" i="2"/>
  <c r="T908" i="1"/>
  <c r="U908" i="1"/>
  <c r="T909" i="1"/>
  <c r="U909" i="1"/>
  <c r="T910" i="1"/>
  <c r="U910" i="1"/>
  <c r="T911" i="1"/>
  <c r="U911" i="1"/>
  <c r="T912" i="1"/>
  <c r="U912" i="1"/>
  <c r="T913" i="1"/>
  <c r="U913" i="1"/>
  <c r="T914" i="1"/>
  <c r="U914" i="1"/>
  <c r="T915" i="1"/>
  <c r="U915" i="1"/>
  <c r="T916" i="1"/>
  <c r="U916" i="1"/>
  <c r="T917" i="1"/>
  <c r="U917" i="1"/>
  <c r="T918" i="1"/>
  <c r="U918" i="1"/>
  <c r="T919" i="1"/>
  <c r="U919" i="1"/>
  <c r="T920" i="1"/>
  <c r="U920" i="1"/>
  <c r="T921" i="1"/>
  <c r="U921" i="1"/>
  <c r="T922" i="1"/>
  <c r="U922" i="1"/>
  <c r="T923" i="1"/>
  <c r="U923" i="1"/>
  <c r="T924" i="1"/>
  <c r="U924" i="1"/>
  <c r="T925" i="1"/>
  <c r="U925" i="1"/>
  <c r="T926" i="1"/>
  <c r="U926" i="1"/>
  <c r="T927" i="1"/>
  <c r="U927" i="1"/>
  <c r="T928" i="1"/>
  <c r="U928" i="1"/>
  <c r="T929" i="1"/>
  <c r="U929" i="1"/>
  <c r="T930" i="1"/>
  <c r="U930" i="1"/>
  <c r="T931" i="1"/>
  <c r="U931" i="1"/>
  <c r="T932" i="1"/>
  <c r="U932" i="1"/>
  <c r="T933" i="1"/>
  <c r="U933" i="1"/>
  <c r="T934" i="1"/>
  <c r="U934" i="1"/>
  <c r="T935" i="1"/>
  <c r="U935" i="1"/>
  <c r="T936" i="1"/>
  <c r="U936" i="1"/>
  <c r="T937" i="1"/>
  <c r="U937" i="1"/>
  <c r="T938" i="1"/>
  <c r="U938" i="1"/>
  <c r="T939" i="1"/>
  <c r="U939" i="1"/>
  <c r="T940" i="1"/>
  <c r="U940" i="1"/>
  <c r="T941" i="1"/>
  <c r="U941" i="1"/>
  <c r="T942" i="1"/>
  <c r="U942" i="1"/>
  <c r="T943" i="1"/>
  <c r="U943" i="1"/>
  <c r="T944" i="1"/>
  <c r="U944" i="1"/>
  <c r="T945" i="1"/>
  <c r="U945" i="1"/>
  <c r="T946" i="1"/>
  <c r="U946" i="1"/>
  <c r="T947" i="1"/>
  <c r="U947" i="1"/>
  <c r="T948" i="1"/>
  <c r="U948" i="1"/>
  <c r="T949" i="1"/>
  <c r="U949" i="1"/>
  <c r="T950" i="1"/>
  <c r="U950" i="1"/>
  <c r="T951" i="1"/>
  <c r="U951" i="1"/>
  <c r="T952" i="1"/>
  <c r="U952" i="1"/>
  <c r="U13" i="2"/>
  <c r="U906" i="1"/>
  <c r="U905" i="1"/>
  <c r="U904" i="1"/>
  <c r="U901" i="1"/>
  <c r="U900" i="1"/>
  <c r="U898" i="1"/>
  <c r="U897" i="1"/>
  <c r="U896" i="1"/>
  <c r="U893" i="1"/>
  <c r="U892" i="1"/>
  <c r="U890" i="1"/>
  <c r="U889" i="1"/>
  <c r="U888" i="1"/>
  <c r="U885" i="1"/>
  <c r="U884" i="1"/>
  <c r="U882" i="1"/>
  <c r="U881" i="1"/>
  <c r="U880" i="1"/>
  <c r="U877" i="1"/>
  <c r="U876" i="1"/>
  <c r="U874" i="1"/>
  <c r="U873" i="1"/>
  <c r="U872" i="1"/>
  <c r="U869" i="1"/>
  <c r="U868" i="1"/>
  <c r="U866" i="1"/>
  <c r="U865" i="1"/>
  <c r="U864" i="1"/>
  <c r="T862" i="1"/>
  <c r="U862" i="1"/>
  <c r="T863" i="1"/>
  <c r="U863" i="1"/>
  <c r="T864" i="1"/>
  <c r="T865" i="1"/>
  <c r="T866" i="1"/>
  <c r="T867" i="1"/>
  <c r="U867" i="1"/>
  <c r="T868" i="1"/>
  <c r="T869" i="1"/>
  <c r="T870" i="1"/>
  <c r="U870" i="1"/>
  <c r="T871" i="1"/>
  <c r="U871" i="1"/>
  <c r="T872" i="1"/>
  <c r="T873" i="1"/>
  <c r="T874" i="1"/>
  <c r="T875" i="1"/>
  <c r="U875" i="1"/>
  <c r="T876" i="1"/>
  <c r="T877" i="1"/>
  <c r="T878" i="1"/>
  <c r="U878" i="1"/>
  <c r="T879" i="1"/>
  <c r="U879" i="1"/>
  <c r="T880" i="1"/>
  <c r="T881" i="1"/>
  <c r="T882" i="1"/>
  <c r="T883" i="1"/>
  <c r="U883" i="1"/>
  <c r="T884" i="1"/>
  <c r="T885" i="1"/>
  <c r="T886" i="1"/>
  <c r="U886" i="1"/>
  <c r="T887" i="1"/>
  <c r="U887" i="1"/>
  <c r="T888" i="1"/>
  <c r="T889" i="1"/>
  <c r="T890" i="1"/>
  <c r="T891" i="1"/>
  <c r="U891" i="1"/>
  <c r="T892" i="1"/>
  <c r="T893" i="1"/>
  <c r="T894" i="1"/>
  <c r="U894" i="1"/>
  <c r="T895" i="1"/>
  <c r="U895" i="1"/>
  <c r="T896" i="1"/>
  <c r="T897" i="1"/>
  <c r="T898" i="1"/>
  <c r="T899" i="1"/>
  <c r="U899" i="1"/>
  <c r="T900" i="1"/>
  <c r="T901" i="1"/>
  <c r="T902" i="1"/>
  <c r="U902" i="1"/>
  <c r="T903" i="1"/>
  <c r="U903" i="1"/>
  <c r="T904" i="1"/>
  <c r="T905" i="1"/>
  <c r="T906" i="1"/>
  <c r="T907" i="1"/>
  <c r="U907" i="1"/>
  <c r="T13" i="2"/>
  <c r="T816" i="1"/>
  <c r="U816" i="1"/>
  <c r="T817" i="1"/>
  <c r="U817" i="1"/>
  <c r="T818" i="1"/>
  <c r="U818" i="1"/>
  <c r="T819" i="1"/>
  <c r="U819" i="1"/>
  <c r="T820" i="1"/>
  <c r="U820" i="1"/>
  <c r="T821" i="1"/>
  <c r="U821" i="1"/>
  <c r="T822" i="1"/>
  <c r="U822" i="1"/>
  <c r="T823" i="1"/>
  <c r="U823" i="1"/>
  <c r="T824" i="1"/>
  <c r="U824" i="1"/>
  <c r="T825" i="1"/>
  <c r="U825" i="1"/>
  <c r="T826" i="1"/>
  <c r="U826" i="1"/>
  <c r="T827" i="1"/>
  <c r="U827" i="1"/>
  <c r="T828" i="1"/>
  <c r="U828" i="1"/>
  <c r="T829" i="1"/>
  <c r="U829" i="1"/>
  <c r="T830" i="1"/>
  <c r="U830" i="1"/>
  <c r="T831" i="1"/>
  <c r="U831" i="1"/>
  <c r="T832" i="1"/>
  <c r="U832" i="1"/>
  <c r="T833" i="1"/>
  <c r="U833" i="1"/>
  <c r="T834" i="1"/>
  <c r="U834" i="1"/>
  <c r="T835" i="1"/>
  <c r="U835" i="1"/>
  <c r="T836" i="1"/>
  <c r="U836" i="1"/>
  <c r="T837" i="1"/>
  <c r="U837" i="1"/>
  <c r="T838" i="1"/>
  <c r="U838" i="1"/>
  <c r="T839" i="1"/>
  <c r="U839" i="1"/>
  <c r="T840" i="1"/>
  <c r="U840" i="1"/>
  <c r="T841" i="1"/>
  <c r="U841" i="1"/>
  <c r="T842" i="1"/>
  <c r="U842" i="1"/>
  <c r="T843" i="1"/>
  <c r="U843" i="1"/>
  <c r="T844" i="1"/>
  <c r="U844" i="1"/>
  <c r="T845" i="1"/>
  <c r="U845" i="1"/>
  <c r="T846" i="1"/>
  <c r="U846" i="1"/>
  <c r="T847" i="1"/>
  <c r="U847" i="1"/>
  <c r="T848" i="1"/>
  <c r="U848" i="1"/>
  <c r="T849" i="1"/>
  <c r="U849" i="1"/>
  <c r="T850" i="1"/>
  <c r="U850" i="1"/>
  <c r="T851" i="1"/>
  <c r="U851" i="1"/>
  <c r="T852" i="1"/>
  <c r="U852" i="1"/>
  <c r="T853" i="1"/>
  <c r="U853" i="1"/>
  <c r="T854" i="1"/>
  <c r="U854" i="1"/>
  <c r="T855" i="1"/>
  <c r="U855" i="1"/>
  <c r="T856" i="1"/>
  <c r="U856" i="1"/>
  <c r="T857" i="1"/>
  <c r="U857" i="1"/>
  <c r="T858" i="1"/>
  <c r="U858" i="1"/>
  <c r="T859" i="1"/>
  <c r="U859" i="1"/>
  <c r="T860" i="1"/>
  <c r="U860" i="1"/>
  <c r="T861" i="1"/>
  <c r="U861" i="1"/>
  <c r="S13" i="2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R13" i="2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23" i="1"/>
  <c r="T680" i="1"/>
  <c r="U2" i="1"/>
  <c r="U678" i="1"/>
  <c r="T678" i="1"/>
  <c r="T679" i="1"/>
  <c r="U679" i="1"/>
  <c r="U680" i="1"/>
  <c r="T681" i="1"/>
  <c r="U681" i="1"/>
  <c r="T682" i="1"/>
  <c r="U682" i="1"/>
  <c r="T683" i="1"/>
  <c r="U683" i="1"/>
  <c r="T684" i="1"/>
  <c r="U684" i="1"/>
  <c r="T685" i="1"/>
  <c r="U685" i="1"/>
  <c r="T686" i="1"/>
  <c r="U686" i="1"/>
  <c r="T687" i="1"/>
  <c r="U687" i="1"/>
  <c r="T688" i="1"/>
  <c r="U688" i="1"/>
  <c r="T689" i="1"/>
  <c r="U689" i="1"/>
  <c r="T690" i="1"/>
  <c r="U690" i="1"/>
  <c r="T691" i="1"/>
  <c r="U691" i="1"/>
  <c r="T692" i="1"/>
  <c r="U692" i="1"/>
  <c r="T693" i="1"/>
  <c r="U693" i="1"/>
  <c r="T694" i="1"/>
  <c r="U694" i="1"/>
  <c r="T695" i="1"/>
  <c r="U695" i="1"/>
  <c r="T696" i="1"/>
  <c r="U696" i="1"/>
  <c r="T697" i="1"/>
  <c r="U697" i="1"/>
  <c r="T698" i="1"/>
  <c r="U698" i="1"/>
  <c r="T699" i="1"/>
  <c r="U699" i="1"/>
  <c r="T700" i="1"/>
  <c r="U700" i="1"/>
  <c r="T701" i="1"/>
  <c r="U701" i="1"/>
  <c r="T702" i="1"/>
  <c r="U702" i="1"/>
  <c r="T703" i="1"/>
  <c r="U703" i="1"/>
  <c r="T704" i="1"/>
  <c r="U704" i="1"/>
  <c r="T705" i="1"/>
  <c r="U705" i="1"/>
  <c r="T706" i="1"/>
  <c r="U706" i="1"/>
  <c r="T707" i="1"/>
  <c r="U707" i="1"/>
  <c r="T708" i="1"/>
  <c r="U708" i="1"/>
  <c r="T709" i="1"/>
  <c r="U709" i="1"/>
  <c r="T710" i="1"/>
  <c r="U710" i="1"/>
  <c r="T711" i="1"/>
  <c r="U711" i="1"/>
  <c r="T712" i="1"/>
  <c r="U712" i="1"/>
  <c r="T713" i="1"/>
  <c r="U713" i="1"/>
  <c r="T714" i="1"/>
  <c r="U714" i="1"/>
  <c r="T715" i="1"/>
  <c r="U715" i="1"/>
  <c r="T716" i="1"/>
  <c r="U716" i="1"/>
  <c r="T717" i="1"/>
  <c r="U717" i="1"/>
  <c r="T718" i="1"/>
  <c r="U718" i="1"/>
  <c r="T719" i="1"/>
  <c r="U719" i="1"/>
  <c r="T720" i="1"/>
  <c r="U720" i="1"/>
  <c r="T721" i="1"/>
  <c r="U721" i="1"/>
  <c r="T722" i="1"/>
  <c r="U722" i="1"/>
  <c r="U723" i="1"/>
  <c r="T633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2" i="1"/>
  <c r="P13" i="2"/>
  <c r="Q13" i="2"/>
  <c r="M13" i="2"/>
  <c r="N13" i="2"/>
  <c r="O13" i="2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C13" i="2"/>
  <c r="D13" i="2"/>
  <c r="E13" i="2"/>
  <c r="F13" i="2"/>
  <c r="G13" i="2"/>
  <c r="H13" i="2"/>
  <c r="I13" i="2"/>
  <c r="J13" i="2"/>
  <c r="K13" i="2"/>
  <c r="L13" i="2"/>
  <c r="B13" i="2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<sst xmlns="http://schemas.openxmlformats.org/spreadsheetml/2006/main" count="5170" uniqueCount="133">
  <si>
    <t>AÑO</t>
  </si>
  <si>
    <t>MES</t>
  </si>
  <si>
    <t>FECHA</t>
  </si>
  <si>
    <t>periodo</t>
  </si>
  <si>
    <t>institucion</t>
  </si>
  <si>
    <t>LIB_CASTIGOS_COMERC</t>
  </si>
  <si>
    <t>LIB_CASTIGOS_ACT_EMP</t>
  </si>
  <si>
    <t>LIB_CASTIGOS_ENT_FIN</t>
  </si>
  <si>
    <t>LIB_CASTIGOS_CONSUMO</t>
  </si>
  <si>
    <t>LIB_CASTIGOS_VIVIENDA</t>
  </si>
  <si>
    <t>LIB_OTROS_CASTIGOS</t>
  </si>
  <si>
    <t>QUITAS_COMER</t>
  </si>
  <si>
    <t>QUITAS_ACT_EM</t>
  </si>
  <si>
    <t>QUITAS_ENT_FIN</t>
  </si>
  <si>
    <t>QUITAS_ENT_GUB</t>
  </si>
  <si>
    <t>QUITAS_CONSUMO</t>
  </si>
  <si>
    <t>QUITAS_VIVIENDA</t>
  </si>
  <si>
    <t>QUITAS_OTROS</t>
  </si>
  <si>
    <t>01/01/2022</t>
  </si>
  <si>
    <t>040002</t>
  </si>
  <si>
    <t>040012</t>
  </si>
  <si>
    <t>040014</t>
  </si>
  <si>
    <t>040021</t>
  </si>
  <si>
    <t>040030</t>
  </si>
  <si>
    <t>040036</t>
  </si>
  <si>
    <t>040042</t>
  </si>
  <si>
    <t>040044</t>
  </si>
  <si>
    <t>040058</t>
  </si>
  <si>
    <t>040059</t>
  </si>
  <si>
    <t>040062</t>
  </si>
  <si>
    <t>040072</t>
  </si>
  <si>
    <t>040106</t>
  </si>
  <si>
    <t>040108</t>
  </si>
  <si>
    <t>040110</t>
  </si>
  <si>
    <t>040112</t>
  </si>
  <si>
    <t>040113</t>
  </si>
  <si>
    <t>040126</t>
  </si>
  <si>
    <t>040127</t>
  </si>
  <si>
    <t>040128</t>
  </si>
  <si>
    <t>040130</t>
  </si>
  <si>
    <t>040132</t>
  </si>
  <si>
    <t>040133</t>
  </si>
  <si>
    <t>040136</t>
  </si>
  <si>
    <t>040137</t>
  </si>
  <si>
    <t>040138</t>
  </si>
  <si>
    <t>040139</t>
  </si>
  <si>
    <t>040140</t>
  </si>
  <si>
    <t>040141</t>
  </si>
  <si>
    <t>040143</t>
  </si>
  <si>
    <t>040145</t>
  </si>
  <si>
    <t>040147</t>
  </si>
  <si>
    <t>040149</t>
  </si>
  <si>
    <t>040150</t>
  </si>
  <si>
    <t>040151</t>
  </si>
  <si>
    <t>040152</t>
  </si>
  <si>
    <t>040154</t>
  </si>
  <si>
    <t>040155</t>
  </si>
  <si>
    <t>040156</t>
  </si>
  <si>
    <t>040157</t>
  </si>
  <si>
    <t>040158</t>
  </si>
  <si>
    <t>040159</t>
  </si>
  <si>
    <t>040162</t>
  </si>
  <si>
    <t>040060</t>
  </si>
  <si>
    <t>040160</t>
  </si>
  <si>
    <t>Sum of LIB_CASTIGOS_COMERC</t>
  </si>
  <si>
    <t>Sum of LIB_CASTIGOS_ACT_EMP</t>
  </si>
  <si>
    <t>Values</t>
  </si>
  <si>
    <t>Sum of LIB_CASTIGOS_ENT_FIN</t>
  </si>
  <si>
    <t>Sum of LIB_CASTIGOS_CONSUMO</t>
  </si>
  <si>
    <t>Sum of LIB_CASTIGOS_VIVIENDA</t>
  </si>
  <si>
    <t>Sum of LIB_OTROS_CASTIGOS</t>
  </si>
  <si>
    <t>Sum of QUITAS_COMER</t>
  </si>
  <si>
    <t>Sum of QUITAS_ACT_EM</t>
  </si>
  <si>
    <t>Sum of QUITAS_ENT_FIN</t>
  </si>
  <si>
    <t>Sum of QUITAS_ENT_GUB</t>
  </si>
  <si>
    <t>Sum of QUITAS_CONSUMO</t>
  </si>
  <si>
    <t>Sum of QUITAS_VIVIENDA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</si>
  <si>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</si>
  <si>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</si>
  <si>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</si>
  <si>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</si>
  <si>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</si>
  <si>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</si>
  <si>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</si>
  <si>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</si>
  <si>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</si>
  <si>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</si>
  <si>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</si>
  <si>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01</t>
  </si>
  <si>
    <t>01/01/2023</t>
  </si>
  <si>
    <t>02</t>
  </si>
  <si>
    <t>03</t>
  </si>
  <si>
    <t>04</t>
  </si>
  <si>
    <t>SUMA</t>
  </si>
  <si>
    <t>05</t>
  </si>
  <si>
    <t>06</t>
  </si>
  <si>
    <t>07</t>
  </si>
  <si>
    <t>08</t>
  </si>
  <si>
    <t>09</t>
  </si>
  <si>
    <t>10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</si>
  <si>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</si>
  <si>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</si>
  <si>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</si>
  <si>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</si>
  <si>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</si>
  <si>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</si>
  <si>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</si>
  <si>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</si>
  <si>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</si>
  <si>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</t>
  </si>
  <si>
    <t>11/01/2023</t>
  </si>
  <si>
    <t>01/01/2024</t>
  </si>
  <si>
    <t>12/01/2023</t>
  </si>
  <si>
    <t>12</t>
  </si>
  <si>
    <t>040165</t>
  </si>
  <si>
    <t>02/01/2024</t>
  </si>
  <si>
    <t>03/01/2024</t>
  </si>
  <si>
    <t>04/01/2024</t>
  </si>
  <si>
    <t>05/01/2024</t>
  </si>
  <si>
    <t>06/01/2024</t>
  </si>
  <si>
    <t>07/01/2024</t>
  </si>
  <si>
    <t>Total general</t>
  </si>
  <si>
    <t>Etiquetas de columna</t>
  </si>
  <si>
    <t>Etiquetas de fila</t>
  </si>
  <si>
    <t>08/01/2024</t>
  </si>
  <si>
    <t>09/01/2024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</si>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</sst>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0" fontId="0" fillId="0" borderId="1" xfId="0" applyBorder="1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49" fontId="0" fillId="0" borderId="0" xfId="0" quotePrefix="1" applyNumberFormat="1"/>
    <xf numFmtId="14" fontId="0" fillId="0" borderId="0" xfId="0" quotePrefix="1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8"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0000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jaware2024" refreshedDate="45916.459099537038" createdVersion="8" refreshedVersion="8" minRefreshableVersion="3" recordCount="1960" xr:uid="{4DAB911B-2B3E-49AA-B071-70BBD542D788}">
  <cacheSource type="worksheet">
    <worksheetSource ref="A1:R1961" sheet="CASTIGOS"/>
  </cacheSource>
  <cacheFields count="18">
    <cacheField name="AÑO" numFmtId="0">
      <sharedItems containsMixedTypes="1" containsNumber="1" containsInteger="1" minValue="2023" maxValue="2025"/>
    </cacheField>
    <cacheField name="MES" numFmtId="0">
      <sharedItems containsMixedTypes="1" containsNumber="1" containsInteger="1" minValue="10" maxValue="12"/>
    </cacheField>
    <cacheField name="FECHA" numFmtId="0">
      <sharedItems containsDate="1" containsMixedTypes="1" minDate="2024-01-10T00:00:00" maxDate="2024-01-13T00:00:00"/>
    </cacheField>
    <cacheField name="periodo" numFmtId="0">
      <sharedItems containsSemiMixedTypes="0" containsString="0" containsNumber="1" containsInteger="1" minValue="202201" maxValue="202507" count="43">
        <n v="202201"/>
        <n v="202202"/>
        <n v="202203"/>
        <n v="202204"/>
        <n v="202205"/>
        <n v="202206"/>
        <n v="202207"/>
        <n v="202208"/>
        <n v="202209"/>
        <n v="202210"/>
        <n v="202211"/>
        <n v="202212"/>
        <n v="202301"/>
        <n v="202302"/>
        <n v="202303"/>
        <n v="202304"/>
        <n v="202305"/>
        <n v="202306"/>
        <n v="202307"/>
        <n v="202308"/>
        <n v="202309"/>
        <n v="202310"/>
        <n v="202311"/>
        <n v="202312"/>
        <n v="202401"/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</sharedItems>
    </cacheField>
    <cacheField name="institucion" numFmtId="0">
      <sharedItems containsMixedTypes="1" containsNumber="1" containsInteger="1" minValue="5" maxValue="5" count="47">
        <n v="5"/>
        <s v="040002"/>
        <s v="040012"/>
        <s v="040014"/>
        <s v="040021"/>
        <s v="040030"/>
        <s v="040036"/>
        <s v="040042"/>
        <s v="040044"/>
        <s v="040058"/>
        <s v="040059"/>
        <s v="040062"/>
        <s v="040072"/>
        <s v="040106"/>
        <s v="040108"/>
        <s v="040110"/>
        <s v="040112"/>
        <s v="040113"/>
        <s v="040126"/>
        <s v="040127"/>
        <s v="040128"/>
        <s v="040130"/>
        <s v="040132"/>
        <s v="040133"/>
        <s v="040136"/>
        <s v="040137"/>
        <s v="040138"/>
        <s v="040139"/>
        <s v="040140"/>
        <s v="040141"/>
        <s v="040143"/>
        <s v="040145"/>
        <s v="040147"/>
        <s v="040149"/>
        <s v="040150"/>
        <s v="040151"/>
        <s v="040152"/>
        <s v="040154"/>
        <s v="040155"/>
        <s v="040156"/>
        <s v="040157"/>
        <s v="040158"/>
        <s v="040159"/>
        <s v="040162"/>
        <s v="040060"/>
        <s v="040160"/>
        <s v="040165"/>
      </sharedItems>
    </cacheField>
    <cacheField name="LIB_CASTIGOS_COMERC" numFmtId="0">
      <sharedItems containsSemiMixedTypes="0" containsString="0" containsNumber="1" minValue="0" maxValue="5311.4058753100007"/>
    </cacheField>
    <cacheField name="LIB_CASTIGOS_ACT_EMP" numFmtId="0">
      <sharedItems containsSemiMixedTypes="0" containsString="0" containsNumber="1" minValue="0" maxValue="13116.772697280001"/>
    </cacheField>
    <cacheField name="LIB_CASTIGOS_ENT_FIN" numFmtId="0">
      <sharedItems containsSemiMixedTypes="0" containsString="0" containsNumber="1" minValue="0" maxValue="616.22191054999996"/>
    </cacheField>
    <cacheField name="LIB_CASTIGOS_CONSUMO" numFmtId="0">
      <sharedItems containsSemiMixedTypes="0" containsString="0" containsNumber="1" minValue="0" maxValue="11444.575652540001"/>
    </cacheField>
    <cacheField name="LIB_CASTIGOS_VIVIENDA" numFmtId="0">
      <sharedItems containsSemiMixedTypes="0" containsString="0" containsNumber="1" minValue="-0.16657131" maxValue="1387.6083644100001"/>
    </cacheField>
    <cacheField name="LIB_OTROS_CASTIGOS" numFmtId="0">
      <sharedItems containsSemiMixedTypes="0" containsString="0" containsNumber="1" minValue="0" maxValue="285.00021155000002"/>
    </cacheField>
    <cacheField name="QUITAS_COMER" numFmtId="0">
      <sharedItems containsSemiMixedTypes="0" containsString="0" containsNumber="1" minValue="0" maxValue="397.56234017000003"/>
    </cacheField>
    <cacheField name="QUITAS_ACT_EM" numFmtId="0">
      <sharedItems containsSemiMixedTypes="0" containsString="0" containsNumber="1" minValue="0" maxValue="397.56232217000002"/>
    </cacheField>
    <cacheField name="QUITAS_ENT_FIN" numFmtId="0">
      <sharedItems containsSemiMixedTypes="0" containsString="0" containsNumber="1" minValue="0" maxValue="213.71285865999999"/>
    </cacheField>
    <cacheField name="QUITAS_ENT_GUB" numFmtId="0">
      <sharedItems containsSemiMixedTypes="0" containsString="0" containsNumber="1" minValue="0" maxValue="178.18470650999998"/>
    </cacheField>
    <cacheField name="QUITAS_CONSUMO" numFmtId="0">
      <sharedItems containsSemiMixedTypes="0" containsString="0" containsNumber="1" minValue="0" maxValue="246.98405065"/>
    </cacheField>
    <cacheField name="QUITAS_VIVIENDA" numFmtId="0">
      <sharedItems containsSemiMixedTypes="0" containsString="0" containsNumber="1" minValue="0" maxValue="181.98144044999998"/>
    </cacheField>
    <cacheField name="QUITAS_OTROS" numFmtId="0">
      <sharedItems containsSemiMixedTypes="0" containsString="0" containsNumber="1" minValue="0" maxValue="204.839807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0">
  <r>
    <s v="2022"/>
    <s v="01"/>
    <s v="01/01/2022"/>
    <x v="0"/>
    <x v="0"/>
    <n v="1296.7465500899998"/>
    <n v="1293.8129218399999"/>
    <n v="2.9336282499999999"/>
    <n v="4770.9979499900001"/>
    <n v="639.11212650999994"/>
    <n v="41.669198000000002"/>
    <n v="0.27071600000000001"/>
    <n v="0.27071600000000001"/>
    <n v="0"/>
    <n v="0"/>
    <n v="34.137324"/>
    <n v="33.503212449999999"/>
    <n v="0"/>
  </r>
  <r>
    <s v="2022"/>
    <s v="01"/>
    <s v="01/01/2022"/>
    <x v="0"/>
    <x v="1"/>
    <n v="391.30911300000002"/>
    <n v="391.30911300000002"/>
    <n v="0"/>
    <n v="352.21699799999999"/>
    <n v="95.253043000000005"/>
    <n v="41.636284000000003"/>
    <n v="0"/>
    <n v="0"/>
    <n v="0"/>
    <n v="0"/>
    <n v="0"/>
    <n v="0"/>
    <n v="0"/>
  </r>
  <r>
    <s v="2022"/>
    <s v="01"/>
    <s v="01/01/2022"/>
    <x v="0"/>
    <x v="2"/>
    <n v="182.59547699999999"/>
    <n v="182.59547699999999"/>
    <n v="0"/>
    <n v="1829.9934531099998"/>
    <n v="203.47405232"/>
    <n v="0"/>
    <n v="0"/>
    <n v="0"/>
    <n v="0"/>
    <n v="0"/>
    <n v="0"/>
    <n v="0"/>
    <n v="0"/>
  </r>
  <r>
    <s v="2022"/>
    <s v="01"/>
    <s v="01/01/2022"/>
    <x v="0"/>
    <x v="3"/>
    <n v="366.50569300000001"/>
    <n v="366.50569300000001"/>
    <n v="0"/>
    <n v="297.34971999999999"/>
    <n v="105.822627"/>
    <n v="0"/>
    <n v="0"/>
    <n v="0"/>
    <n v="0"/>
    <n v="0"/>
    <n v="0"/>
    <n v="0"/>
    <n v="0"/>
  </r>
  <r>
    <s v="2022"/>
    <s v="01"/>
    <s v="01/01/2022"/>
    <x v="0"/>
    <x v="4"/>
    <n v="117.385671"/>
    <n v="117.385671"/>
    <n v="0"/>
    <n v="555.77741000000003"/>
    <n v="8.9664249999999992"/>
    <n v="0"/>
    <n v="0"/>
    <n v="0"/>
    <n v="0"/>
    <n v="0"/>
    <n v="20.442299999999999"/>
    <n v="13.980314999999999"/>
    <n v="0"/>
  </r>
  <r>
    <s v="2022"/>
    <s v="01"/>
    <s v="01/01/2022"/>
    <x v="0"/>
    <x v="5"/>
    <n v="3.55618984"/>
    <n v="3.55618984"/>
    <n v="0"/>
    <n v="14.317032939999999"/>
    <n v="7.0067392800000006"/>
    <n v="0"/>
    <n v="0"/>
    <n v="0"/>
    <n v="0"/>
    <n v="0"/>
    <n v="0"/>
    <n v="0.46812545"/>
    <n v="0"/>
  </r>
  <r>
    <s v="2022"/>
    <s v="01"/>
    <s v="01/01/2022"/>
    <x v="0"/>
    <x v="6"/>
    <n v="0"/>
    <n v="0"/>
    <n v="0"/>
    <n v="5.597728"/>
    <n v="6.2279000000000001E-2"/>
    <n v="0"/>
    <n v="0"/>
    <n v="0"/>
    <n v="0"/>
    <n v="0"/>
    <n v="0"/>
    <n v="0"/>
    <n v="0"/>
  </r>
  <r>
    <s v="2022"/>
    <s v="01"/>
    <s v="01/01/2022"/>
    <x v="0"/>
    <x v="7"/>
    <n v="0.457148"/>
    <n v="0.457148"/>
    <n v="0"/>
    <n v="0.164079"/>
    <n v="0"/>
    <n v="3.2913999999999999E-2"/>
    <n v="0"/>
    <n v="0"/>
    <n v="0"/>
    <n v="0"/>
    <n v="0"/>
    <n v="0"/>
    <n v="0"/>
  </r>
  <r>
    <s v="2022"/>
    <s v="01"/>
    <s v="01/01/2022"/>
    <x v="0"/>
    <x v="8"/>
    <n v="6.8139139999999996"/>
    <n v="6.8139139999999996"/>
    <n v="0"/>
    <n v="152.94596100000001"/>
    <n v="0"/>
    <n v="0"/>
    <n v="0.27071600000000001"/>
    <n v="0.27071600000000001"/>
    <n v="0"/>
    <n v="0"/>
    <n v="12.688641000000001"/>
    <n v="19.054772"/>
    <n v="0"/>
  </r>
  <r>
    <s v="2022"/>
    <s v="01"/>
    <s v="01/01/2022"/>
    <x v="0"/>
    <x v="9"/>
    <n v="10.615907"/>
    <n v="10.615907"/>
    <n v="0"/>
    <n v="13.335493"/>
    <n v="0"/>
    <n v="0"/>
    <n v="0"/>
    <n v="0"/>
    <n v="0"/>
    <n v="0"/>
    <n v="0"/>
    <n v="0"/>
    <n v="0"/>
  </r>
  <r>
    <s v="2022"/>
    <s v="01"/>
    <s v="01/01/2022"/>
    <x v="0"/>
    <x v="10"/>
    <n v="0"/>
    <n v="0"/>
    <n v="0"/>
    <n v="28.876581999999999"/>
    <n v="0"/>
    <n v="0"/>
    <n v="0"/>
    <n v="0"/>
    <n v="0"/>
    <n v="0"/>
    <n v="0"/>
    <n v="0"/>
    <n v="0"/>
  </r>
  <r>
    <s v="2022"/>
    <s v="01"/>
    <s v="01/01/2022"/>
    <x v="0"/>
    <x v="11"/>
    <n v="6.9119789999999997"/>
    <n v="6.9119789999999997"/>
    <n v="0"/>
    <n v="55.651857999999997"/>
    <n v="0.13624"/>
    <n v="0"/>
    <n v="0"/>
    <n v="0"/>
    <n v="0"/>
    <n v="0"/>
    <n v="0"/>
    <n v="0"/>
    <n v="0"/>
  </r>
  <r>
    <s v="2022"/>
    <s v="01"/>
    <s v="01/01/2022"/>
    <x v="0"/>
    <x v="12"/>
    <n v="202.98479850000001"/>
    <n v="202.98479850000001"/>
    <n v="0"/>
    <n v="758.95794341999999"/>
    <n v="217.54231605000001"/>
    <n v="0"/>
    <n v="0"/>
    <n v="0"/>
    <n v="0"/>
    <n v="0"/>
    <n v="0"/>
    <n v="0"/>
    <n v="0"/>
  </r>
  <r>
    <s v="2022"/>
    <s v="01"/>
    <s v="01/01/2022"/>
    <x v="0"/>
    <x v="13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14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15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16"/>
    <n v="2.3732070000000001E-2"/>
    <n v="2.3732070000000001E-2"/>
    <n v="0"/>
    <n v="0"/>
    <n v="0"/>
    <n v="0"/>
    <n v="0"/>
    <n v="0"/>
    <n v="0"/>
    <n v="0"/>
    <n v="0"/>
    <n v="0"/>
    <n v="0"/>
  </r>
  <r>
    <s v="2022"/>
    <s v="01"/>
    <s v="01/01/2022"/>
    <x v="0"/>
    <x v="17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18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19"/>
    <n v="0"/>
    <n v="0"/>
    <n v="0"/>
    <n v="542.06877173999999"/>
    <n v="2.248725E-2"/>
    <n v="0"/>
    <n v="0"/>
    <n v="0"/>
    <n v="0"/>
    <n v="0"/>
    <n v="0"/>
    <n v="0"/>
    <n v="0"/>
  </r>
  <r>
    <s v="2022"/>
    <s v="01"/>
    <s v="01/01/2022"/>
    <x v="0"/>
    <x v="20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21"/>
    <n v="0"/>
    <n v="0"/>
    <n v="0"/>
    <n v="102.010527"/>
    <n v="0"/>
    <n v="0"/>
    <n v="0"/>
    <n v="0"/>
    <n v="0"/>
    <n v="0"/>
    <n v="0.17432700000000001"/>
    <n v="0"/>
    <n v="0"/>
  </r>
  <r>
    <s v="2022"/>
    <s v="01"/>
    <s v="01/01/2022"/>
    <x v="0"/>
    <x v="22"/>
    <n v="2.4981369999999998"/>
    <n v="2.4981369999999998"/>
    <n v="0"/>
    <n v="0.31575599999999998"/>
    <n v="0"/>
    <n v="0"/>
    <n v="0"/>
    <n v="0"/>
    <n v="0"/>
    <n v="0"/>
    <n v="0"/>
    <n v="0"/>
    <n v="0"/>
  </r>
  <r>
    <s v="2022"/>
    <s v="01"/>
    <s v="01/01/2022"/>
    <x v="0"/>
    <x v="23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24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25"/>
    <n v="0"/>
    <n v="0"/>
    <n v="0"/>
    <n v="0.48813148000000001"/>
    <n v="0"/>
    <n v="0"/>
    <n v="0"/>
    <n v="0"/>
    <n v="0"/>
    <n v="0"/>
    <n v="0"/>
    <n v="0"/>
    <n v="0"/>
  </r>
  <r>
    <s v="2022"/>
    <s v="01"/>
    <s v="01/01/2022"/>
    <x v="0"/>
    <x v="26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27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28"/>
    <n v="0"/>
    <n v="0"/>
    <n v="0"/>
    <n v="20.040973000000001"/>
    <n v="0"/>
    <n v="0"/>
    <n v="0"/>
    <n v="0"/>
    <n v="0"/>
    <n v="0"/>
    <n v="0"/>
    <n v="0"/>
    <n v="0"/>
  </r>
  <r>
    <s v="2022"/>
    <s v="01"/>
    <s v="01/01/2022"/>
    <x v="0"/>
    <x v="29"/>
    <n v="0"/>
    <n v="0"/>
    <n v="0"/>
    <n v="0.65130999999999994"/>
    <n v="0"/>
    <n v="0"/>
    <n v="0"/>
    <n v="0"/>
    <n v="0"/>
    <n v="0"/>
    <n v="0"/>
    <n v="0"/>
    <n v="0"/>
  </r>
  <r>
    <s v="2022"/>
    <s v="01"/>
    <s v="01/01/2022"/>
    <x v="0"/>
    <x v="30"/>
    <n v="5.0887906799999998"/>
    <n v="2.1551624300000003"/>
    <n v="2.9336282499999999"/>
    <n v="11.3392423"/>
    <n v="0.82591760999999997"/>
    <n v="0"/>
    <n v="0"/>
    <n v="0"/>
    <n v="0"/>
    <n v="0"/>
    <n v="0"/>
    <n v="0"/>
    <n v="0"/>
  </r>
  <r>
    <s v="2022"/>
    <s v="01"/>
    <s v="01/01/2022"/>
    <x v="0"/>
    <x v="31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32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33"/>
    <n v="0"/>
    <n v="0"/>
    <n v="0"/>
    <n v="28.898980000000002"/>
    <n v="0"/>
    <n v="0"/>
    <n v="0"/>
    <n v="0"/>
    <n v="0"/>
    <n v="0"/>
    <n v="0.83205600000000002"/>
    <n v="0"/>
    <n v="0"/>
  </r>
  <r>
    <s v="2022"/>
    <s v="01"/>
    <s v="01/01/2022"/>
    <x v="0"/>
    <x v="34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35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36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37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38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39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40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41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42"/>
    <n v="0"/>
    <n v="0"/>
    <n v="0"/>
    <n v="0"/>
    <n v="0"/>
    <n v="0"/>
    <n v="0"/>
    <n v="0"/>
    <n v="0"/>
    <n v="0"/>
    <n v="0"/>
    <n v="0"/>
    <n v="0"/>
  </r>
  <r>
    <s v="2022"/>
    <s v="01"/>
    <s v="01/01/2022"/>
    <x v="0"/>
    <x v="43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0"/>
    <n v="1169.7500663699998"/>
    <n v="1168.2075364500001"/>
    <n v="1.5419350000000001"/>
    <n v="5014.1451907000001"/>
    <n v="802.55925029999992"/>
    <n v="34.204090999999998"/>
    <n v="0.38256172999999999"/>
    <n v="0.38256172999999999"/>
    <n v="0"/>
    <n v="0"/>
    <n v="40.890972670000004"/>
    <n v="29.39606702"/>
    <n v="0"/>
  </r>
  <r>
    <s v="2022"/>
    <s v="02"/>
    <s v="02/01/2022"/>
    <x v="1"/>
    <x v="1"/>
    <n v="278.94189599999999"/>
    <n v="278.94189599999999"/>
    <n v="0"/>
    <n v="338.636347"/>
    <n v="134.65430799999999"/>
    <n v="34.204090999999998"/>
    <n v="0"/>
    <n v="0"/>
    <n v="0"/>
    <n v="0"/>
    <n v="0"/>
    <n v="0"/>
    <n v="0"/>
  </r>
  <r>
    <s v="2022"/>
    <s v="02"/>
    <s v="02/01/2022"/>
    <x v="1"/>
    <x v="2"/>
    <n v="190.69124306999998"/>
    <n v="190.69124306999998"/>
    <n v="0"/>
    <n v="1957.28422043"/>
    <n v="243.28332437"/>
    <n v="0"/>
    <n v="0"/>
    <n v="0"/>
    <n v="0"/>
    <n v="0"/>
    <n v="0"/>
    <n v="0"/>
    <n v="0"/>
  </r>
  <r>
    <s v="2022"/>
    <s v="02"/>
    <s v="02/01/2022"/>
    <x v="1"/>
    <x v="3"/>
    <n v="275.31675899999999"/>
    <n v="275.31675899999999"/>
    <n v="0"/>
    <n v="209.22294500000001"/>
    <n v="149.598375"/>
    <n v="0"/>
    <n v="0"/>
    <n v="0"/>
    <n v="0"/>
    <n v="0"/>
    <n v="0"/>
    <n v="0"/>
    <n v="0"/>
  </r>
  <r>
    <s v="2022"/>
    <s v="02"/>
    <s v="02/01/2022"/>
    <x v="1"/>
    <x v="4"/>
    <n v="109.56813699999999"/>
    <n v="109.56813699999999"/>
    <n v="0"/>
    <n v="638.99021500000003"/>
    <n v="16.065818"/>
    <n v="0"/>
    <n v="0"/>
    <n v="0"/>
    <n v="0"/>
    <n v="0"/>
    <n v="18.683752999999999"/>
    <n v="17.954927000000001"/>
    <n v="0"/>
  </r>
  <r>
    <s v="2022"/>
    <s v="02"/>
    <s v="02/01/2022"/>
    <x v="1"/>
    <x v="5"/>
    <n v="28.020126050000002"/>
    <n v="28.020126050000002"/>
    <n v="0"/>
    <n v="19.334202019999999"/>
    <n v="18.80368752"/>
    <n v="0"/>
    <n v="0"/>
    <n v="0"/>
    <n v="0"/>
    <n v="0"/>
    <n v="0"/>
    <n v="0.52742060999999996"/>
    <n v="0"/>
  </r>
  <r>
    <s v="2022"/>
    <s v="02"/>
    <s v="02/01/2022"/>
    <x v="1"/>
    <x v="6"/>
    <n v="0"/>
    <n v="0"/>
    <n v="0"/>
    <n v="6.2068899999999996"/>
    <n v="0.29324800000000001"/>
    <n v="0"/>
    <n v="0"/>
    <n v="0"/>
    <n v="0"/>
    <n v="0"/>
    <n v="0"/>
    <n v="0"/>
    <n v="0"/>
  </r>
  <r>
    <s v="2022"/>
    <s v="02"/>
    <s v="02/01/2022"/>
    <x v="1"/>
    <x v="7"/>
    <n v="7.066338"/>
    <n v="7.066338"/>
    <n v="0"/>
    <n v="0.16994300000000001"/>
    <n v="0"/>
    <n v="0"/>
    <n v="0"/>
    <n v="0"/>
    <n v="0"/>
    <n v="0"/>
    <n v="0"/>
    <n v="0"/>
    <n v="0"/>
  </r>
  <r>
    <s v="2022"/>
    <s v="02"/>
    <s v="02/01/2022"/>
    <x v="1"/>
    <x v="8"/>
    <n v="6.433732"/>
    <n v="6.433732"/>
    <n v="0"/>
    <n v="112.823048"/>
    <n v="0"/>
    <n v="0"/>
    <n v="0.22903499999999999"/>
    <n v="0.22903499999999999"/>
    <n v="0"/>
    <n v="0"/>
    <n v="14.467909000000001"/>
    <n v="10.830709000000001"/>
    <n v="0"/>
  </r>
  <r>
    <s v="2022"/>
    <s v="02"/>
    <s v="02/01/2022"/>
    <x v="1"/>
    <x v="9"/>
    <n v="51.188648000000001"/>
    <n v="51.188648000000001"/>
    <n v="0"/>
    <n v="16.247454000000001"/>
    <n v="2.1542919999999999"/>
    <n v="0"/>
    <n v="0"/>
    <n v="0"/>
    <n v="0"/>
    <n v="0"/>
    <n v="0"/>
    <n v="0"/>
    <n v="0"/>
  </r>
  <r>
    <s v="2022"/>
    <s v="02"/>
    <s v="02/01/2022"/>
    <x v="1"/>
    <x v="10"/>
    <n v="0"/>
    <n v="0"/>
    <n v="0"/>
    <n v="29.574432999999999"/>
    <n v="0"/>
    <n v="0"/>
    <n v="0"/>
    <n v="0"/>
    <n v="0"/>
    <n v="0"/>
    <n v="0"/>
    <n v="0"/>
    <n v="0"/>
  </r>
  <r>
    <s v="2022"/>
    <s v="02"/>
    <s v="02/01/2022"/>
    <x v="1"/>
    <x v="44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11"/>
    <n v="0.49284299999999998"/>
    <n v="0.49284299999999998"/>
    <n v="0"/>
    <n v="38.400877000000001"/>
    <n v="2.1350000000000001E-2"/>
    <n v="0"/>
    <n v="0"/>
    <n v="0"/>
    <n v="0"/>
    <n v="0"/>
    <n v="0"/>
    <n v="0"/>
    <n v="0"/>
  </r>
  <r>
    <s v="2022"/>
    <s v="02"/>
    <s v="02/01/2022"/>
    <x v="1"/>
    <x v="12"/>
    <n v="87.122049290000007"/>
    <n v="87.122049290000007"/>
    <n v="0"/>
    <n v="784.1253183099999"/>
    <n v="236.28647784999998"/>
    <n v="0"/>
    <n v="0"/>
    <n v="0"/>
    <n v="0"/>
    <n v="0"/>
    <n v="0"/>
    <n v="0"/>
    <n v="0"/>
  </r>
  <r>
    <s v="2022"/>
    <s v="02"/>
    <s v="02/01/2022"/>
    <x v="1"/>
    <x v="13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14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15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16"/>
    <n v="68.61633458"/>
    <n v="68.615739660000003"/>
    <n v="0"/>
    <n v="0"/>
    <n v="5.9790290000000003E-2"/>
    <n v="0"/>
    <n v="0"/>
    <n v="0"/>
    <n v="0"/>
    <n v="0"/>
    <n v="0"/>
    <n v="0"/>
    <n v="0"/>
  </r>
  <r>
    <s v="2022"/>
    <s v="02"/>
    <s v="02/01/2022"/>
    <x v="1"/>
    <x v="17"/>
    <n v="0"/>
    <n v="0"/>
    <n v="0"/>
    <n v="0"/>
    <n v="1.2218979999999999"/>
    <n v="0"/>
    <n v="0"/>
    <n v="0"/>
    <n v="0"/>
    <n v="0"/>
    <n v="0"/>
    <n v="0"/>
    <n v="0"/>
  </r>
  <r>
    <s v="2022"/>
    <s v="02"/>
    <s v="02/01/2022"/>
    <x v="1"/>
    <x v="18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19"/>
    <n v="0"/>
    <n v="0"/>
    <n v="0"/>
    <n v="677.74220300000002"/>
    <n v="2.6797999999999999E-2"/>
    <n v="0"/>
    <n v="0"/>
    <n v="0"/>
    <n v="0"/>
    <n v="0"/>
    <n v="0"/>
    <n v="0"/>
    <n v="0"/>
  </r>
  <r>
    <s v="2022"/>
    <s v="02"/>
    <s v="02/01/2022"/>
    <x v="1"/>
    <x v="20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21"/>
    <n v="0"/>
    <n v="0"/>
    <n v="0"/>
    <n v="147.70861400000001"/>
    <n v="0"/>
    <n v="0"/>
    <n v="0"/>
    <n v="0"/>
    <n v="0"/>
    <n v="0"/>
    <n v="0.53239999999999998"/>
    <n v="0"/>
    <n v="0"/>
  </r>
  <r>
    <s v="2022"/>
    <s v="02"/>
    <s v="02/01/2022"/>
    <x v="1"/>
    <x v="22"/>
    <n v="60.032040000000002"/>
    <n v="60.032040000000002"/>
    <n v="0"/>
    <n v="0"/>
    <n v="0"/>
    <n v="0"/>
    <n v="0"/>
    <n v="0"/>
    <n v="0"/>
    <n v="0"/>
    <n v="0"/>
    <n v="0"/>
    <n v="0"/>
  </r>
  <r>
    <s v="2022"/>
    <s v="02"/>
    <s v="02/01/2022"/>
    <x v="1"/>
    <x v="23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24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25"/>
    <n v="0"/>
    <n v="0"/>
    <n v="0"/>
    <n v="0.30087726000000004"/>
    <n v="0"/>
    <n v="0"/>
    <n v="0"/>
    <n v="0"/>
    <n v="0"/>
    <n v="0"/>
    <n v="0"/>
    <n v="0"/>
    <n v="0"/>
  </r>
  <r>
    <s v="2022"/>
    <s v="02"/>
    <s v="02/01/2022"/>
    <x v="1"/>
    <x v="26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27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28"/>
    <n v="0"/>
    <n v="0"/>
    <n v="0"/>
    <n v="11.151277"/>
    <n v="0"/>
    <n v="0"/>
    <n v="0"/>
    <n v="0"/>
    <n v="0"/>
    <n v="0"/>
    <n v="0"/>
    <n v="0"/>
    <n v="0"/>
  </r>
  <r>
    <s v="2022"/>
    <s v="02"/>
    <s v="02/01/2022"/>
    <x v="1"/>
    <x v="29"/>
    <n v="0"/>
    <n v="0"/>
    <n v="0"/>
    <n v="1.1478299999999999"/>
    <n v="0"/>
    <n v="0"/>
    <n v="0"/>
    <n v="0"/>
    <n v="0"/>
    <n v="0"/>
    <n v="0"/>
    <n v="0"/>
    <n v="0"/>
  </r>
  <r>
    <s v="2022"/>
    <s v="02"/>
    <s v="02/01/2022"/>
    <x v="1"/>
    <x v="30"/>
    <n v="3.7982645099999996"/>
    <n v="2.2563295099999996"/>
    <n v="1.5419350000000001"/>
    <n v="2.4054776800000002"/>
    <n v="8.9883270000000001E-2"/>
    <n v="0"/>
    <n v="4.3801730000000004E-2"/>
    <n v="4.3801730000000004E-2"/>
    <n v="0"/>
    <n v="0"/>
    <n v="6.7106366699999995"/>
    <n v="8.3010410000000007E-2"/>
    <n v="0"/>
  </r>
  <r>
    <s v="2022"/>
    <s v="02"/>
    <s v="02/01/2022"/>
    <x v="1"/>
    <x v="31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32"/>
    <n v="0.26830987000000001"/>
    <n v="0.26830987000000001"/>
    <n v="0"/>
    <n v="0"/>
    <n v="0"/>
    <n v="0"/>
    <n v="0"/>
    <n v="0"/>
    <n v="0"/>
    <n v="0"/>
    <n v="0"/>
    <n v="0"/>
    <n v="0"/>
  </r>
  <r>
    <s v="2022"/>
    <s v="02"/>
    <s v="02/01/2022"/>
    <x v="1"/>
    <x v="33"/>
    <n v="0.11834600000000001"/>
    <n v="0.11834600000000001"/>
    <n v="0"/>
    <n v="22.673019"/>
    <n v="0"/>
    <n v="0"/>
    <n v="0"/>
    <n v="0"/>
    <n v="0"/>
    <n v="0"/>
    <n v="0.49627399999999999"/>
    <n v="0"/>
    <n v="0"/>
  </r>
  <r>
    <s v="2022"/>
    <s v="02"/>
    <s v="02/01/2022"/>
    <x v="1"/>
    <x v="34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35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36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37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38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39"/>
    <n v="2.0750000000000002"/>
    <n v="2.0750000000000002"/>
    <n v="0"/>
    <n v="0"/>
    <n v="0"/>
    <n v="0"/>
    <n v="0.109725"/>
    <n v="0.109725"/>
    <n v="0"/>
    <n v="0"/>
    <n v="0"/>
    <n v="0"/>
    <n v="0"/>
  </r>
  <r>
    <s v="2022"/>
    <s v="02"/>
    <s v="02/01/2022"/>
    <x v="1"/>
    <x v="40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41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42"/>
    <n v="0"/>
    <n v="0"/>
    <n v="0"/>
    <n v="0"/>
    <n v="0"/>
    <n v="0"/>
    <n v="0"/>
    <n v="0"/>
    <n v="0"/>
    <n v="0"/>
    <n v="0"/>
    <n v="0"/>
    <n v="0"/>
  </r>
  <r>
    <s v="2022"/>
    <s v="02"/>
    <s v="02/01/2022"/>
    <x v="1"/>
    <x v="43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0"/>
    <n v="2082.8126621400002"/>
    <n v="2080.9934356099998"/>
    <n v="1.74066253"/>
    <n v="5554.9862275799996"/>
    <n v="961.33789077999995"/>
    <n v="2.3934769999999999"/>
    <n v="8.8575630000000007"/>
    <n v="8.8575630000000007"/>
    <n v="0"/>
    <n v="0"/>
    <n v="40.876916819999998"/>
    <n v="29.753988360000001"/>
    <n v="0"/>
  </r>
  <r>
    <s v="2022"/>
    <s v="03"/>
    <s v="03/01/2022"/>
    <x v="2"/>
    <x v="1"/>
    <n v="132.10826399999999"/>
    <n v="132.10826399999999"/>
    <n v="0"/>
    <n v="319.48780099999999"/>
    <n v="261.34726499999999"/>
    <n v="2.3934769999999999"/>
    <n v="0"/>
    <n v="0"/>
    <n v="0"/>
    <n v="0"/>
    <n v="0"/>
    <n v="0"/>
    <n v="0"/>
  </r>
  <r>
    <s v="2022"/>
    <s v="03"/>
    <s v="03/01/2022"/>
    <x v="2"/>
    <x v="2"/>
    <n v="189.69326839999999"/>
    <n v="189.69326839999999"/>
    <n v="0"/>
    <n v="2071.4580787899999"/>
    <n v="253.25203902000001"/>
    <n v="0"/>
    <n v="0"/>
    <n v="0"/>
    <n v="0"/>
    <n v="0"/>
    <n v="0"/>
    <n v="0"/>
    <n v="0"/>
  </r>
  <r>
    <s v="2022"/>
    <s v="03"/>
    <s v="03/01/2022"/>
    <x v="2"/>
    <x v="3"/>
    <n v="1492.8187370000001"/>
    <n v="1492.8187370000001"/>
    <n v="0"/>
    <n v="324.603499"/>
    <n v="141.93637899999999"/>
    <n v="0"/>
    <n v="0"/>
    <n v="0"/>
    <n v="0"/>
    <n v="0"/>
    <n v="0"/>
    <n v="0"/>
    <n v="0"/>
  </r>
  <r>
    <s v="2022"/>
    <s v="03"/>
    <s v="03/01/2022"/>
    <x v="2"/>
    <x v="4"/>
    <n v="43.485616999999998"/>
    <n v="43.406804000000001"/>
    <n v="2.4899999999999998E-4"/>
    <n v="665.16825600000004"/>
    <n v="15.078037"/>
    <n v="0"/>
    <n v="0"/>
    <n v="0"/>
    <n v="0"/>
    <n v="0"/>
    <n v="20.548214000000002"/>
    <n v="18.516559000000001"/>
    <n v="0"/>
  </r>
  <r>
    <s v="2022"/>
    <s v="03"/>
    <s v="03/01/2022"/>
    <x v="2"/>
    <x v="5"/>
    <n v="14.42209806"/>
    <n v="14.42209806"/>
    <n v="0"/>
    <n v="22.879968179999999"/>
    <n v="6.4429411999999999"/>
    <n v="0"/>
    <n v="0"/>
    <n v="0"/>
    <n v="0"/>
    <n v="0"/>
    <n v="0"/>
    <n v="1.0294418000000001"/>
    <n v="0"/>
  </r>
  <r>
    <s v="2022"/>
    <s v="03"/>
    <s v="03/01/2022"/>
    <x v="2"/>
    <x v="6"/>
    <n v="0"/>
    <n v="0"/>
    <n v="0"/>
    <n v="5.7044370000000004"/>
    <n v="2.35E-2"/>
    <n v="0"/>
    <n v="0"/>
    <n v="0"/>
    <n v="0"/>
    <n v="0"/>
    <n v="0"/>
    <n v="0"/>
    <n v="0"/>
  </r>
  <r>
    <s v="2022"/>
    <s v="03"/>
    <s v="03/01/2022"/>
    <x v="2"/>
    <x v="7"/>
    <n v="8.5078259999999997"/>
    <n v="8.5078259999999997"/>
    <n v="0"/>
    <n v="0.93540999999999996"/>
    <n v="2.0880339999999999"/>
    <n v="0"/>
    <n v="0"/>
    <n v="0"/>
    <n v="0"/>
    <n v="0"/>
    <n v="0"/>
    <n v="0"/>
    <n v="0"/>
  </r>
  <r>
    <s v="2022"/>
    <s v="03"/>
    <s v="03/01/2022"/>
    <x v="2"/>
    <x v="8"/>
    <n v="12.798505"/>
    <n v="12.798505"/>
    <n v="0"/>
    <n v="163.10106200000001"/>
    <n v="0"/>
    <n v="0"/>
    <n v="8.8575630000000007"/>
    <n v="8.8575630000000007"/>
    <n v="0"/>
    <n v="0"/>
    <n v="8.2428500000000007"/>
    <n v="10.196756000000001"/>
    <n v="0"/>
  </r>
  <r>
    <s v="2022"/>
    <s v="03"/>
    <s v="03/01/2022"/>
    <x v="2"/>
    <x v="9"/>
    <n v="15.674823930000001"/>
    <n v="15.674823930000001"/>
    <n v="0"/>
    <n v="8.5433928599999991"/>
    <n v="2.84789694"/>
    <n v="0"/>
    <n v="0"/>
    <n v="0"/>
    <n v="0"/>
    <n v="0"/>
    <n v="0"/>
    <n v="0"/>
    <n v="0"/>
  </r>
  <r>
    <s v="2022"/>
    <s v="03"/>
    <s v="03/01/2022"/>
    <x v="2"/>
    <x v="10"/>
    <n v="0"/>
    <n v="0"/>
    <n v="0"/>
    <n v="31.380115"/>
    <n v="0"/>
    <n v="0"/>
    <n v="0"/>
    <n v="0"/>
    <n v="0"/>
    <n v="0"/>
    <n v="0"/>
    <n v="0"/>
    <n v="0"/>
  </r>
  <r>
    <s v="2022"/>
    <s v="03"/>
    <s v="03/01/2022"/>
    <x v="2"/>
    <x v="11"/>
    <n v="0.31722499999999998"/>
    <n v="0.31722499999999998"/>
    <n v="0"/>
    <n v="53.550829999999998"/>
    <n v="2.7289999999999998E-2"/>
    <n v="0"/>
    <n v="0"/>
    <n v="0"/>
    <n v="0"/>
    <n v="0"/>
    <n v="0"/>
    <n v="0"/>
    <n v="0"/>
  </r>
  <r>
    <s v="2022"/>
    <s v="03"/>
    <s v="03/01/2022"/>
    <x v="2"/>
    <x v="12"/>
    <n v="102.52608481"/>
    <n v="102.52608481"/>
    <n v="0"/>
    <n v="823.09823169000003"/>
    <n v="276.01002726999997"/>
    <n v="0"/>
    <n v="0"/>
    <n v="0"/>
    <n v="0"/>
    <n v="0"/>
    <n v="0"/>
    <n v="0"/>
    <n v="0"/>
  </r>
  <r>
    <s v="2022"/>
    <s v="03"/>
    <s v="03/01/2022"/>
    <x v="2"/>
    <x v="13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14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15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16"/>
    <n v="0.76820549999999999"/>
    <n v="0.76820549999999999"/>
    <n v="0"/>
    <n v="0"/>
    <n v="0"/>
    <n v="0"/>
    <n v="0"/>
    <n v="0"/>
    <n v="0"/>
    <n v="0"/>
    <n v="0"/>
    <n v="0"/>
    <n v="0"/>
  </r>
  <r>
    <s v="2022"/>
    <s v="03"/>
    <s v="03/01/2022"/>
    <x v="2"/>
    <x v="17"/>
    <n v="63.213974"/>
    <n v="63.213974"/>
    <n v="0"/>
    <n v="0"/>
    <n v="0"/>
    <n v="0"/>
    <n v="0"/>
    <n v="0"/>
    <n v="0"/>
    <n v="0"/>
    <n v="0"/>
    <n v="9.4899999999999997E-4"/>
    <n v="0"/>
  </r>
  <r>
    <s v="2022"/>
    <s v="03"/>
    <s v="03/01/2022"/>
    <x v="2"/>
    <x v="18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19"/>
    <n v="0"/>
    <n v="0"/>
    <n v="0"/>
    <n v="817.29193399999997"/>
    <n v="0"/>
    <n v="0"/>
    <n v="0"/>
    <n v="0"/>
    <n v="0"/>
    <n v="0"/>
    <n v="0"/>
    <n v="0"/>
    <n v="0"/>
  </r>
  <r>
    <s v="2022"/>
    <s v="03"/>
    <s v="03/01/2022"/>
    <x v="2"/>
    <x v="20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21"/>
    <n v="0"/>
    <n v="0"/>
    <n v="0"/>
    <n v="150.64281099999999"/>
    <n v="0"/>
    <n v="0"/>
    <n v="0"/>
    <n v="0"/>
    <n v="0"/>
    <n v="0"/>
    <n v="1.3442670000000001"/>
    <n v="0"/>
    <n v="0"/>
  </r>
  <r>
    <s v="2022"/>
    <s v="03"/>
    <s v="03/01/2022"/>
    <x v="2"/>
    <x v="22"/>
    <n v="1.5517890000000001"/>
    <n v="1.5517890000000001"/>
    <n v="0"/>
    <n v="0"/>
    <n v="0"/>
    <n v="0"/>
    <n v="0"/>
    <n v="0"/>
    <n v="0"/>
    <n v="0"/>
    <n v="0"/>
    <n v="0"/>
    <n v="0"/>
  </r>
  <r>
    <s v="2022"/>
    <s v="03"/>
    <s v="03/01/2022"/>
    <x v="2"/>
    <x v="23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24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25"/>
    <n v="0"/>
    <n v="0"/>
    <n v="0"/>
    <n v="0.48813148000000001"/>
    <n v="0"/>
    <n v="0"/>
    <n v="0"/>
    <n v="0"/>
    <n v="0"/>
    <n v="0"/>
    <n v="0"/>
    <n v="0"/>
    <n v="0"/>
  </r>
  <r>
    <s v="2022"/>
    <s v="03"/>
    <s v="03/01/2022"/>
    <x v="2"/>
    <x v="26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27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28"/>
    <n v="0"/>
    <n v="0"/>
    <n v="0"/>
    <n v="38.145716999999998"/>
    <n v="0"/>
    <n v="0"/>
    <n v="0"/>
    <n v="0"/>
    <n v="0"/>
    <n v="0"/>
    <n v="0"/>
    <n v="0"/>
    <n v="0"/>
  </r>
  <r>
    <s v="2022"/>
    <s v="03"/>
    <s v="03/01/2022"/>
    <x v="2"/>
    <x v="29"/>
    <n v="0"/>
    <n v="0"/>
    <n v="0"/>
    <n v="14.102029"/>
    <n v="0"/>
    <n v="0"/>
    <n v="0"/>
    <n v="0"/>
    <n v="0"/>
    <n v="0"/>
    <n v="0"/>
    <n v="0"/>
    <n v="0"/>
  </r>
  <r>
    <s v="2022"/>
    <s v="03"/>
    <s v="03/01/2022"/>
    <x v="2"/>
    <x v="30"/>
    <n v="2.71096044"/>
    <n v="0.97054691000000004"/>
    <n v="1.7404135300000001"/>
    <n v="29.753874579999998"/>
    <n v="2.2844813500000001"/>
    <n v="0"/>
    <n v="0"/>
    <n v="0"/>
    <n v="0"/>
    <n v="0"/>
    <n v="10.34959282"/>
    <n v="1.028256E-2"/>
    <n v="0"/>
  </r>
  <r>
    <s v="2022"/>
    <s v="03"/>
    <s v="03/01/2022"/>
    <x v="2"/>
    <x v="31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32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33"/>
    <n v="0"/>
    <n v="0"/>
    <n v="0"/>
    <n v="14.650649"/>
    <n v="0"/>
    <n v="0"/>
    <n v="0"/>
    <n v="0"/>
    <n v="0"/>
    <n v="0"/>
    <n v="0.39199299999999998"/>
    <n v="0"/>
    <n v="0"/>
  </r>
  <r>
    <s v="2022"/>
    <s v="03"/>
    <s v="03/01/2022"/>
    <x v="2"/>
    <x v="34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35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36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37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38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39"/>
    <n v="2.215284"/>
    <n v="2.215284"/>
    <n v="0"/>
    <n v="0"/>
    <n v="0"/>
    <n v="0"/>
    <n v="0"/>
    <n v="0"/>
    <n v="0"/>
    <n v="0"/>
    <n v="0"/>
    <n v="0"/>
    <n v="0"/>
  </r>
  <r>
    <s v="2022"/>
    <s v="03"/>
    <s v="03/01/2022"/>
    <x v="2"/>
    <x v="40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41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42"/>
    <n v="0"/>
    <n v="0"/>
    <n v="0"/>
    <n v="0"/>
    <n v="0"/>
    <n v="0"/>
    <n v="0"/>
    <n v="0"/>
    <n v="0"/>
    <n v="0"/>
    <n v="0"/>
    <n v="0"/>
    <n v="0"/>
  </r>
  <r>
    <s v="2022"/>
    <s v="03"/>
    <s v="03/01/2022"/>
    <x v="2"/>
    <x v="43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0"/>
    <n v="1383.1430040799999"/>
    <n v="1382.6726402699999"/>
    <n v="0.46977991999999996"/>
    <n v="4975.0167940600004"/>
    <n v="545.32522760000006"/>
    <n v="27.224112000000002"/>
    <n v="1.72490725"/>
    <n v="1.72490725"/>
    <n v="0"/>
    <n v="0"/>
    <n v="39.300464770000005"/>
    <n v="27.88534237"/>
    <n v="0"/>
  </r>
  <r>
    <s v="2022"/>
    <s v="04"/>
    <s v="04/01/2022"/>
    <x v="3"/>
    <x v="1"/>
    <n v="188.424215"/>
    <n v="188.424215"/>
    <n v="0"/>
    <n v="145.69775799999999"/>
    <n v="199.507553"/>
    <n v="27.224112000000002"/>
    <n v="0"/>
    <n v="0"/>
    <n v="0"/>
    <n v="0"/>
    <n v="0"/>
    <n v="0"/>
    <n v="0"/>
  </r>
  <r>
    <s v="2022"/>
    <s v="04"/>
    <s v="04/01/2022"/>
    <x v="3"/>
    <x v="2"/>
    <n v="160.88141223"/>
    <n v="160.88141223"/>
    <n v="0"/>
    <n v="1903.9966404700001"/>
    <n v="32.157549600000003"/>
    <n v="0"/>
    <n v="0"/>
    <n v="0"/>
    <n v="0"/>
    <n v="0"/>
    <n v="0"/>
    <n v="0"/>
    <n v="0"/>
  </r>
  <r>
    <s v="2022"/>
    <s v="04"/>
    <s v="04/01/2022"/>
    <x v="3"/>
    <x v="3"/>
    <n v="578.26473033000002"/>
    <n v="578.26473033000002"/>
    <n v="0"/>
    <n v="277.753827"/>
    <n v="141.43491499999999"/>
    <n v="0"/>
    <n v="0"/>
    <n v="0"/>
    <n v="0"/>
    <n v="0"/>
    <n v="0"/>
    <n v="0"/>
    <n v="0"/>
  </r>
  <r>
    <s v="2022"/>
    <s v="04"/>
    <s v="04/01/2022"/>
    <x v="3"/>
    <x v="4"/>
    <n v="275.50389899999999"/>
    <n v="275.50389799999999"/>
    <n v="0"/>
    <n v="590.55893600000002"/>
    <n v="24.722517"/>
    <n v="0"/>
    <n v="0"/>
    <n v="0"/>
    <n v="0"/>
    <n v="0"/>
    <n v="17.42191"/>
    <n v="13.930595"/>
    <n v="0"/>
  </r>
  <r>
    <s v="2022"/>
    <s v="04"/>
    <s v="04/01/2022"/>
    <x v="3"/>
    <x v="5"/>
    <n v="16.905404799999999"/>
    <n v="16.905404799999999"/>
    <n v="0"/>
    <n v="19.934242739999998"/>
    <n v="6.3788438300000001"/>
    <n v="0"/>
    <n v="0"/>
    <n v="0"/>
    <n v="0"/>
    <n v="0"/>
    <n v="0"/>
    <n v="0.44226128000000003"/>
    <n v="0"/>
  </r>
  <r>
    <s v="2022"/>
    <s v="04"/>
    <s v="04/01/2022"/>
    <x v="3"/>
    <x v="6"/>
    <n v="0"/>
    <n v="0"/>
    <n v="0"/>
    <n v="5.7698280000000004"/>
    <n v="1.0442E-2"/>
    <n v="0"/>
    <n v="0"/>
    <n v="0"/>
    <n v="0"/>
    <n v="0"/>
    <n v="0"/>
    <n v="0"/>
    <n v="0"/>
  </r>
  <r>
    <s v="2022"/>
    <s v="04"/>
    <s v="04/01/2022"/>
    <x v="3"/>
    <x v="7"/>
    <n v="0.151119"/>
    <n v="0.151119"/>
    <n v="0"/>
    <n v="0.35435"/>
    <n v="0"/>
    <n v="0"/>
    <n v="0"/>
    <n v="0"/>
    <n v="0"/>
    <n v="0"/>
    <n v="0"/>
    <n v="0"/>
    <n v="0"/>
  </r>
  <r>
    <s v="2022"/>
    <s v="04"/>
    <s v="04/01/2022"/>
    <x v="3"/>
    <x v="8"/>
    <n v="3.8737379999999999"/>
    <n v="3.8737379999999999"/>
    <n v="0"/>
    <n v="140.457448"/>
    <n v="0"/>
    <n v="0"/>
    <n v="1.6045990000000001"/>
    <n v="1.6045990000000001"/>
    <n v="0"/>
    <n v="0"/>
    <n v="12.393143999999999"/>
    <n v="13.102937000000001"/>
    <n v="0"/>
  </r>
  <r>
    <s v="2022"/>
    <s v="04"/>
    <s v="04/01/2022"/>
    <x v="3"/>
    <x v="9"/>
    <n v="63.345997709999999"/>
    <n v="63.345997709999999"/>
    <n v="0"/>
    <n v="22.594940010000002"/>
    <n v="0.91408920999999999"/>
    <n v="0"/>
    <n v="0"/>
    <n v="0"/>
    <n v="0"/>
    <n v="0"/>
    <n v="0"/>
    <n v="0"/>
    <n v="0"/>
  </r>
  <r>
    <s v="2022"/>
    <s v="04"/>
    <s v="04/01/2022"/>
    <x v="3"/>
    <x v="10"/>
    <n v="0"/>
    <n v="0"/>
    <n v="0"/>
    <n v="29.523330999999999"/>
    <n v="0"/>
    <n v="0"/>
    <n v="0"/>
    <n v="0"/>
    <n v="0"/>
    <n v="0"/>
    <n v="0"/>
    <n v="0"/>
    <n v="0"/>
  </r>
  <r>
    <s v="2022"/>
    <s v="04"/>
    <s v="04/01/2022"/>
    <x v="3"/>
    <x v="44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11"/>
    <n v="9.2739999999999993E-3"/>
    <n v="9.2739999999999993E-3"/>
    <n v="0"/>
    <n v="47.785091000000001"/>
    <n v="0.101686"/>
    <n v="0"/>
    <n v="0"/>
    <n v="0"/>
    <n v="0"/>
    <n v="0"/>
    <n v="0"/>
    <n v="0"/>
    <n v="0"/>
  </r>
  <r>
    <s v="2022"/>
    <s v="04"/>
    <s v="04/01/2022"/>
    <x v="3"/>
    <x v="12"/>
    <n v="76.513828619999998"/>
    <n v="76.513245730000008"/>
    <n v="0"/>
    <n v="849.24666021000007"/>
    <n v="140.04152845999999"/>
    <n v="0"/>
    <n v="0"/>
    <n v="0"/>
    <n v="0"/>
    <n v="0"/>
    <n v="0"/>
    <n v="0"/>
    <n v="0"/>
  </r>
  <r>
    <s v="2022"/>
    <s v="04"/>
    <s v="04/01/2022"/>
    <x v="3"/>
    <x v="13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14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15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16"/>
    <n v="17.188411760000001"/>
    <n v="17.188411760000001"/>
    <n v="0"/>
    <n v="0"/>
    <n v="0"/>
    <n v="0"/>
    <n v="0"/>
    <n v="0"/>
    <n v="0"/>
    <n v="0"/>
    <n v="0"/>
    <n v="0"/>
    <n v="0"/>
  </r>
  <r>
    <s v="2022"/>
    <s v="04"/>
    <s v="04/01/2022"/>
    <x v="3"/>
    <x v="17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18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19"/>
    <n v="0"/>
    <n v="0"/>
    <n v="0"/>
    <n v="739.72262132000003"/>
    <n v="1.028688E-2"/>
    <n v="0"/>
    <n v="0"/>
    <n v="0"/>
    <n v="0"/>
    <n v="0"/>
    <n v="0"/>
    <n v="0"/>
    <n v="0"/>
  </r>
  <r>
    <s v="2022"/>
    <s v="04"/>
    <s v="04/01/2022"/>
    <x v="3"/>
    <x v="20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21"/>
    <n v="0"/>
    <n v="0"/>
    <n v="0"/>
    <n v="169.299691"/>
    <n v="0"/>
    <n v="0"/>
    <n v="0"/>
    <n v="0"/>
    <n v="0"/>
    <n v="0"/>
    <n v="1.2262420000000001"/>
    <n v="0"/>
    <n v="0"/>
  </r>
  <r>
    <s v="2022"/>
    <s v="04"/>
    <s v="04/01/2022"/>
    <x v="3"/>
    <x v="22"/>
    <n v="0.21123600000000001"/>
    <n v="0.21123600000000001"/>
    <n v="0"/>
    <n v="0"/>
    <n v="0"/>
    <n v="0"/>
    <n v="0"/>
    <n v="0"/>
    <n v="0"/>
    <n v="0"/>
    <n v="0"/>
    <n v="0"/>
    <n v="0"/>
  </r>
  <r>
    <s v="2022"/>
    <s v="04"/>
    <s v="04/01/2022"/>
    <x v="3"/>
    <x v="23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24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25"/>
    <n v="0"/>
    <n v="0"/>
    <n v="0"/>
    <n v="0.14165914999999998"/>
    <n v="0"/>
    <n v="0"/>
    <n v="0"/>
    <n v="0"/>
    <n v="0"/>
    <n v="0"/>
    <n v="0"/>
    <n v="0"/>
    <n v="0"/>
  </r>
  <r>
    <s v="2022"/>
    <s v="04"/>
    <s v="04/01/2022"/>
    <x v="3"/>
    <x v="26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27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28"/>
    <n v="0"/>
    <n v="0"/>
    <n v="0"/>
    <n v="18.110028"/>
    <n v="0"/>
    <n v="0"/>
    <n v="0"/>
    <n v="0"/>
    <n v="0"/>
    <n v="0"/>
    <n v="0"/>
    <n v="0"/>
    <n v="0"/>
  </r>
  <r>
    <s v="2022"/>
    <s v="04"/>
    <s v="04/01/2022"/>
    <x v="3"/>
    <x v="29"/>
    <n v="0"/>
    <n v="0"/>
    <n v="0"/>
    <n v="0.29223700000000002"/>
    <n v="0"/>
    <n v="0"/>
    <n v="0"/>
    <n v="0"/>
    <n v="0"/>
    <n v="0"/>
    <n v="0"/>
    <n v="0"/>
    <n v="0"/>
  </r>
  <r>
    <s v="2022"/>
    <s v="04"/>
    <s v="04/01/2022"/>
    <x v="3"/>
    <x v="30"/>
    <n v="1.8697376299999999"/>
    <n v="1.39995771"/>
    <n v="0.46977991999999996"/>
    <n v="2.8894111600000003"/>
    <n v="4.5816620000000002E-2"/>
    <n v="0"/>
    <n v="1.3925E-4"/>
    <n v="1.3925E-4"/>
    <n v="0"/>
    <n v="0"/>
    <n v="8.1563687700000003"/>
    <n v="0.40954909"/>
    <n v="0"/>
  </r>
  <r>
    <s v="2022"/>
    <s v="04"/>
    <s v="04/01/2022"/>
    <x v="3"/>
    <x v="31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32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33"/>
    <n v="0"/>
    <n v="0"/>
    <n v="0"/>
    <n v="10.888094000000001"/>
    <n v="0"/>
    <n v="0"/>
    <n v="0"/>
    <n v="0"/>
    <n v="0"/>
    <n v="0"/>
    <n v="0.1028"/>
    <n v="0"/>
    <n v="0"/>
  </r>
  <r>
    <s v="2022"/>
    <s v="04"/>
    <s v="04/01/2022"/>
    <x v="3"/>
    <x v="34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35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37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38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39"/>
    <n v="0"/>
    <n v="0"/>
    <n v="0"/>
    <n v="0"/>
    <n v="0"/>
    <n v="0"/>
    <n v="0.120169"/>
    <n v="0.120169"/>
    <n v="0"/>
    <n v="0"/>
    <n v="0"/>
    <n v="0"/>
    <n v="0"/>
  </r>
  <r>
    <s v="2022"/>
    <s v="04"/>
    <s v="04/01/2022"/>
    <x v="3"/>
    <x v="40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41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42"/>
    <n v="0"/>
    <n v="0"/>
    <n v="0"/>
    <n v="0"/>
    <n v="0"/>
    <n v="0"/>
    <n v="0"/>
    <n v="0"/>
    <n v="0"/>
    <n v="0"/>
    <n v="0"/>
    <n v="0"/>
    <n v="0"/>
  </r>
  <r>
    <s v="2022"/>
    <s v="04"/>
    <s v="04/01/2022"/>
    <x v="3"/>
    <x v="43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0"/>
    <n v="1458.1435826900001"/>
    <n v="1457.6615346800002"/>
    <n v="0.48196420000000001"/>
    <n v="4961.7700194999998"/>
    <n v="1126.9268104300002"/>
    <n v="27.224112000000002"/>
    <n v="0.20263100000000001"/>
    <n v="0.20263100000000001"/>
    <n v="0"/>
    <n v="0"/>
    <n v="47.305973049999999"/>
    <n v="47.126083180000002"/>
    <n v="0"/>
  </r>
  <r>
    <s v="2022"/>
    <s v="05"/>
    <s v="05/01/2022"/>
    <x v="4"/>
    <x v="1"/>
    <n v="188.424215"/>
    <n v="188.424215"/>
    <n v="0"/>
    <n v="145.69775799999999"/>
    <n v="199.507553"/>
    <n v="27.224112000000002"/>
    <n v="0"/>
    <n v="0"/>
    <n v="0"/>
    <n v="0"/>
    <n v="0"/>
    <n v="0"/>
    <n v="0"/>
  </r>
  <r>
    <s v="2022"/>
    <s v="05"/>
    <s v="05/01/2022"/>
    <x v="4"/>
    <x v="2"/>
    <n v="244.99125000999999"/>
    <n v="244.99125000999999"/>
    <n v="0"/>
    <n v="1940.3443442600001"/>
    <n v="274.41610387999998"/>
    <n v="0"/>
    <n v="0"/>
    <n v="0"/>
    <n v="0"/>
    <n v="0"/>
    <n v="0"/>
    <n v="0"/>
    <n v="0"/>
  </r>
  <r>
    <s v="2022"/>
    <s v="05"/>
    <s v="05/01/2022"/>
    <x v="4"/>
    <x v="3"/>
    <n v="434.98273999999998"/>
    <n v="434.98273999999998"/>
    <n v="0"/>
    <n v="316.08968399999998"/>
    <n v="164.648911"/>
    <n v="0"/>
    <n v="0"/>
    <n v="0"/>
    <n v="0"/>
    <n v="0"/>
    <n v="0"/>
    <n v="0"/>
    <n v="0"/>
  </r>
  <r>
    <s v="2022"/>
    <s v="05"/>
    <s v="05/01/2022"/>
    <x v="4"/>
    <x v="4"/>
    <n v="118.251982"/>
    <n v="118.251982"/>
    <n v="0"/>
    <n v="551.23173399999996"/>
    <n v="13.35679"/>
    <n v="0"/>
    <n v="0"/>
    <n v="0"/>
    <n v="0"/>
    <n v="0"/>
    <n v="19.864917999999999"/>
    <n v="32.066698000000002"/>
    <n v="0"/>
  </r>
  <r>
    <s v="2022"/>
    <s v="05"/>
    <s v="05/01/2022"/>
    <x v="4"/>
    <x v="5"/>
    <n v="44.637163520000001"/>
    <n v="44.637163520000001"/>
    <n v="0"/>
    <n v="15.85286917"/>
    <n v="2.9578247100000001"/>
    <n v="0"/>
    <n v="0"/>
    <n v="0"/>
    <n v="0"/>
    <n v="0"/>
    <n v="0"/>
    <n v="0.54766488999999996"/>
    <n v="0"/>
  </r>
  <r>
    <s v="2022"/>
    <s v="05"/>
    <s v="05/01/2022"/>
    <x v="4"/>
    <x v="6"/>
    <n v="0"/>
    <n v="0"/>
    <n v="0"/>
    <n v="4.1357679999999997"/>
    <n v="3.0247E-2"/>
    <n v="0"/>
    <n v="0"/>
    <n v="0"/>
    <n v="0"/>
    <n v="0"/>
    <n v="0"/>
    <n v="0"/>
    <n v="0"/>
  </r>
  <r>
    <s v="2022"/>
    <s v="05"/>
    <s v="05/01/2022"/>
    <x v="4"/>
    <x v="7"/>
    <n v="151.42659699999999"/>
    <n v="151.42659699999999"/>
    <n v="0"/>
    <n v="1.3618980000000001"/>
    <n v="283.03675900000002"/>
    <n v="0"/>
    <n v="0"/>
    <n v="0"/>
    <n v="0"/>
    <n v="0"/>
    <n v="0"/>
    <n v="0"/>
    <n v="0"/>
  </r>
  <r>
    <s v="2022"/>
    <s v="05"/>
    <s v="05/01/2022"/>
    <x v="4"/>
    <x v="8"/>
    <n v="10.797017"/>
    <n v="10.797017"/>
    <n v="0"/>
    <n v="142.39202700000001"/>
    <n v="0"/>
    <n v="0"/>
    <n v="0.19085199999999999"/>
    <n v="0.19085199999999999"/>
    <n v="0"/>
    <n v="0"/>
    <n v="13.86567"/>
    <n v="14.162811"/>
    <n v="0"/>
  </r>
  <r>
    <s v="2022"/>
    <s v="05"/>
    <s v="05/01/2022"/>
    <x v="4"/>
    <x v="9"/>
    <n v="30.90759293"/>
    <n v="30.90759293"/>
    <n v="0"/>
    <n v="13.42481832"/>
    <n v="3.6107097599999998"/>
    <n v="0"/>
    <n v="0"/>
    <n v="0"/>
    <n v="0"/>
    <n v="0"/>
    <n v="0"/>
    <n v="0"/>
    <n v="0"/>
  </r>
  <r>
    <s v="2022"/>
    <s v="05"/>
    <s v="05/01/2022"/>
    <x v="4"/>
    <x v="10"/>
    <n v="120.24718"/>
    <n v="120.24718"/>
    <n v="0"/>
    <n v="28.583815999999999"/>
    <n v="0"/>
    <n v="0"/>
    <n v="0"/>
    <n v="0"/>
    <n v="0"/>
    <n v="0"/>
    <n v="0"/>
    <n v="0"/>
    <n v="0"/>
  </r>
  <r>
    <s v="2022"/>
    <s v="05"/>
    <s v="05/01/2022"/>
    <x v="4"/>
    <x v="44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11"/>
    <n v="8.8875999999999997E-2"/>
    <n v="8.8875999999999997E-2"/>
    <n v="0"/>
    <n v="49.066239000000003"/>
    <n v="2.5432E-2"/>
    <n v="0"/>
    <n v="0"/>
    <n v="0"/>
    <n v="0"/>
    <n v="0"/>
    <n v="0"/>
    <n v="0"/>
    <n v="0"/>
  </r>
  <r>
    <s v="2022"/>
    <s v="05"/>
    <s v="05/01/2022"/>
    <x v="4"/>
    <x v="12"/>
    <n v="72.802496950000005"/>
    <n v="72.802413139999999"/>
    <n v="0"/>
    <n v="761.81915932000004"/>
    <n v="185.26830000000001"/>
    <n v="0"/>
    <n v="0"/>
    <n v="0"/>
    <n v="0"/>
    <n v="0"/>
    <n v="0"/>
    <n v="0"/>
    <n v="0"/>
  </r>
  <r>
    <s v="2022"/>
    <s v="05"/>
    <s v="05/01/2022"/>
    <x v="4"/>
    <x v="13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14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15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16"/>
    <n v="5.8638400000000004E-3"/>
    <n v="5.8638400000000004E-3"/>
    <n v="0"/>
    <n v="0"/>
    <n v="0"/>
    <n v="0"/>
    <n v="0"/>
    <n v="0"/>
    <n v="0"/>
    <n v="0"/>
    <n v="0"/>
    <n v="0"/>
    <n v="0"/>
  </r>
  <r>
    <s v="2022"/>
    <s v="05"/>
    <s v="05/01/2022"/>
    <x v="4"/>
    <x v="17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18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19"/>
    <n v="0"/>
    <n v="0"/>
    <n v="0"/>
    <n v="784.30576499000006"/>
    <n v="7.9155600000000003E-3"/>
    <n v="0"/>
    <n v="0"/>
    <n v="0"/>
    <n v="0"/>
    <n v="0"/>
    <n v="0"/>
    <n v="0"/>
    <n v="0"/>
  </r>
  <r>
    <s v="2022"/>
    <s v="05"/>
    <s v="05/01/2022"/>
    <x v="4"/>
    <x v="20"/>
    <n v="34.706252670000005"/>
    <n v="34.706252670000005"/>
    <n v="0"/>
    <n v="2.9335354200000001"/>
    <n v="0"/>
    <n v="0"/>
    <n v="0"/>
    <n v="0"/>
    <n v="0"/>
    <n v="0"/>
    <n v="0"/>
    <n v="0"/>
    <n v="0"/>
  </r>
  <r>
    <s v="2022"/>
    <s v="05"/>
    <s v="05/01/2022"/>
    <x v="4"/>
    <x v="21"/>
    <n v="0"/>
    <n v="0"/>
    <n v="0"/>
    <n v="150.719043"/>
    <n v="0"/>
    <n v="0"/>
    <n v="0"/>
    <n v="0"/>
    <n v="0"/>
    <n v="0"/>
    <n v="1.7570479999999999"/>
    <n v="0"/>
    <n v="0"/>
  </r>
  <r>
    <s v="2022"/>
    <s v="05"/>
    <s v="05/01/2022"/>
    <x v="4"/>
    <x v="22"/>
    <n v="3.93614"/>
    <n v="3.93614"/>
    <n v="0"/>
    <n v="1.3373710000000001"/>
    <n v="0"/>
    <n v="0"/>
    <n v="0"/>
    <n v="0"/>
    <n v="0"/>
    <n v="0"/>
    <n v="0"/>
    <n v="0"/>
    <n v="0"/>
  </r>
  <r>
    <s v="2022"/>
    <s v="05"/>
    <s v="05/01/2022"/>
    <x v="4"/>
    <x v="23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24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25"/>
    <n v="0"/>
    <n v="0"/>
    <n v="0"/>
    <n v="0.48813148000000001"/>
    <n v="0"/>
    <n v="0"/>
    <n v="0"/>
    <n v="0"/>
    <n v="0"/>
    <n v="0"/>
    <n v="0"/>
    <n v="0"/>
    <n v="0"/>
  </r>
  <r>
    <s v="2022"/>
    <s v="05"/>
    <s v="05/01/2022"/>
    <x v="4"/>
    <x v="26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27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28"/>
    <n v="0"/>
    <n v="0"/>
    <n v="0"/>
    <n v="29.347746999999998"/>
    <n v="0"/>
    <n v="0"/>
    <n v="0"/>
    <n v="0"/>
    <n v="0"/>
    <n v="0"/>
    <n v="0"/>
    <n v="0"/>
    <n v="0"/>
  </r>
  <r>
    <s v="2022"/>
    <s v="05"/>
    <s v="05/01/2022"/>
    <x v="4"/>
    <x v="29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30"/>
    <n v="1.93821577"/>
    <n v="1.4562515700000001"/>
    <n v="0.48196420000000001"/>
    <n v="2.3143215399999999"/>
    <n v="6.0264519999999995E-2"/>
    <n v="0"/>
    <n v="0"/>
    <n v="0"/>
    <n v="0"/>
    <n v="0"/>
    <n v="11.528924050000001"/>
    <n v="0.34890928999999998"/>
    <n v="0"/>
  </r>
  <r>
    <s v="2022"/>
    <s v="05"/>
    <s v="05/01/2022"/>
    <x v="4"/>
    <x v="31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32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33"/>
    <n v="0"/>
    <n v="0"/>
    <n v="0"/>
    <n v="20.323989999999998"/>
    <n v="0"/>
    <n v="0"/>
    <n v="0"/>
    <n v="0"/>
    <n v="0"/>
    <n v="0"/>
    <n v="0.28941299999999998"/>
    <n v="0"/>
    <n v="0"/>
  </r>
  <r>
    <s v="2022"/>
    <s v="05"/>
    <s v="05/01/2022"/>
    <x v="4"/>
    <x v="34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35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37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38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39"/>
    <n v="0"/>
    <n v="0"/>
    <n v="0"/>
    <n v="0"/>
    <n v="0"/>
    <n v="0"/>
    <n v="1.1779E-2"/>
    <n v="1.1779E-2"/>
    <n v="0"/>
    <n v="0"/>
    <n v="0"/>
    <n v="0"/>
    <n v="0"/>
  </r>
  <r>
    <s v="2022"/>
    <s v="05"/>
    <s v="05/01/2022"/>
    <x v="4"/>
    <x v="40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41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42"/>
    <n v="0"/>
    <n v="0"/>
    <n v="0"/>
    <n v="0"/>
    <n v="0"/>
    <n v="0"/>
    <n v="0"/>
    <n v="0"/>
    <n v="0"/>
    <n v="0"/>
    <n v="0"/>
    <n v="0"/>
    <n v="0"/>
  </r>
  <r>
    <s v="2022"/>
    <s v="05"/>
    <s v="05/01/2022"/>
    <x v="4"/>
    <x v="43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0"/>
    <n v="1171.4793923900002"/>
    <n v="1170.8993956400002"/>
    <n v="0.57917543000000005"/>
    <n v="4967.5557194200001"/>
    <n v="543.00817255999993"/>
    <n v="30.183952999999999"/>
    <n v="0.6274910600000001"/>
    <n v="0.6274910600000001"/>
    <n v="0"/>
    <n v="0"/>
    <n v="53.442389759999998"/>
    <n v="30.472636789999999"/>
    <n v="132.66936226000001"/>
  </r>
  <r>
    <s v="2022"/>
    <s v="06"/>
    <s v="06/01/2022"/>
    <x v="5"/>
    <x v="1"/>
    <n v="50.83652"/>
    <n v="50.83652"/>
    <n v="0"/>
    <n v="160.95223899999999"/>
    <n v="140.628849"/>
    <n v="30.183952999999999"/>
    <n v="0"/>
    <n v="0"/>
    <n v="0"/>
    <n v="0"/>
    <n v="0"/>
    <n v="0"/>
    <n v="0"/>
  </r>
  <r>
    <s v="2022"/>
    <s v="06"/>
    <s v="06/01/2022"/>
    <x v="5"/>
    <x v="2"/>
    <n v="148.29771728"/>
    <n v="148.29771728"/>
    <n v="0"/>
    <n v="1953.84903418"/>
    <n v="106.28216143"/>
    <n v="0"/>
    <n v="0"/>
    <n v="0"/>
    <n v="0"/>
    <n v="0"/>
    <n v="0"/>
    <n v="0"/>
    <n v="0"/>
  </r>
  <r>
    <s v="2022"/>
    <s v="06"/>
    <s v="06/01/2022"/>
    <x v="5"/>
    <x v="3"/>
    <n v="356.73019399999998"/>
    <n v="356.73019399999998"/>
    <n v="0"/>
    <n v="203.77269999999999"/>
    <n v="148.168949"/>
    <n v="0"/>
    <n v="0"/>
    <n v="0"/>
    <n v="0"/>
    <n v="0"/>
    <n v="0"/>
    <n v="0"/>
    <n v="0"/>
  </r>
  <r>
    <s v="2022"/>
    <s v="06"/>
    <s v="06/01/2022"/>
    <x v="5"/>
    <x v="4"/>
    <n v="81.941416000000004"/>
    <n v="81.941416000000004"/>
    <n v="0"/>
    <n v="781.943622"/>
    <n v="6.4830259999999997"/>
    <n v="0"/>
    <n v="0"/>
    <n v="0"/>
    <n v="0"/>
    <n v="0"/>
    <n v="23.995514"/>
    <n v="8.7536699999999996"/>
    <n v="0"/>
  </r>
  <r>
    <s v="2022"/>
    <s v="06"/>
    <s v="06/01/2022"/>
    <x v="5"/>
    <x v="5"/>
    <n v="189.56376019000001"/>
    <n v="189.56376019000001"/>
    <n v="0"/>
    <n v="19.56703469"/>
    <n v="2.6801704500000003"/>
    <n v="0"/>
    <n v="0"/>
    <n v="0"/>
    <n v="0"/>
    <n v="0"/>
    <n v="0"/>
    <n v="0.54075171"/>
    <n v="0"/>
  </r>
  <r>
    <s v="2022"/>
    <s v="06"/>
    <s v="06/01/2022"/>
    <x v="5"/>
    <x v="6"/>
    <n v="0"/>
    <n v="0"/>
    <n v="0"/>
    <n v="5.8857340000000002"/>
    <n v="0.14554300000000001"/>
    <n v="0"/>
    <n v="0"/>
    <n v="0"/>
    <n v="0"/>
    <n v="0"/>
    <n v="0"/>
    <n v="0"/>
    <n v="0"/>
  </r>
  <r>
    <s v="2022"/>
    <s v="06"/>
    <s v="06/01/2022"/>
    <x v="5"/>
    <x v="7"/>
    <n v="35.288550000000001"/>
    <n v="35.288550000000001"/>
    <n v="0"/>
    <n v="0.31376100000000001"/>
    <n v="0"/>
    <n v="0"/>
    <n v="0"/>
    <n v="0"/>
    <n v="0"/>
    <n v="0"/>
    <n v="0"/>
    <n v="0"/>
    <n v="0"/>
  </r>
  <r>
    <s v="2022"/>
    <s v="06"/>
    <s v="06/01/2022"/>
    <x v="5"/>
    <x v="8"/>
    <n v="1.809299"/>
    <n v="1.809299"/>
    <n v="0"/>
    <n v="129.99734699999999"/>
    <n v="0"/>
    <n v="0"/>
    <n v="0.57960100000000003"/>
    <n v="0.57960100000000003"/>
    <n v="0"/>
    <n v="0"/>
    <n v="16.632116"/>
    <n v="20.625682000000001"/>
    <n v="0"/>
  </r>
  <r>
    <s v="2022"/>
    <s v="06"/>
    <s v="06/01/2022"/>
    <x v="5"/>
    <x v="9"/>
    <n v="147.04925399999999"/>
    <n v="147.04925399999999"/>
    <n v="0"/>
    <n v="14.553468000000001"/>
    <n v="0.81656399999999996"/>
    <n v="0"/>
    <n v="0"/>
    <n v="0"/>
    <n v="0"/>
    <n v="0"/>
    <n v="0"/>
    <n v="0"/>
    <n v="0"/>
  </r>
  <r>
    <s v="2022"/>
    <s v="06"/>
    <s v="06/01/2022"/>
    <x v="5"/>
    <x v="10"/>
    <n v="0"/>
    <n v="0"/>
    <n v="0"/>
    <n v="32.178795999999998"/>
    <n v="0"/>
    <n v="0"/>
    <n v="0"/>
    <n v="0"/>
    <n v="0"/>
    <n v="0"/>
    <n v="0"/>
    <n v="0"/>
    <n v="0"/>
  </r>
  <r>
    <s v="2022"/>
    <s v="06"/>
    <s v="06/01/2022"/>
    <x v="5"/>
    <x v="44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11"/>
    <n v="2.1329000000000001E-2"/>
    <n v="2.1329000000000001E-2"/>
    <n v="0"/>
    <n v="46.444288"/>
    <n v="1.7187999999999998E-2"/>
    <n v="0"/>
    <n v="0"/>
    <n v="0"/>
    <n v="0"/>
    <n v="0"/>
    <n v="0"/>
    <n v="0"/>
    <n v="0"/>
  </r>
  <r>
    <s v="2022"/>
    <s v="06"/>
    <s v="06/01/2022"/>
    <x v="5"/>
    <x v="12"/>
    <n v="64.111251600000003"/>
    <n v="64.110430280000003"/>
    <n v="0"/>
    <n v="730.16856703999997"/>
    <n v="137.70846054"/>
    <n v="0"/>
    <n v="0"/>
    <n v="0"/>
    <n v="0"/>
    <n v="0"/>
    <n v="0"/>
    <n v="0"/>
    <n v="0"/>
  </r>
  <r>
    <s v="2022"/>
    <s v="06"/>
    <s v="06/01/2022"/>
    <x v="5"/>
    <x v="13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14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15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16"/>
    <n v="0.40927292999999998"/>
    <n v="0.40927292999999998"/>
    <n v="0"/>
    <n v="0"/>
    <n v="0"/>
    <n v="0"/>
    <n v="0"/>
    <n v="0"/>
    <n v="0"/>
    <n v="0"/>
    <n v="0"/>
    <n v="0"/>
    <n v="0"/>
  </r>
  <r>
    <s v="2022"/>
    <s v="06"/>
    <s v="06/01/2022"/>
    <x v="5"/>
    <x v="17"/>
    <n v="63.004564000000002"/>
    <n v="63.004564000000002"/>
    <n v="0"/>
    <n v="0"/>
    <n v="0"/>
    <n v="0"/>
    <n v="0"/>
    <n v="0"/>
    <n v="0"/>
    <n v="0"/>
    <n v="0"/>
    <n v="0"/>
    <n v="0"/>
  </r>
  <r>
    <s v="2022"/>
    <s v="06"/>
    <s v="06/01/2022"/>
    <x v="5"/>
    <x v="18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19"/>
    <n v="0"/>
    <n v="0"/>
    <n v="0"/>
    <n v="662.33823126000004"/>
    <n v="4.3648300000000001E-3"/>
    <n v="0"/>
    <n v="0"/>
    <n v="0"/>
    <n v="0"/>
    <n v="0"/>
    <n v="0"/>
    <n v="0"/>
    <n v="0"/>
  </r>
  <r>
    <s v="2022"/>
    <s v="06"/>
    <s v="06/01/2022"/>
    <x v="5"/>
    <x v="20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21"/>
    <n v="0"/>
    <n v="0"/>
    <n v="0"/>
    <n v="172.85685799999999"/>
    <n v="0"/>
    <n v="0"/>
    <n v="0"/>
    <n v="0"/>
    <n v="0"/>
    <n v="0"/>
    <n v="1.535949"/>
    <n v="0"/>
    <n v="0"/>
  </r>
  <r>
    <s v="2022"/>
    <s v="06"/>
    <s v="06/01/2022"/>
    <x v="5"/>
    <x v="22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23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24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25"/>
    <n v="0"/>
    <n v="0"/>
    <n v="0"/>
    <n v="0.20659917999999999"/>
    <n v="0"/>
    <n v="0"/>
    <n v="0"/>
    <n v="0"/>
    <n v="0"/>
    <n v="0"/>
    <n v="0"/>
    <n v="0"/>
    <n v="0"/>
  </r>
  <r>
    <s v="2022"/>
    <s v="06"/>
    <s v="06/01/2022"/>
    <x v="5"/>
    <x v="26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27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28"/>
    <n v="0"/>
    <n v="0"/>
    <n v="0"/>
    <n v="14.285417000000001"/>
    <n v="0"/>
    <n v="0"/>
    <n v="0"/>
    <n v="0"/>
    <n v="0"/>
    <n v="0"/>
    <n v="0"/>
    <n v="0"/>
    <n v="0"/>
  </r>
  <r>
    <s v="2022"/>
    <s v="06"/>
    <s v="06/01/2022"/>
    <x v="5"/>
    <x v="29"/>
    <n v="0"/>
    <n v="0"/>
    <n v="0"/>
    <n v="13.519170000000001"/>
    <n v="0"/>
    <n v="0"/>
    <n v="0"/>
    <n v="0"/>
    <n v="0"/>
    <n v="0"/>
    <n v="0"/>
    <n v="0"/>
    <n v="0"/>
  </r>
  <r>
    <s v="2022"/>
    <s v="06"/>
    <s v="06/01/2022"/>
    <x v="5"/>
    <x v="30"/>
    <n v="1.5319413899999998"/>
    <n v="0.95276595999999991"/>
    <n v="0.57917543000000005"/>
    <n v="8.715977070000001"/>
    <n v="7.2896309999999992E-2"/>
    <n v="0"/>
    <n v="4.7890059999999998E-2"/>
    <n v="4.7890059999999998E-2"/>
    <n v="0"/>
    <n v="0"/>
    <n v="11.138289759999999"/>
    <n v="0.55253308000000001"/>
    <n v="0"/>
  </r>
  <r>
    <s v="2022"/>
    <s v="06"/>
    <s v="06/01/2022"/>
    <x v="5"/>
    <x v="31"/>
    <n v="30.884322999999998"/>
    <n v="30.884322999999998"/>
    <n v="0"/>
    <n v="0"/>
    <n v="0"/>
    <n v="0"/>
    <n v="0"/>
    <n v="0"/>
    <n v="0"/>
    <n v="0"/>
    <n v="0"/>
    <n v="0"/>
    <n v="0"/>
  </r>
  <r>
    <s v="2022"/>
    <s v="06"/>
    <s v="06/01/2022"/>
    <x v="5"/>
    <x v="32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33"/>
    <n v="0"/>
    <n v="0"/>
    <n v="0"/>
    <n v="16.006875999999998"/>
    <n v="0"/>
    <n v="0"/>
    <n v="0"/>
    <n v="0"/>
    <n v="0"/>
    <n v="0"/>
    <n v="0.14052100000000001"/>
    <n v="0"/>
    <n v="0"/>
  </r>
  <r>
    <s v="2022"/>
    <s v="06"/>
    <s v="06/01/2022"/>
    <x v="5"/>
    <x v="34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35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36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37"/>
    <n v="0"/>
    <n v="0"/>
    <n v="0"/>
    <n v="0"/>
    <n v="0"/>
    <n v="0"/>
    <n v="0"/>
    <n v="0"/>
    <n v="0"/>
    <n v="0"/>
    <n v="0"/>
    <n v="0"/>
    <n v="132.66936226000001"/>
  </r>
  <r>
    <s v="2022"/>
    <s v="06"/>
    <s v="06/01/2022"/>
    <x v="5"/>
    <x v="38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39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40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41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42"/>
    <n v="0"/>
    <n v="0"/>
    <n v="0"/>
    <n v="0"/>
    <n v="0"/>
    <n v="0"/>
    <n v="0"/>
    <n v="0"/>
    <n v="0"/>
    <n v="0"/>
    <n v="0"/>
    <n v="0"/>
    <n v="0"/>
  </r>
  <r>
    <s v="2022"/>
    <s v="06"/>
    <s v="06/01/2022"/>
    <x v="5"/>
    <x v="43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0"/>
    <n v="2126.98142904"/>
    <n v="2126.0230621800001"/>
    <n v="0.95820864000000006"/>
    <n v="5011.1759455600004"/>
    <n v="664.63784630999999"/>
    <n v="30.183952999999999"/>
    <n v="0.38517600000000002"/>
    <n v="0.38517600000000002"/>
    <n v="0"/>
    <n v="0"/>
    <n v="45.462923409999995"/>
    <n v="37.24259215"/>
    <n v="0"/>
  </r>
  <r>
    <s v="2022"/>
    <s v="07"/>
    <s v="07/01/2022"/>
    <x v="6"/>
    <x v="1"/>
    <n v="50.83652"/>
    <n v="50.83652"/>
    <n v="0"/>
    <n v="160.95223899999999"/>
    <n v="140.628849"/>
    <n v="30.183952999999999"/>
    <n v="0"/>
    <n v="0"/>
    <n v="0"/>
    <n v="0"/>
    <n v="0"/>
    <n v="0"/>
    <n v="0"/>
  </r>
  <r>
    <s v="2022"/>
    <s v="07"/>
    <s v="07/01/2022"/>
    <x v="6"/>
    <x v="2"/>
    <n v="536.69926592000002"/>
    <n v="536.69926592000002"/>
    <n v="0"/>
    <n v="2056.7979290499998"/>
    <n v="196.64730327999999"/>
    <n v="0"/>
    <n v="0"/>
    <n v="0"/>
    <n v="0"/>
    <n v="0"/>
    <n v="0"/>
    <n v="0"/>
    <n v="0"/>
  </r>
  <r>
    <s v="2022"/>
    <s v="07"/>
    <s v="07/01/2022"/>
    <x v="6"/>
    <x v="3"/>
    <n v="432.084157"/>
    <n v="432.084157"/>
    <n v="0"/>
    <n v="315.42542800000001"/>
    <n v="134.68585300000001"/>
    <n v="0"/>
    <n v="0"/>
    <n v="0"/>
    <n v="0"/>
    <n v="0"/>
    <n v="0"/>
    <n v="0"/>
    <n v="0"/>
  </r>
  <r>
    <s v="2022"/>
    <s v="07"/>
    <s v="07/01/2022"/>
    <x v="6"/>
    <x v="4"/>
    <n v="705.92013599999996"/>
    <n v="705.92013599999996"/>
    <n v="0"/>
    <n v="612.09703100000002"/>
    <n v="24.326698"/>
    <n v="0"/>
    <n v="0"/>
    <n v="0"/>
    <n v="0"/>
    <n v="0"/>
    <n v="19.718271999999999"/>
    <n v="14.079814000000001"/>
    <n v="0"/>
  </r>
  <r>
    <s v="2022"/>
    <s v="07"/>
    <s v="07/01/2022"/>
    <x v="6"/>
    <x v="5"/>
    <n v="22.022560010000003"/>
    <n v="22.022560010000003"/>
    <n v="0"/>
    <n v="23.389314129999999"/>
    <n v="0.6019002"/>
    <n v="0"/>
    <n v="0"/>
    <n v="0"/>
    <n v="0"/>
    <n v="0"/>
    <n v="0"/>
    <n v="0.52476743999999997"/>
    <n v="0"/>
  </r>
  <r>
    <s v="2022"/>
    <s v="07"/>
    <s v="07/01/2022"/>
    <x v="6"/>
    <x v="6"/>
    <n v="0"/>
    <n v="0"/>
    <n v="0"/>
    <n v="25.808126000000001"/>
    <n v="1.9559999999999998E-3"/>
    <n v="0"/>
    <n v="0"/>
    <n v="0"/>
    <n v="0"/>
    <n v="0"/>
    <n v="0"/>
    <n v="0"/>
    <n v="0"/>
  </r>
  <r>
    <s v="2022"/>
    <s v="07"/>
    <s v="07/01/2022"/>
    <x v="6"/>
    <x v="7"/>
    <n v="5.8255610000000004"/>
    <n v="5.8255610000000004"/>
    <n v="0"/>
    <n v="0.54735599999999995"/>
    <n v="0.16770199999999999"/>
    <n v="0"/>
    <n v="0"/>
    <n v="0"/>
    <n v="0"/>
    <n v="0"/>
    <n v="0"/>
    <n v="0"/>
    <n v="0"/>
  </r>
  <r>
    <s v="2022"/>
    <s v="07"/>
    <s v="07/01/2022"/>
    <x v="6"/>
    <x v="8"/>
    <n v="3.6658010000000001"/>
    <n v="3.6658010000000001"/>
    <n v="0"/>
    <n v="136.196234"/>
    <n v="8.9309999999999997E-3"/>
    <n v="0"/>
    <n v="4.9040000000000004E-3"/>
    <n v="4.9040000000000004E-3"/>
    <n v="0"/>
    <n v="0"/>
    <n v="9.3609419999999997"/>
    <n v="20.568625999999998"/>
    <n v="0"/>
  </r>
  <r>
    <s v="2022"/>
    <s v="07"/>
    <s v="07/01/2022"/>
    <x v="6"/>
    <x v="9"/>
    <n v="22.653679"/>
    <n v="22.653679"/>
    <n v="0"/>
    <n v="14.174401"/>
    <n v="0.47081499999999998"/>
    <n v="0"/>
    <n v="0"/>
    <n v="0"/>
    <n v="0"/>
    <n v="0"/>
    <n v="0"/>
    <n v="0"/>
    <n v="0"/>
  </r>
  <r>
    <s v="2022"/>
    <s v="07"/>
    <s v="07/01/2022"/>
    <x v="6"/>
    <x v="10"/>
    <n v="0"/>
    <n v="0"/>
    <n v="0"/>
    <n v="31.797671999999999"/>
    <n v="0"/>
    <n v="0"/>
    <n v="0"/>
    <n v="0"/>
    <n v="0"/>
    <n v="0"/>
    <n v="0"/>
    <n v="0"/>
    <n v="0"/>
  </r>
  <r>
    <s v="2022"/>
    <s v="07"/>
    <s v="07/01/2022"/>
    <x v="6"/>
    <x v="44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11"/>
    <n v="0.174015"/>
    <n v="0.174015"/>
    <n v="0"/>
    <n v="70.381963999999996"/>
    <n v="5.9041999999999997E-2"/>
    <n v="0"/>
    <n v="0"/>
    <n v="0"/>
    <n v="0"/>
    <n v="0"/>
    <n v="0"/>
    <n v="0"/>
    <n v="0"/>
  </r>
  <r>
    <s v="2022"/>
    <s v="07"/>
    <s v="07/01/2022"/>
    <x v="6"/>
    <x v="12"/>
    <n v="315.57492643"/>
    <n v="315.57476821"/>
    <n v="0"/>
    <n v="865.41361890999997"/>
    <n v="165.33906119"/>
    <n v="0"/>
    <n v="0"/>
    <n v="0"/>
    <n v="0"/>
    <n v="0"/>
    <n v="0"/>
    <n v="0"/>
    <n v="0"/>
  </r>
  <r>
    <s v="2022"/>
    <s v="07"/>
    <s v="07/01/2022"/>
    <x v="6"/>
    <x v="13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14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15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16"/>
    <n v="0.39460429999999996"/>
    <n v="0.39460429999999996"/>
    <n v="0"/>
    <n v="0"/>
    <n v="0"/>
    <n v="0"/>
    <n v="0"/>
    <n v="0"/>
    <n v="0"/>
    <n v="0"/>
    <n v="0"/>
    <n v="0"/>
    <n v="0"/>
  </r>
  <r>
    <s v="2022"/>
    <s v="07"/>
    <s v="07/01/2022"/>
    <x v="6"/>
    <x v="17"/>
    <n v="26.364296"/>
    <n v="26.364296"/>
    <n v="0"/>
    <n v="0"/>
    <n v="0"/>
    <n v="0"/>
    <n v="0.35684500000000002"/>
    <n v="0.35684500000000002"/>
    <n v="0"/>
    <n v="0"/>
    <n v="0"/>
    <n v="1.938302"/>
    <n v="0"/>
  </r>
  <r>
    <s v="2022"/>
    <s v="07"/>
    <s v="07/01/2022"/>
    <x v="6"/>
    <x v="18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19"/>
    <n v="0"/>
    <n v="0"/>
    <n v="0"/>
    <n v="511.75688167999999"/>
    <n v="0"/>
    <n v="0"/>
    <n v="0"/>
    <n v="0"/>
    <n v="0"/>
    <n v="0"/>
    <n v="0"/>
    <n v="0"/>
    <n v="0"/>
  </r>
  <r>
    <s v="2022"/>
    <s v="07"/>
    <s v="07/01/2022"/>
    <x v="6"/>
    <x v="20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21"/>
    <n v="0"/>
    <n v="0"/>
    <n v="0"/>
    <n v="148.209486"/>
    <n v="0"/>
    <n v="0"/>
    <n v="0"/>
    <n v="0"/>
    <n v="0"/>
    <n v="0"/>
    <n v="1.8843460000000001"/>
    <n v="0"/>
    <n v="0"/>
  </r>
  <r>
    <s v="2022"/>
    <s v="07"/>
    <s v="07/01/2022"/>
    <x v="6"/>
    <x v="22"/>
    <n v="2.0778000000000001E-2"/>
    <n v="2.0778000000000001E-2"/>
    <n v="0"/>
    <n v="0"/>
    <n v="0"/>
    <n v="0"/>
    <n v="0"/>
    <n v="0"/>
    <n v="0"/>
    <n v="0"/>
    <n v="0"/>
    <n v="0"/>
    <n v="0"/>
  </r>
  <r>
    <s v="2022"/>
    <s v="07"/>
    <s v="07/01/2022"/>
    <x v="6"/>
    <x v="23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24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25"/>
    <n v="0"/>
    <n v="0"/>
    <n v="0"/>
    <n v="0.16201978"/>
    <n v="0"/>
    <n v="0"/>
    <n v="0"/>
    <n v="0"/>
    <n v="0"/>
    <n v="0"/>
    <n v="0"/>
    <n v="0"/>
    <n v="0"/>
  </r>
  <r>
    <s v="2022"/>
    <s v="07"/>
    <s v="07/01/2022"/>
    <x v="6"/>
    <x v="26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27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28"/>
    <n v="0"/>
    <n v="0"/>
    <n v="0"/>
    <n v="14.285417000000001"/>
    <n v="0"/>
    <n v="0"/>
    <n v="0"/>
    <n v="0"/>
    <n v="0"/>
    <n v="0"/>
    <n v="0"/>
    <n v="0"/>
    <n v="0"/>
  </r>
  <r>
    <s v="2022"/>
    <s v="07"/>
    <s v="07/01/2022"/>
    <x v="6"/>
    <x v="29"/>
    <n v="0"/>
    <n v="0"/>
    <n v="0"/>
    <n v="3.8757E-2"/>
    <n v="0"/>
    <n v="0"/>
    <n v="0"/>
    <n v="0"/>
    <n v="0"/>
    <n v="0"/>
    <n v="0"/>
    <n v="0"/>
    <n v="0"/>
  </r>
  <r>
    <s v="2022"/>
    <s v="07"/>
    <s v="07/01/2022"/>
    <x v="6"/>
    <x v="30"/>
    <n v="2.3235094199999997"/>
    <n v="1.3653007800000001"/>
    <n v="0.95820864000000006"/>
    <n v="7.1433980099999994"/>
    <n v="2.0907639999999998E-2"/>
    <n v="0"/>
    <n v="0"/>
    <n v="0"/>
    <n v="0"/>
    <n v="0"/>
    <n v="14.34782541"/>
    <n v="0.13108270999999999"/>
    <n v="0"/>
  </r>
  <r>
    <s v="2022"/>
    <s v="07"/>
    <s v="07/01/2022"/>
    <x v="6"/>
    <x v="31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32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33"/>
    <n v="0"/>
    <n v="0"/>
    <n v="0"/>
    <n v="16.598673000000002"/>
    <n v="0"/>
    <n v="0"/>
    <n v="0"/>
    <n v="0"/>
    <n v="0"/>
    <n v="0"/>
    <n v="0.15153800000000001"/>
    <n v="0"/>
    <n v="0"/>
  </r>
  <r>
    <s v="2022"/>
    <s v="07"/>
    <s v="07/01/2022"/>
    <x v="6"/>
    <x v="34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35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36"/>
    <n v="2.4216199600000001"/>
    <n v="2.4216199600000001"/>
    <n v="0"/>
    <n v="0"/>
    <n v="0"/>
    <n v="0"/>
    <n v="0"/>
    <n v="0"/>
    <n v="0"/>
    <n v="0"/>
    <n v="0"/>
    <n v="0"/>
    <n v="0"/>
  </r>
  <r>
    <s v="2022"/>
    <s v="07"/>
    <s v="07/01/2022"/>
    <x v="6"/>
    <x v="37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38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39"/>
    <n v="0"/>
    <n v="0"/>
    <n v="0"/>
    <n v="0"/>
    <n v="1.678828"/>
    <n v="0"/>
    <n v="2.3427E-2"/>
    <n v="2.3427E-2"/>
    <n v="0"/>
    <n v="0"/>
    <n v="0"/>
    <n v="0"/>
    <n v="0"/>
  </r>
  <r>
    <s v="2022"/>
    <s v="07"/>
    <s v="07/01/2022"/>
    <x v="6"/>
    <x v="40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41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42"/>
    <n v="0"/>
    <n v="0"/>
    <n v="0"/>
    <n v="0"/>
    <n v="0"/>
    <n v="0"/>
    <n v="0"/>
    <n v="0"/>
    <n v="0"/>
    <n v="0"/>
    <n v="0"/>
    <n v="0"/>
    <n v="0"/>
  </r>
  <r>
    <s v="2022"/>
    <s v="07"/>
    <s v="07/01/2022"/>
    <x v="6"/>
    <x v="43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0"/>
    <n v="1677.02233396"/>
    <n v="1462.7292824200001"/>
    <n v="214.29297640999999"/>
    <n v="5662.4687786899995"/>
    <n v="574.19209228"/>
    <n v="10.693477"/>
    <n v="55.865025659999993"/>
    <n v="2.8266756600000003"/>
    <n v="53.038350000000001"/>
    <n v="0"/>
    <n v="48.357168969999996"/>
    <n v="48.699921930000002"/>
    <n v="0"/>
  </r>
  <r>
    <s v="2022"/>
    <s v="08"/>
    <s v="08/01/2022"/>
    <x v="7"/>
    <x v="1"/>
    <n v="68.139086000000006"/>
    <n v="68.139086000000006"/>
    <n v="0"/>
    <n v="140.01356200000001"/>
    <n v="154.86660499999999"/>
    <n v="10.693477"/>
    <n v="0"/>
    <n v="0"/>
    <n v="0"/>
    <n v="0"/>
    <n v="0"/>
    <n v="0"/>
    <n v="0"/>
  </r>
  <r>
    <s v="2022"/>
    <s v="08"/>
    <s v="08/01/2022"/>
    <x v="7"/>
    <x v="2"/>
    <n v="193.09698524000001"/>
    <n v="193.09698524000001"/>
    <n v="0"/>
    <n v="2044.5732901400002"/>
    <n v="123.92161435"/>
    <n v="0"/>
    <n v="0"/>
    <n v="0"/>
    <n v="0"/>
    <n v="0"/>
    <n v="0"/>
    <n v="0"/>
    <n v="0"/>
  </r>
  <r>
    <s v="2022"/>
    <s v="08"/>
    <s v="08/01/2022"/>
    <x v="7"/>
    <x v="3"/>
    <n v="421.50925999999998"/>
    <n v="220.74858499999999"/>
    <n v="200.76067499999999"/>
    <n v="380.03004700000002"/>
    <n v="135.02505500000001"/>
    <n v="0"/>
    <n v="0"/>
    <n v="0"/>
    <n v="0"/>
    <n v="0"/>
    <n v="0"/>
    <n v="0"/>
    <n v="0"/>
  </r>
  <r>
    <s v="2022"/>
    <s v="08"/>
    <s v="08/01/2022"/>
    <x v="7"/>
    <x v="4"/>
    <n v="430.10296199999999"/>
    <n v="430.10296199999999"/>
    <n v="0"/>
    <n v="594.25620300000003"/>
    <n v="24.494636"/>
    <n v="0"/>
    <n v="0"/>
    <n v="0"/>
    <n v="0"/>
    <n v="0"/>
    <n v="21.684003000000001"/>
    <n v="28.272258999999998"/>
    <n v="0"/>
  </r>
  <r>
    <s v="2022"/>
    <s v="08"/>
    <s v="08/01/2022"/>
    <x v="7"/>
    <x v="5"/>
    <n v="8.0675603000000002"/>
    <n v="8.0675603000000002"/>
    <n v="0"/>
    <n v="20.112905140000002"/>
    <n v="2.8220226099999999"/>
    <n v="0"/>
    <n v="0"/>
    <n v="0"/>
    <n v="0"/>
    <n v="0"/>
    <n v="0"/>
    <n v="0.59614583999999993"/>
    <n v="0"/>
  </r>
  <r>
    <s v="2022"/>
    <s v="08"/>
    <s v="08/01/2022"/>
    <x v="7"/>
    <x v="6"/>
    <n v="0"/>
    <n v="0"/>
    <n v="0"/>
    <n v="5.2435219999999996"/>
    <n v="1.9696000000000002E-2"/>
    <n v="0"/>
    <n v="0"/>
    <n v="0"/>
    <n v="0"/>
    <n v="0"/>
    <n v="0"/>
    <n v="0"/>
    <n v="0"/>
  </r>
  <r>
    <s v="2022"/>
    <s v="08"/>
    <s v="08/01/2022"/>
    <x v="7"/>
    <x v="7"/>
    <n v="0"/>
    <n v="0"/>
    <n v="0"/>
    <n v="1.9691909999999999"/>
    <n v="0"/>
    <n v="0"/>
    <n v="0"/>
    <n v="0"/>
    <n v="0"/>
    <n v="0"/>
    <n v="0"/>
    <n v="0"/>
    <n v="0"/>
  </r>
  <r>
    <s v="2022"/>
    <s v="08"/>
    <s v="08/01/2022"/>
    <x v="7"/>
    <x v="8"/>
    <n v="304.257766"/>
    <n v="304.257766"/>
    <n v="0"/>
    <n v="170.36874700000001"/>
    <n v="0"/>
    <n v="0"/>
    <n v="55.733832"/>
    <n v="2.6954820000000002"/>
    <n v="53.038350000000001"/>
    <n v="0"/>
    <n v="12.765401000000001"/>
    <n v="17.999451000000001"/>
    <n v="0"/>
  </r>
  <r>
    <s v="2022"/>
    <s v="08"/>
    <s v="08/01/2022"/>
    <x v="7"/>
    <x v="9"/>
    <n v="38.466374000000002"/>
    <n v="38.466374000000002"/>
    <n v="0"/>
    <n v="18.468387"/>
    <n v="7.1908279999999998"/>
    <n v="0"/>
    <n v="0"/>
    <n v="0"/>
    <n v="0"/>
    <n v="0"/>
    <n v="0"/>
    <n v="0"/>
    <n v="0"/>
  </r>
  <r>
    <s v="2022"/>
    <s v="08"/>
    <s v="08/01/2022"/>
    <x v="7"/>
    <x v="10"/>
    <n v="0"/>
    <n v="0"/>
    <n v="0"/>
    <n v="38.611407"/>
    <n v="0"/>
    <n v="0"/>
    <n v="0"/>
    <n v="0"/>
    <n v="0"/>
    <n v="0"/>
    <n v="0"/>
    <n v="0"/>
    <n v="0"/>
  </r>
  <r>
    <s v="2022"/>
    <s v="08"/>
    <s v="08/01/2022"/>
    <x v="7"/>
    <x v="44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11"/>
    <n v="3.5977000000000002E-2"/>
    <n v="3.5977000000000002E-2"/>
    <n v="0"/>
    <n v="57.803291000000002"/>
    <n v="4.1922000000000001E-2"/>
    <n v="0"/>
    <n v="0"/>
    <n v="0"/>
    <n v="0"/>
    <n v="0"/>
    <n v="0"/>
    <n v="0"/>
    <n v="0"/>
  </r>
  <r>
    <s v="2022"/>
    <s v="08"/>
    <s v="08/01/2022"/>
    <x v="7"/>
    <x v="12"/>
    <n v="89.553545270000001"/>
    <n v="89.553470140000002"/>
    <n v="0"/>
    <n v="920.46678569000005"/>
    <n v="125.73309689"/>
    <n v="0"/>
    <n v="0"/>
    <n v="0"/>
    <n v="0"/>
    <n v="0"/>
    <n v="0"/>
    <n v="0"/>
    <n v="0"/>
  </r>
  <r>
    <s v="2022"/>
    <s v="08"/>
    <s v="08/01/2022"/>
    <x v="7"/>
    <x v="13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14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15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16"/>
    <n v="0.23302526000000001"/>
    <n v="0.23302526000000001"/>
    <n v="0"/>
    <n v="0"/>
    <n v="0"/>
    <n v="0"/>
    <n v="0"/>
    <n v="0"/>
    <n v="0"/>
    <n v="0"/>
    <n v="0"/>
    <n v="0"/>
    <n v="0"/>
  </r>
  <r>
    <s v="2022"/>
    <s v="08"/>
    <s v="08/01/2022"/>
    <x v="7"/>
    <x v="17"/>
    <n v="26.124327000000001"/>
    <n v="26.124327000000001"/>
    <n v="0"/>
    <n v="0"/>
    <n v="0"/>
    <n v="0"/>
    <n v="6.9281999999999996E-2"/>
    <n v="6.9281999999999996E-2"/>
    <n v="0"/>
    <n v="0"/>
    <n v="0"/>
    <n v="1.7483550000000001"/>
    <n v="0"/>
  </r>
  <r>
    <s v="2022"/>
    <s v="08"/>
    <s v="08/01/2022"/>
    <x v="7"/>
    <x v="18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19"/>
    <n v="0"/>
    <n v="0"/>
    <n v="0"/>
    <n v="1056.8387249500001"/>
    <n v="3.3916700000000003E-3"/>
    <n v="0"/>
    <n v="0"/>
    <n v="0"/>
    <n v="0"/>
    <n v="0"/>
    <n v="0"/>
    <n v="0"/>
    <n v="0"/>
  </r>
  <r>
    <s v="2022"/>
    <s v="08"/>
    <s v="08/01/2022"/>
    <x v="7"/>
    <x v="20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21"/>
    <n v="0"/>
    <n v="0"/>
    <n v="0"/>
    <n v="155.84128200000001"/>
    <n v="0"/>
    <n v="0"/>
    <n v="0"/>
    <n v="0"/>
    <n v="0"/>
    <n v="0"/>
    <n v="2.0435219999999998"/>
    <n v="0"/>
    <n v="0"/>
  </r>
  <r>
    <s v="2022"/>
    <s v="08"/>
    <s v="08/01/2022"/>
    <x v="7"/>
    <x v="22"/>
    <n v="81.390541999999996"/>
    <n v="81.390541999999996"/>
    <n v="0"/>
    <n v="0.39270300000000002"/>
    <n v="0"/>
    <n v="0"/>
    <n v="0"/>
    <n v="0"/>
    <n v="0"/>
    <n v="0"/>
    <n v="0"/>
    <n v="0"/>
    <n v="0"/>
  </r>
  <r>
    <s v="2022"/>
    <s v="08"/>
    <s v="08/01/2022"/>
    <x v="7"/>
    <x v="23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24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25"/>
    <n v="0"/>
    <n v="0"/>
    <n v="0"/>
    <n v="0.28457921000000003"/>
    <n v="0"/>
    <n v="0"/>
    <n v="0"/>
    <n v="0"/>
    <n v="0"/>
    <n v="0"/>
    <n v="0"/>
    <n v="0"/>
    <n v="0"/>
  </r>
  <r>
    <s v="2022"/>
    <s v="08"/>
    <s v="08/01/2022"/>
    <x v="7"/>
    <x v="26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27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28"/>
    <n v="0"/>
    <n v="0"/>
    <n v="0"/>
    <n v="36.644246000000003"/>
    <n v="0"/>
    <n v="0"/>
    <n v="0"/>
    <n v="0"/>
    <n v="0"/>
    <n v="0"/>
    <n v="0"/>
    <n v="0"/>
    <n v="0"/>
  </r>
  <r>
    <s v="2022"/>
    <s v="08"/>
    <s v="08/01/2022"/>
    <x v="7"/>
    <x v="29"/>
    <n v="0"/>
    <n v="0"/>
    <n v="0"/>
    <n v="0.20158300000000001"/>
    <n v="0"/>
    <n v="0"/>
    <n v="0"/>
    <n v="0"/>
    <n v="0"/>
    <n v="0"/>
    <n v="0"/>
    <n v="0"/>
    <n v="0"/>
  </r>
  <r>
    <s v="2022"/>
    <s v="08"/>
    <s v="08/01/2022"/>
    <x v="7"/>
    <x v="30"/>
    <n v="16.04492389"/>
    <n v="2.5126224800000001"/>
    <n v="13.532301410000001"/>
    <n v="3.7028465600000002"/>
    <n v="7.322476E-2"/>
    <n v="0"/>
    <n v="6.191166E-2"/>
    <n v="6.191166E-2"/>
    <n v="0"/>
    <n v="0"/>
    <n v="11.054578970000001"/>
    <n v="8.3711090000000002E-2"/>
    <n v="0"/>
  </r>
  <r>
    <s v="2022"/>
    <s v="08"/>
    <s v="08/01/2022"/>
    <x v="7"/>
    <x v="31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32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33"/>
    <n v="0"/>
    <n v="0"/>
    <n v="0"/>
    <n v="16.645475999999999"/>
    <n v="0"/>
    <n v="0"/>
    <n v="0"/>
    <n v="0"/>
    <n v="0"/>
    <n v="0"/>
    <n v="0.80966400000000005"/>
    <n v="0"/>
    <n v="0"/>
  </r>
  <r>
    <s v="2022"/>
    <s v="08"/>
    <s v="08/01/2022"/>
    <x v="7"/>
    <x v="34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35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36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37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38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39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40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41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42"/>
    <n v="0"/>
    <n v="0"/>
    <n v="0"/>
    <n v="0"/>
    <n v="0"/>
    <n v="0"/>
    <n v="0"/>
    <n v="0"/>
    <n v="0"/>
    <n v="0"/>
    <n v="0"/>
    <n v="0"/>
    <n v="0"/>
  </r>
  <r>
    <s v="2022"/>
    <s v="08"/>
    <s v="08/01/2022"/>
    <x v="7"/>
    <x v="43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0"/>
    <n v="955.34721764999995"/>
    <n v="953.85970487999998"/>
    <n v="1.4875127699999999"/>
    <n v="6044.6594025000004"/>
    <n v="623.86855596999999"/>
    <n v="10.693477"/>
    <n v="10.96868976"/>
    <n v="10.96868976"/>
    <n v="0"/>
    <n v="0"/>
    <n v="66.937004950000002"/>
    <n v="39.03665032"/>
    <n v="0"/>
  </r>
  <r>
    <s v="2022"/>
    <s v="09"/>
    <s v="09/01/2022"/>
    <x v="8"/>
    <x v="1"/>
    <n v="68.139086000000006"/>
    <n v="68.139086000000006"/>
    <n v="0"/>
    <n v="140.01356200000001"/>
    <n v="154.86660499999999"/>
    <n v="10.693477"/>
    <n v="0"/>
    <n v="0"/>
    <n v="0"/>
    <n v="0"/>
    <n v="0"/>
    <n v="0"/>
    <n v="0"/>
  </r>
  <r>
    <s v="2022"/>
    <s v="09"/>
    <s v="09/01/2022"/>
    <x v="8"/>
    <x v="2"/>
    <n v="172.27557983000003"/>
    <n v="172.27557983000003"/>
    <n v="0"/>
    <n v="2165.88048622"/>
    <n v="143.29909966999998"/>
    <n v="0"/>
    <n v="0"/>
    <n v="0"/>
    <n v="0"/>
    <n v="0"/>
    <n v="0"/>
    <n v="0"/>
    <n v="0"/>
  </r>
  <r>
    <s v="2022"/>
    <s v="09"/>
    <s v="09/01/2022"/>
    <x v="8"/>
    <x v="3"/>
    <n v="203.67489599999999"/>
    <n v="203.67489599999999"/>
    <n v="0"/>
    <n v="318.43788599999999"/>
    <n v="147.20116100000001"/>
    <n v="0"/>
    <n v="0"/>
    <n v="0"/>
    <n v="0"/>
    <n v="0"/>
    <n v="0"/>
    <n v="0"/>
    <n v="0"/>
  </r>
  <r>
    <s v="2022"/>
    <s v="09"/>
    <s v="09/01/2022"/>
    <x v="8"/>
    <x v="4"/>
    <n v="81.225328000000005"/>
    <n v="81.225328000000005"/>
    <n v="0"/>
    <n v="768.38637100000005"/>
    <n v="15.479869000000001"/>
    <n v="0"/>
    <n v="0"/>
    <n v="0"/>
    <n v="0"/>
    <n v="0"/>
    <n v="17.706699"/>
    <n v="11.697761"/>
    <n v="0"/>
  </r>
  <r>
    <s v="2022"/>
    <s v="09"/>
    <s v="09/01/2022"/>
    <x v="8"/>
    <x v="5"/>
    <n v="229.62254002"/>
    <n v="229.62254002"/>
    <n v="0"/>
    <n v="19.089217340000001"/>
    <n v="5.79615087"/>
    <n v="0"/>
    <n v="0"/>
    <n v="0"/>
    <n v="0"/>
    <n v="0"/>
    <n v="0"/>
    <n v="0.47221405999999999"/>
    <n v="0"/>
  </r>
  <r>
    <s v="2022"/>
    <s v="09"/>
    <s v="09/01/2022"/>
    <x v="8"/>
    <x v="6"/>
    <n v="0"/>
    <n v="0"/>
    <n v="0"/>
    <n v="6.2865849999999996"/>
    <n v="1.4853E-2"/>
    <n v="0"/>
    <n v="0"/>
    <n v="0"/>
    <n v="0"/>
    <n v="0"/>
    <n v="0"/>
    <n v="0"/>
    <n v="0"/>
  </r>
  <r>
    <s v="2022"/>
    <s v="09"/>
    <s v="09/01/2022"/>
    <x v="8"/>
    <x v="7"/>
    <n v="22.736191999999999"/>
    <n v="22.736191999999999"/>
    <n v="0"/>
    <n v="1.437171"/>
    <n v="0"/>
    <n v="0"/>
    <n v="0"/>
    <n v="0"/>
    <n v="0"/>
    <n v="0"/>
    <n v="0"/>
    <n v="0"/>
    <n v="0"/>
  </r>
  <r>
    <s v="2022"/>
    <s v="09"/>
    <s v="09/01/2022"/>
    <x v="8"/>
    <x v="8"/>
    <n v="3.5257909999999999"/>
    <n v="3.5257909999999999"/>
    <n v="0"/>
    <n v="164.47165799999999"/>
    <n v="0"/>
    <n v="0"/>
    <n v="1.8220000000000001E-3"/>
    <n v="1.8220000000000001E-3"/>
    <n v="0"/>
    <n v="0"/>
    <n v="14.903053999999999"/>
    <n v="26.858314"/>
    <n v="0"/>
  </r>
  <r>
    <s v="2022"/>
    <s v="09"/>
    <s v="09/01/2022"/>
    <x v="8"/>
    <x v="9"/>
    <n v="57.756398439999998"/>
    <n v="57.756398439999998"/>
    <n v="0"/>
    <n v="13.27158966"/>
    <n v="2.173476"/>
    <n v="0"/>
    <n v="0"/>
    <n v="0"/>
    <n v="0"/>
    <n v="0"/>
    <n v="0"/>
    <n v="0"/>
    <n v="0"/>
  </r>
  <r>
    <s v="2022"/>
    <s v="09"/>
    <s v="09/01/2022"/>
    <x v="8"/>
    <x v="10"/>
    <n v="0"/>
    <n v="0"/>
    <n v="0"/>
    <n v="31.398629"/>
    <n v="0"/>
    <n v="0"/>
    <n v="0"/>
    <n v="0"/>
    <n v="0"/>
    <n v="0"/>
    <n v="0"/>
    <n v="0"/>
    <n v="0"/>
  </r>
  <r>
    <s v="2022"/>
    <s v="09"/>
    <s v="09/01/2022"/>
    <x v="8"/>
    <x v="44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11"/>
    <n v="0.13572999999999999"/>
    <n v="0.13572999999999999"/>
    <n v="0"/>
    <n v="47.274265"/>
    <n v="0.19464799999999999"/>
    <n v="0"/>
    <n v="0"/>
    <n v="0"/>
    <n v="0"/>
    <n v="0"/>
    <n v="0"/>
    <n v="0"/>
    <n v="0"/>
  </r>
  <r>
    <s v="2022"/>
    <s v="09"/>
    <s v="09/01/2022"/>
    <x v="8"/>
    <x v="12"/>
    <n v="56.710294159999997"/>
    <n v="56.710294159999997"/>
    <n v="0"/>
    <n v="890.73016044000008"/>
    <n v="141.37334108000002"/>
    <n v="0"/>
    <n v="0"/>
    <n v="0"/>
    <n v="0"/>
    <n v="0"/>
    <n v="0"/>
    <n v="0"/>
    <n v="0"/>
  </r>
  <r>
    <s v="2022"/>
    <s v="09"/>
    <s v="09/01/2022"/>
    <x v="8"/>
    <x v="13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14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15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16"/>
    <n v="0.20334099999999999"/>
    <n v="0.20334099999999999"/>
    <n v="0"/>
    <n v="0"/>
    <n v="0"/>
    <n v="0"/>
    <n v="0"/>
    <n v="0"/>
    <n v="0"/>
    <n v="0"/>
    <n v="0"/>
    <n v="0"/>
    <n v="0"/>
  </r>
  <r>
    <s v="2022"/>
    <s v="09"/>
    <s v="09/01/2022"/>
    <x v="8"/>
    <x v="17"/>
    <n v="9.9565339999999996"/>
    <n v="9.9565339999999996"/>
    <n v="0"/>
    <n v="0"/>
    <n v="0"/>
    <n v="0"/>
    <n v="2.3046000000000001E-2"/>
    <n v="2.3046000000000001E-2"/>
    <n v="0"/>
    <n v="0"/>
    <n v="0"/>
    <n v="0"/>
    <n v="0"/>
  </r>
  <r>
    <s v="2022"/>
    <s v="09"/>
    <s v="09/01/2022"/>
    <x v="8"/>
    <x v="18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19"/>
    <n v="0"/>
    <n v="0"/>
    <n v="0"/>
    <n v="1254.86219394"/>
    <n v="2.4534250000000001E-2"/>
    <n v="0"/>
    <n v="0"/>
    <n v="0"/>
    <n v="0"/>
    <n v="0"/>
    <n v="0"/>
    <n v="0"/>
    <n v="0"/>
  </r>
  <r>
    <s v="2022"/>
    <s v="09"/>
    <s v="09/01/2022"/>
    <x v="8"/>
    <x v="20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21"/>
    <n v="0"/>
    <n v="0"/>
    <n v="0"/>
    <n v="187.874886"/>
    <n v="0"/>
    <n v="0"/>
    <n v="0"/>
    <n v="0"/>
    <n v="0"/>
    <n v="0"/>
    <n v="2.6072760000000001"/>
    <n v="0"/>
    <n v="0"/>
  </r>
  <r>
    <s v="2022"/>
    <s v="09"/>
    <s v="09/01/2022"/>
    <x v="8"/>
    <x v="22"/>
    <n v="2.0644179999999999"/>
    <n v="2.0644179999999999"/>
    <n v="0"/>
    <n v="0"/>
    <n v="0"/>
    <n v="0"/>
    <n v="0"/>
    <n v="0"/>
    <n v="0"/>
    <n v="0"/>
    <n v="0"/>
    <n v="0"/>
    <n v="0"/>
  </r>
  <r>
    <s v="2022"/>
    <s v="09"/>
    <s v="09/01/2022"/>
    <x v="8"/>
    <x v="23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24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25"/>
    <n v="0"/>
    <n v="0"/>
    <n v="0"/>
    <n v="0.12801822999999998"/>
    <n v="0"/>
    <n v="0"/>
    <n v="0"/>
    <n v="0"/>
    <n v="0"/>
    <n v="0"/>
    <n v="0"/>
    <n v="0"/>
    <n v="0"/>
  </r>
  <r>
    <s v="2022"/>
    <s v="09"/>
    <s v="09/01/2022"/>
    <x v="8"/>
    <x v="26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27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28"/>
    <n v="0"/>
    <n v="0"/>
    <n v="0"/>
    <n v="21.489995"/>
    <n v="0"/>
    <n v="0"/>
    <n v="0"/>
    <n v="0"/>
    <n v="0"/>
    <n v="0"/>
    <n v="0"/>
    <n v="0"/>
    <n v="0"/>
  </r>
  <r>
    <s v="2022"/>
    <s v="09"/>
    <s v="09/01/2022"/>
    <x v="8"/>
    <x v="29"/>
    <n v="0"/>
    <n v="0"/>
    <n v="0"/>
    <n v="0.16707900000000001"/>
    <n v="0"/>
    <n v="0"/>
    <n v="0"/>
    <n v="0"/>
    <n v="0"/>
    <n v="0"/>
    <n v="0"/>
    <n v="0"/>
    <n v="0"/>
  </r>
  <r>
    <s v="2022"/>
    <s v="09"/>
    <s v="09/01/2022"/>
    <x v="8"/>
    <x v="30"/>
    <n v="3.6574871"/>
    <n v="2.1699743300000001"/>
    <n v="1.4875127699999999"/>
    <n v="2.1735396699999998"/>
    <n v="13.444818099999999"/>
    <n v="0"/>
    <n v="10.943821760000001"/>
    <n v="10.943821760000001"/>
    <n v="0"/>
    <n v="0"/>
    <n v="30.833512949999999"/>
    <n v="8.3612600000000006E-3"/>
    <n v="0"/>
  </r>
  <r>
    <s v="2022"/>
    <s v="09"/>
    <s v="09/01/2022"/>
    <x v="8"/>
    <x v="31"/>
    <n v="36.071407000000001"/>
    <n v="36.071407000000001"/>
    <n v="0"/>
    <n v="0"/>
    <n v="0"/>
    <n v="0"/>
    <n v="0"/>
    <n v="0"/>
    <n v="0"/>
    <n v="0"/>
    <n v="0"/>
    <n v="0"/>
    <n v="0"/>
  </r>
  <r>
    <s v="2022"/>
    <s v="09"/>
    <s v="09/01/2022"/>
    <x v="8"/>
    <x v="32"/>
    <n v="0.90961110000000001"/>
    <n v="0.90961110000000001"/>
    <n v="0"/>
    <n v="0"/>
    <n v="0"/>
    <n v="0"/>
    <n v="0"/>
    <n v="0"/>
    <n v="0"/>
    <n v="0"/>
    <n v="0"/>
    <n v="0"/>
    <n v="0"/>
  </r>
  <r>
    <s v="2022"/>
    <s v="09"/>
    <s v="09/01/2022"/>
    <x v="8"/>
    <x v="33"/>
    <n v="0"/>
    <n v="0"/>
    <n v="0"/>
    <n v="11.286110000000001"/>
    <n v="0"/>
    <n v="0"/>
    <n v="0"/>
    <n v="0"/>
    <n v="0"/>
    <n v="0"/>
    <n v="0.886463"/>
    <n v="0"/>
    <n v="0"/>
  </r>
  <r>
    <s v="2022"/>
    <s v="09"/>
    <s v="09/01/2022"/>
    <x v="8"/>
    <x v="34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35"/>
    <n v="4.6382070000000004"/>
    <n v="4.6382070000000004"/>
    <n v="0"/>
    <n v="0"/>
    <n v="0"/>
    <n v="0"/>
    <n v="0"/>
    <n v="0"/>
    <n v="0"/>
    <n v="0"/>
    <n v="0"/>
    <n v="0"/>
    <n v="0"/>
  </r>
  <r>
    <s v="2022"/>
    <s v="09"/>
    <s v="09/01/2022"/>
    <x v="8"/>
    <x v="36"/>
    <n v="2.0443769999999999"/>
    <n v="2.0443769999999999"/>
    <n v="0"/>
    <n v="0"/>
    <n v="0"/>
    <n v="0"/>
    <n v="0"/>
    <n v="0"/>
    <n v="0"/>
    <n v="0"/>
    <n v="0"/>
    <n v="0"/>
    <n v="0"/>
  </r>
  <r>
    <s v="2022"/>
    <s v="09"/>
    <s v="09/01/2022"/>
    <x v="8"/>
    <x v="37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38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39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40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41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42"/>
    <n v="0"/>
    <n v="0"/>
    <n v="0"/>
    <n v="0"/>
    <n v="0"/>
    <n v="0"/>
    <n v="0"/>
    <n v="0"/>
    <n v="0"/>
    <n v="0"/>
    <n v="0"/>
    <n v="0"/>
    <n v="0"/>
  </r>
  <r>
    <s v="2022"/>
    <s v="09"/>
    <s v="09/01/2022"/>
    <x v="8"/>
    <x v="43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0"/>
    <n v="1370.49604555"/>
    <n v="1365.4838501500001"/>
    <n v="4.9889163600000002"/>
    <n v="5274.01569784"/>
    <n v="1223.73823339"/>
    <n v="30.183952999999999"/>
    <n v="0.40319700000000003"/>
    <n v="0.40319700000000003"/>
    <n v="0"/>
    <n v="0"/>
    <n v="49.773299719999997"/>
    <n v="98.001014080000004"/>
    <n v="0"/>
  </r>
  <r>
    <s v="2022"/>
    <s v="10"/>
    <s v="10/01/2022"/>
    <x v="9"/>
    <x v="1"/>
    <n v="50.83652"/>
    <n v="50.83652"/>
    <n v="0"/>
    <n v="160.95223899999999"/>
    <n v="140.628849"/>
    <n v="30.183952999999999"/>
    <n v="0"/>
    <n v="0"/>
    <n v="0"/>
    <n v="0"/>
    <n v="0"/>
    <n v="0"/>
    <n v="0"/>
  </r>
  <r>
    <s v="2022"/>
    <s v="10"/>
    <s v="10/01/2022"/>
    <x v="9"/>
    <x v="2"/>
    <n v="937.04433387999995"/>
    <n v="937.04433387999995"/>
    <n v="0"/>
    <n v="2249.7825447600003"/>
    <n v="232.38309869"/>
    <n v="0"/>
    <n v="0"/>
    <n v="0"/>
    <n v="0"/>
    <n v="0"/>
    <n v="0"/>
    <n v="0"/>
    <n v="0"/>
  </r>
  <r>
    <s v="2022"/>
    <s v="10"/>
    <s v="10/01/2022"/>
    <x v="9"/>
    <x v="3"/>
    <n v="203.327359"/>
    <n v="203.327359"/>
    <n v="0"/>
    <n v="317.620499"/>
    <n v="645.10394899999994"/>
    <n v="0"/>
    <n v="0"/>
    <n v="0"/>
    <n v="0"/>
    <n v="0"/>
    <n v="0"/>
    <n v="0"/>
    <n v="0"/>
  </r>
  <r>
    <s v="2022"/>
    <s v="10"/>
    <s v="10/01/2022"/>
    <x v="9"/>
    <x v="4"/>
    <n v="44.293137000000002"/>
    <n v="44.293137000000002"/>
    <n v="0"/>
    <n v="649.11315100000002"/>
    <n v="14.412656999999999"/>
    <n v="0"/>
    <n v="0"/>
    <n v="0"/>
    <n v="0"/>
    <n v="0"/>
    <n v="21.561847"/>
    <n v="55.888579999999997"/>
    <n v="0"/>
  </r>
  <r>
    <s v="2022"/>
    <s v="10"/>
    <s v="10/01/2022"/>
    <x v="9"/>
    <x v="5"/>
    <n v="10.96699125"/>
    <n v="10.96699125"/>
    <n v="0"/>
    <n v="21.36492166"/>
    <n v="6.6347866"/>
    <n v="0"/>
    <n v="0"/>
    <n v="0"/>
    <n v="0"/>
    <n v="0"/>
    <n v="0"/>
    <n v="0.69449217000000008"/>
    <n v="0"/>
  </r>
  <r>
    <s v="2022"/>
    <s v="10"/>
    <s v="10/01/2022"/>
    <x v="9"/>
    <x v="6"/>
    <n v="0"/>
    <n v="0"/>
    <n v="0"/>
    <n v="5.828182"/>
    <n v="1.1934999999999999E-2"/>
    <n v="0"/>
    <n v="0"/>
    <n v="0"/>
    <n v="0"/>
    <n v="0"/>
    <n v="0"/>
    <n v="0"/>
    <n v="0"/>
  </r>
  <r>
    <s v="2022"/>
    <s v="10"/>
    <s v="10/01/2022"/>
    <x v="9"/>
    <x v="7"/>
    <n v="19.235600000000002"/>
    <n v="19.235600000000002"/>
    <n v="0"/>
    <n v="0.61564200000000002"/>
    <n v="0"/>
    <n v="0"/>
    <n v="0"/>
    <n v="0"/>
    <n v="0"/>
    <n v="0"/>
    <n v="0"/>
    <n v="0"/>
    <n v="0"/>
  </r>
  <r>
    <s v="2022"/>
    <s v="10"/>
    <s v="10/01/2022"/>
    <x v="9"/>
    <x v="8"/>
    <n v="2.3630460000000002"/>
    <n v="2.3630460000000002"/>
    <n v="0"/>
    <n v="133.737787"/>
    <n v="0"/>
    <n v="0"/>
    <n v="2.7185999999999998E-2"/>
    <n v="2.7185999999999998E-2"/>
    <n v="0"/>
    <n v="0"/>
    <n v="17.598488"/>
    <n v="40.260492999999997"/>
    <n v="0"/>
  </r>
  <r>
    <s v="2022"/>
    <s v="10"/>
    <s v="10/01/2022"/>
    <x v="9"/>
    <x v="9"/>
    <n v="24.904759100000003"/>
    <n v="24.904759100000003"/>
    <n v="0"/>
    <n v="12.54914657"/>
    <n v="0.93226699999999996"/>
    <n v="0"/>
    <n v="0"/>
    <n v="0"/>
    <n v="0"/>
    <n v="0"/>
    <n v="0"/>
    <n v="0"/>
    <n v="0"/>
  </r>
  <r>
    <s v="2022"/>
    <s v="10"/>
    <s v="10/01/2022"/>
    <x v="9"/>
    <x v="10"/>
    <n v="0"/>
    <n v="0"/>
    <n v="0"/>
    <n v="38.921447999999998"/>
    <n v="0"/>
    <n v="0"/>
    <n v="0"/>
    <n v="0"/>
    <n v="0"/>
    <n v="0"/>
    <n v="0"/>
    <n v="0"/>
    <n v="0"/>
  </r>
  <r>
    <s v="2022"/>
    <s v="10"/>
    <s v="10/01/2022"/>
    <x v="9"/>
    <x v="44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11"/>
    <n v="9.3132000000000006E-2"/>
    <n v="9.3132000000000006E-2"/>
    <n v="0"/>
    <n v="56.710647000000002"/>
    <n v="9.8433000000000007E-2"/>
    <n v="0"/>
    <n v="0"/>
    <n v="0"/>
    <n v="0"/>
    <n v="0"/>
    <n v="0"/>
    <n v="0"/>
    <n v="0"/>
  </r>
  <r>
    <s v="2022"/>
    <s v="10"/>
    <s v="10/01/2022"/>
    <x v="9"/>
    <x v="12"/>
    <n v="62.933200859999999"/>
    <n v="62.932121860000002"/>
    <n v="0"/>
    <n v="892.42597336999995"/>
    <n v="183.07034937"/>
    <n v="0"/>
    <n v="0"/>
    <n v="0"/>
    <n v="0"/>
    <n v="0"/>
    <n v="0"/>
    <n v="0"/>
    <n v="0"/>
  </r>
  <r>
    <s v="2022"/>
    <s v="10"/>
    <s v="10/01/2022"/>
    <x v="9"/>
    <x v="13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14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15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16"/>
    <n v="0.59727584999999994"/>
    <n v="0.57507581000000008"/>
    <n v="0"/>
    <n v="0"/>
    <n v="0"/>
    <n v="0"/>
    <n v="0"/>
    <n v="0"/>
    <n v="0"/>
    <n v="0"/>
    <n v="0"/>
    <n v="0"/>
    <n v="0"/>
  </r>
  <r>
    <s v="2022"/>
    <s v="10"/>
    <s v="10/01/2022"/>
    <x v="9"/>
    <x v="17"/>
    <n v="6.6069699999999996"/>
    <n v="6.6069699999999996"/>
    <n v="0"/>
    <n v="0"/>
    <n v="0"/>
    <n v="0"/>
    <n v="0"/>
    <n v="0"/>
    <n v="0"/>
    <n v="0"/>
    <n v="0"/>
    <n v="0.64729700000000001"/>
    <n v="0"/>
  </r>
  <r>
    <s v="2022"/>
    <s v="10"/>
    <s v="10/01/2022"/>
    <x v="9"/>
    <x v="18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19"/>
    <n v="0"/>
    <n v="0"/>
    <n v="0"/>
    <n v="558.20711634999998"/>
    <n v="4.3519300000000004E-3"/>
    <n v="0"/>
    <n v="0"/>
    <n v="0"/>
    <n v="0"/>
    <n v="0"/>
    <n v="0"/>
    <n v="0"/>
    <n v="0"/>
  </r>
  <r>
    <s v="2022"/>
    <s v="10"/>
    <s v="10/01/2022"/>
    <x v="9"/>
    <x v="20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21"/>
    <n v="0"/>
    <n v="0"/>
    <n v="0"/>
    <n v="142.35155499999999"/>
    <n v="0"/>
    <n v="0"/>
    <n v="0"/>
    <n v="0"/>
    <n v="0"/>
    <n v="0"/>
    <n v="2.5152899999999998"/>
    <n v="0"/>
    <n v="0"/>
  </r>
  <r>
    <s v="2022"/>
    <s v="10"/>
    <s v="10/01/2022"/>
    <x v="9"/>
    <x v="22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23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24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25"/>
    <n v="0"/>
    <n v="0"/>
    <n v="0"/>
    <n v="0.12801822999999998"/>
    <n v="2.1871E-4"/>
    <n v="0"/>
    <n v="0"/>
    <n v="0"/>
    <n v="0"/>
    <n v="0"/>
    <n v="0"/>
    <n v="0"/>
    <n v="0"/>
  </r>
  <r>
    <s v="2022"/>
    <s v="10"/>
    <s v="10/01/2022"/>
    <x v="9"/>
    <x v="26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27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28"/>
    <n v="0"/>
    <n v="0"/>
    <n v="0"/>
    <n v="21.088075"/>
    <n v="0"/>
    <n v="0"/>
    <n v="0"/>
    <n v="0"/>
    <n v="0"/>
    <n v="0"/>
    <n v="0"/>
    <n v="0"/>
    <n v="0"/>
  </r>
  <r>
    <s v="2022"/>
    <s v="10"/>
    <s v="10/01/2022"/>
    <x v="9"/>
    <x v="29"/>
    <n v="0"/>
    <n v="0"/>
    <n v="0"/>
    <n v="8.5006999999999999E-2"/>
    <n v="0"/>
    <n v="0"/>
    <n v="0"/>
    <n v="0"/>
    <n v="0"/>
    <n v="0"/>
    <n v="0"/>
    <n v="0"/>
    <n v="0"/>
  </r>
  <r>
    <s v="2022"/>
    <s v="10"/>
    <s v="10/01/2022"/>
    <x v="9"/>
    <x v="30"/>
    <n v="2.30990421"/>
    <n v="1.6346762500000001"/>
    <n v="0.67522795999999996"/>
    <n v="1.7025048999999999"/>
    <n v="0.45733809000000003"/>
    <n v="0"/>
    <n v="0"/>
    <n v="0"/>
    <n v="0"/>
    <n v="0"/>
    <n v="7.7705087199999996"/>
    <n v="0.51015190999999993"/>
    <n v="0"/>
  </r>
  <r>
    <s v="2022"/>
    <s v="10"/>
    <s v="10/01/2022"/>
    <x v="9"/>
    <x v="31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32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33"/>
    <n v="0.67012799999999995"/>
    <n v="0.67012799999999995"/>
    <n v="0"/>
    <n v="10.831239999999999"/>
    <n v="0"/>
    <n v="0"/>
    <n v="0"/>
    <n v="0"/>
    <n v="0"/>
    <n v="0"/>
    <n v="0.32716600000000001"/>
    <n v="0"/>
    <n v="0"/>
  </r>
  <r>
    <s v="2022"/>
    <s v="10"/>
    <s v="10/01/2022"/>
    <x v="9"/>
    <x v="34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35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36"/>
    <n v="3.8460133999999999"/>
    <n v="0"/>
    <n v="3.8460133999999999"/>
    <n v="0"/>
    <n v="0"/>
    <n v="0"/>
    <n v="0"/>
    <n v="0"/>
    <n v="0"/>
    <n v="0"/>
    <n v="0"/>
    <n v="0"/>
    <n v="0"/>
  </r>
  <r>
    <s v="2022"/>
    <s v="10"/>
    <s v="10/01/2022"/>
    <x v="9"/>
    <x v="37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38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39"/>
    <n v="0"/>
    <n v="0"/>
    <n v="0"/>
    <n v="0"/>
    <n v="0"/>
    <n v="0"/>
    <n v="0.37601099999999998"/>
    <n v="0.37601099999999998"/>
    <n v="0"/>
    <n v="0"/>
    <n v="0"/>
    <n v="0"/>
    <n v="0"/>
  </r>
  <r>
    <s v="2022"/>
    <s v="10"/>
    <s v="10/01/2022"/>
    <x v="9"/>
    <x v="40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41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42"/>
    <n v="0"/>
    <n v="0"/>
    <n v="0"/>
    <n v="0"/>
    <n v="0"/>
    <n v="0"/>
    <n v="0"/>
    <n v="0"/>
    <n v="0"/>
    <n v="0"/>
    <n v="0"/>
    <n v="0"/>
    <n v="0"/>
  </r>
  <r>
    <s v="2022"/>
    <s v="10"/>
    <s v="10/01/2022"/>
    <x v="9"/>
    <x v="45"/>
    <n v="0.46767500000000001"/>
    <n v="0"/>
    <n v="0.46767500000000001"/>
    <n v="0"/>
    <n v="0"/>
    <n v="0"/>
    <n v="0"/>
    <n v="0"/>
    <n v="0"/>
    <n v="0"/>
    <n v="0"/>
    <n v="0"/>
    <n v="0"/>
  </r>
  <r>
    <s v="2022"/>
    <s v="10"/>
    <s v="10/01/2022"/>
    <x v="9"/>
    <x v="43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0"/>
    <n v="672.52731781"/>
    <n v="671.86721853999995"/>
    <n v="0.64354739999999999"/>
    <n v="5713.96709706"/>
    <n v="1387.6083644100001"/>
    <n v="30.183952999999999"/>
    <n v="6.3580370000000004"/>
    <n v="6.3580370000000004"/>
    <n v="0"/>
    <n v="0"/>
    <n v="46.5830105"/>
    <n v="50.886518700000003"/>
    <n v="0"/>
  </r>
  <r>
    <s v="2022"/>
    <s v="11"/>
    <s v="11/01/2022"/>
    <x v="10"/>
    <x v="1"/>
    <n v="50.83652"/>
    <n v="50.83652"/>
    <n v="0"/>
    <n v="160.95223899999999"/>
    <n v="140.628849"/>
    <n v="30.183952999999999"/>
    <n v="0"/>
    <n v="0"/>
    <n v="0"/>
    <n v="0"/>
    <n v="0"/>
    <n v="0"/>
    <n v="0"/>
  </r>
  <r>
    <s v="2022"/>
    <s v="11"/>
    <s v="11/01/2022"/>
    <x v="10"/>
    <x v="2"/>
    <n v="131.15165765999998"/>
    <n v="131.15165765999998"/>
    <n v="0"/>
    <n v="2364.0890728700001"/>
    <n v="236.70069554"/>
    <n v="0"/>
    <n v="0"/>
    <n v="0"/>
    <n v="0"/>
    <n v="0"/>
    <n v="0"/>
    <n v="0"/>
    <n v="0"/>
  </r>
  <r>
    <s v="2022"/>
    <s v="11"/>
    <s v="11/01/2022"/>
    <x v="10"/>
    <x v="3"/>
    <n v="203.81514799999999"/>
    <n v="203.81514799999999"/>
    <n v="0"/>
    <n v="313.48759899999999"/>
    <n v="761.86204299999997"/>
    <n v="0"/>
    <n v="0"/>
    <n v="0"/>
    <n v="0"/>
    <n v="0"/>
    <n v="0"/>
    <n v="0"/>
    <n v="0"/>
  </r>
  <r>
    <s v="2022"/>
    <s v="11"/>
    <s v="11/01/2022"/>
    <x v="10"/>
    <x v="4"/>
    <n v="53.804912999999999"/>
    <n v="53.804912999999999"/>
    <n v="0"/>
    <n v="698.00594899999999"/>
    <n v="31.346530000000001"/>
    <n v="0"/>
    <n v="0"/>
    <n v="0"/>
    <n v="0"/>
    <n v="0"/>
    <n v="21.160216999999999"/>
    <n v="19.220828000000001"/>
    <n v="0"/>
  </r>
  <r>
    <s v="2022"/>
    <s v="11"/>
    <s v="11/01/2022"/>
    <x v="10"/>
    <x v="5"/>
    <n v="10.1999175"/>
    <n v="10.1999175"/>
    <n v="0"/>
    <n v="21.290340929999999"/>
    <n v="7.7691231199999997"/>
    <n v="0"/>
    <n v="0"/>
    <n v="0"/>
    <n v="0"/>
    <n v="0"/>
    <n v="0"/>
    <n v="0.83439302999999998"/>
    <n v="0"/>
  </r>
  <r>
    <s v="2022"/>
    <s v="11"/>
    <s v="11/01/2022"/>
    <x v="10"/>
    <x v="6"/>
    <n v="0"/>
    <n v="0"/>
    <n v="0"/>
    <n v="5.2718790000000002"/>
    <n v="1.1065E-2"/>
    <n v="0"/>
    <n v="0"/>
    <n v="0"/>
    <n v="0"/>
    <n v="0"/>
    <n v="0"/>
    <n v="0"/>
    <n v="0"/>
  </r>
  <r>
    <s v="2022"/>
    <s v="11"/>
    <s v="11/01/2022"/>
    <x v="10"/>
    <x v="7"/>
    <n v="23.586465"/>
    <n v="23.586465"/>
    <n v="0"/>
    <n v="1.3366979999999999"/>
    <n v="0"/>
    <n v="0"/>
    <n v="0"/>
    <n v="0"/>
    <n v="0"/>
    <n v="0"/>
    <n v="0"/>
    <n v="0"/>
    <n v="0"/>
  </r>
  <r>
    <s v="2022"/>
    <s v="11"/>
    <s v="11/01/2022"/>
    <x v="10"/>
    <x v="8"/>
    <n v="3.3502160000000001"/>
    <n v="3.3502160000000001"/>
    <n v="0"/>
    <n v="147.52501000000001"/>
    <n v="0"/>
    <n v="0"/>
    <n v="5.7876149999999997"/>
    <n v="5.7876149999999997"/>
    <n v="0"/>
    <n v="0"/>
    <n v="16.485804000000002"/>
    <n v="26.741551999999999"/>
    <n v="0"/>
  </r>
  <r>
    <s v="2022"/>
    <s v="11"/>
    <s v="11/01/2022"/>
    <x v="10"/>
    <x v="9"/>
    <n v="26.286930329999997"/>
    <n v="26.286930329999997"/>
    <n v="0"/>
    <n v="18.74776597"/>
    <n v="1.29596694"/>
    <n v="0"/>
    <n v="0"/>
    <n v="0"/>
    <n v="0"/>
    <n v="0"/>
    <n v="0"/>
    <n v="0"/>
    <n v="0"/>
  </r>
  <r>
    <s v="2022"/>
    <s v="11"/>
    <s v="11/01/2022"/>
    <x v="10"/>
    <x v="10"/>
    <n v="0"/>
    <n v="0"/>
    <n v="0"/>
    <n v="42.812047"/>
    <n v="0"/>
    <n v="0"/>
    <n v="0"/>
    <n v="0"/>
    <n v="0"/>
    <n v="0"/>
    <n v="0"/>
    <n v="0"/>
    <n v="0"/>
  </r>
  <r>
    <s v="2022"/>
    <s v="11"/>
    <s v="11/01/2022"/>
    <x v="10"/>
    <x v="44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11"/>
    <n v="18.431412000000002"/>
    <n v="18.431412000000002"/>
    <n v="0"/>
    <n v="51.331477"/>
    <n v="0.15218499999999999"/>
    <n v="0"/>
    <n v="0"/>
    <n v="0"/>
    <n v="0"/>
    <n v="0"/>
    <n v="0"/>
    <n v="0"/>
    <n v="0"/>
  </r>
  <r>
    <s v="2022"/>
    <s v="11"/>
    <s v="11/01/2022"/>
    <x v="10"/>
    <x v="12"/>
    <n v="80.734733579999997"/>
    <n v="80.734733579999997"/>
    <n v="0"/>
    <n v="936.45483815"/>
    <n v="207.69630025000001"/>
    <n v="0"/>
    <n v="0"/>
    <n v="0"/>
    <n v="0"/>
    <n v="0"/>
    <n v="0"/>
    <n v="0"/>
    <n v="0"/>
  </r>
  <r>
    <s v="2022"/>
    <s v="11"/>
    <s v="11/01/2022"/>
    <x v="10"/>
    <x v="13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14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15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16"/>
    <n v="33.704246399999995"/>
    <n v="33.687694530000002"/>
    <n v="0"/>
    <n v="0"/>
    <n v="0"/>
    <n v="0"/>
    <n v="0"/>
    <n v="0"/>
    <n v="0"/>
    <n v="0"/>
    <n v="0"/>
    <n v="0"/>
    <n v="0"/>
  </r>
  <r>
    <s v="2022"/>
    <s v="11"/>
    <s v="11/01/2022"/>
    <x v="10"/>
    <x v="17"/>
    <n v="31.928567000000001"/>
    <n v="31.928567000000001"/>
    <n v="0"/>
    <n v="0"/>
    <n v="0"/>
    <n v="0"/>
    <n v="0"/>
    <n v="0"/>
    <n v="0"/>
    <n v="0"/>
    <n v="0"/>
    <n v="2.0269300000000001"/>
    <n v="0"/>
  </r>
  <r>
    <s v="2022"/>
    <s v="11"/>
    <s v="11/01/2022"/>
    <x v="10"/>
    <x v="18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19"/>
    <n v="0"/>
    <n v="0"/>
    <n v="0"/>
    <n v="705.86725645000001"/>
    <n v="0"/>
    <n v="0"/>
    <n v="0"/>
    <n v="0"/>
    <n v="0"/>
    <n v="0"/>
    <n v="0"/>
    <n v="0"/>
    <n v="0"/>
  </r>
  <r>
    <s v="2022"/>
    <s v="11"/>
    <s v="11/01/2022"/>
    <x v="10"/>
    <x v="20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21"/>
    <n v="0"/>
    <n v="0"/>
    <n v="0"/>
    <n v="193.78462200000001"/>
    <n v="0"/>
    <n v="0"/>
    <n v="0"/>
    <n v="0"/>
    <n v="0"/>
    <n v="0"/>
    <n v="3.165959"/>
    <n v="0"/>
    <n v="0"/>
  </r>
  <r>
    <s v="2022"/>
    <s v="11"/>
    <s v="11/01/2022"/>
    <x v="10"/>
    <x v="22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23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24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25"/>
    <n v="0"/>
    <n v="0"/>
    <n v="0"/>
    <n v="0.20659917999999999"/>
    <n v="1.6743000000000001E-4"/>
    <n v="0"/>
    <n v="0"/>
    <n v="0"/>
    <n v="0"/>
    <n v="0"/>
    <n v="0"/>
    <n v="0"/>
    <n v="0"/>
  </r>
  <r>
    <s v="2022"/>
    <s v="11"/>
    <s v="11/01/2022"/>
    <x v="10"/>
    <x v="26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27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28"/>
    <n v="0"/>
    <n v="0"/>
    <n v="0"/>
    <n v="22.786884000000001"/>
    <n v="0"/>
    <n v="0"/>
    <n v="0"/>
    <n v="0"/>
    <n v="0"/>
    <n v="0"/>
    <n v="0"/>
    <n v="0"/>
    <n v="0"/>
  </r>
  <r>
    <s v="2022"/>
    <s v="11"/>
    <s v="11/01/2022"/>
    <x v="10"/>
    <x v="29"/>
    <n v="0"/>
    <n v="0"/>
    <n v="0"/>
    <n v="12.76047"/>
    <n v="0"/>
    <n v="0"/>
    <n v="0"/>
    <n v="0"/>
    <n v="0"/>
    <n v="0"/>
    <n v="0"/>
    <n v="0"/>
    <n v="0"/>
  </r>
  <r>
    <s v="2022"/>
    <s v="11"/>
    <s v="11/01/2022"/>
    <x v="10"/>
    <x v="30"/>
    <n v="1.98696955"/>
    <n v="1.55669613"/>
    <n v="0.43027341999999996"/>
    <n v="7.7494435099999999"/>
    <n v="0.14543913"/>
    <n v="0"/>
    <n v="0"/>
    <n v="0"/>
    <n v="0"/>
    <n v="0"/>
    <n v="5.6100944999999998"/>
    <n v="0.14484067"/>
    <n v="0"/>
  </r>
  <r>
    <s v="2022"/>
    <s v="11"/>
    <s v="11/01/2022"/>
    <x v="10"/>
    <x v="31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32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33"/>
    <n v="0"/>
    <n v="0"/>
    <n v="0"/>
    <n v="9.5069060000000007"/>
    <n v="0"/>
    <n v="0"/>
    <n v="0"/>
    <n v="0"/>
    <n v="0"/>
    <n v="0"/>
    <n v="0.160936"/>
    <n v="0"/>
    <n v="0"/>
  </r>
  <r>
    <s v="2022"/>
    <s v="11"/>
    <s v="11/01/2022"/>
    <x v="10"/>
    <x v="34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35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36"/>
    <n v="2.4963478100000001"/>
    <n v="2.4963478100000001"/>
    <n v="0"/>
    <n v="0"/>
    <n v="0"/>
    <n v="0"/>
    <n v="0"/>
    <n v="0"/>
    <n v="0"/>
    <n v="0"/>
    <n v="0"/>
    <n v="0"/>
    <n v="0"/>
  </r>
  <r>
    <s v="2022"/>
    <s v="11"/>
    <s v="11/01/2022"/>
    <x v="10"/>
    <x v="37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38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39"/>
    <n v="0"/>
    <n v="0"/>
    <n v="0"/>
    <n v="0"/>
    <n v="0"/>
    <n v="0"/>
    <n v="0.57042199999999998"/>
    <n v="0.57042199999999998"/>
    <n v="0"/>
    <n v="0"/>
    <n v="0"/>
    <n v="1.917975"/>
    <n v="0"/>
  </r>
  <r>
    <s v="2022"/>
    <s v="11"/>
    <s v="11/01/2022"/>
    <x v="10"/>
    <x v="40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41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42"/>
    <n v="0"/>
    <n v="0"/>
    <n v="0"/>
    <n v="0"/>
    <n v="0"/>
    <n v="0"/>
    <n v="0"/>
    <n v="0"/>
    <n v="0"/>
    <n v="0"/>
    <n v="0"/>
    <n v="0"/>
    <n v="0"/>
  </r>
  <r>
    <s v="2022"/>
    <s v="11"/>
    <s v="11/01/2022"/>
    <x v="10"/>
    <x v="45"/>
    <n v="0.21327398"/>
    <n v="0"/>
    <n v="0.21327398"/>
    <n v="0"/>
    <n v="0"/>
    <n v="0"/>
    <n v="0"/>
    <n v="0"/>
    <n v="0"/>
    <n v="0"/>
    <n v="0"/>
    <n v="0"/>
    <n v="0"/>
  </r>
  <r>
    <s v="2022"/>
    <s v="11"/>
    <s v="11/01/2022"/>
    <x v="10"/>
    <x v="43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0"/>
    <n v="1449.9619613099999"/>
    <n v="1449.3481713699998"/>
    <n v="0.57603417000000001"/>
    <n v="6368.54121614"/>
    <n v="634.91021060000003"/>
    <n v="36.782955000000001"/>
    <n v="7.3859899999999996"/>
    <n v="7.3859899999999996"/>
    <n v="0"/>
    <n v="0"/>
    <n v="58.305006399999996"/>
    <n v="45.798424140000002"/>
    <n v="0"/>
  </r>
  <r>
    <s v="2022"/>
    <s v="12"/>
    <s v="12/01/2022"/>
    <x v="11"/>
    <x v="1"/>
    <n v="137.81706600000001"/>
    <n v="137.81706600000001"/>
    <n v="0"/>
    <n v="261.87464"/>
    <n v="122.236752"/>
    <n v="36.782955000000001"/>
    <n v="0"/>
    <n v="0"/>
    <n v="0"/>
    <n v="0"/>
    <n v="0"/>
    <n v="0"/>
    <n v="0"/>
  </r>
  <r>
    <s v="2022"/>
    <s v="12"/>
    <s v="12/01/2022"/>
    <x v="11"/>
    <x v="2"/>
    <n v="286.83774089999997"/>
    <n v="286.83774089999997"/>
    <n v="0"/>
    <n v="2599.9073752700001"/>
    <n v="51.11539372"/>
    <n v="0"/>
    <n v="0"/>
    <n v="0"/>
    <n v="0"/>
    <n v="0"/>
    <n v="0"/>
    <n v="0"/>
    <n v="0"/>
  </r>
  <r>
    <s v="2022"/>
    <s v="12"/>
    <s v="12/01/2022"/>
    <x v="11"/>
    <x v="3"/>
    <n v="152.26539600000001"/>
    <n v="152.26539600000001"/>
    <n v="0"/>
    <n v="356.841835"/>
    <n v="208.570144"/>
    <n v="0"/>
    <n v="0"/>
    <n v="0"/>
    <n v="0"/>
    <n v="0"/>
    <n v="0"/>
    <n v="0"/>
    <n v="0"/>
  </r>
  <r>
    <s v="2022"/>
    <s v="12"/>
    <s v="12/01/2022"/>
    <x v="11"/>
    <x v="4"/>
    <n v="75.511025000000004"/>
    <n v="75.511025000000004"/>
    <n v="0"/>
    <n v="723.09318699999994"/>
    <n v="29.450870999999999"/>
    <n v="0"/>
    <n v="0"/>
    <n v="0"/>
    <n v="0"/>
    <n v="0"/>
    <n v="26.544346000000001"/>
    <n v="17.227882999999999"/>
    <n v="0"/>
  </r>
  <r>
    <s v="2022"/>
    <s v="12"/>
    <s v="12/01/2022"/>
    <x v="11"/>
    <x v="5"/>
    <n v="26.714813940000003"/>
    <n v="26.714813940000003"/>
    <n v="0"/>
    <n v="24.008214149999997"/>
    <n v="6.8101927199999999"/>
    <n v="0"/>
    <n v="0"/>
    <n v="0"/>
    <n v="0"/>
    <n v="0"/>
    <n v="0"/>
    <n v="0.4848345"/>
    <n v="0"/>
  </r>
  <r>
    <s v="2022"/>
    <s v="12"/>
    <s v="12/01/2022"/>
    <x v="11"/>
    <x v="6"/>
    <n v="0"/>
    <n v="0"/>
    <n v="0"/>
    <n v="6.0729550000000003"/>
    <n v="1.2415000000000001E-2"/>
    <n v="0"/>
    <n v="0"/>
    <n v="0"/>
    <n v="0"/>
    <n v="0"/>
    <n v="0"/>
    <n v="0"/>
    <n v="0"/>
  </r>
  <r>
    <s v="2022"/>
    <s v="12"/>
    <s v="12/01/2022"/>
    <x v="11"/>
    <x v="7"/>
    <n v="42.105125000000001"/>
    <n v="42.105125000000001"/>
    <n v="0"/>
    <n v="1.24312"/>
    <n v="0"/>
    <n v="0"/>
    <n v="0"/>
    <n v="0"/>
    <n v="0"/>
    <n v="0"/>
    <n v="0"/>
    <n v="0"/>
    <n v="0"/>
  </r>
  <r>
    <s v="2022"/>
    <s v="12"/>
    <s v="12/01/2022"/>
    <x v="11"/>
    <x v="8"/>
    <n v="1.830436"/>
    <n v="1.830436"/>
    <n v="0"/>
    <n v="139.760794"/>
    <n v="0"/>
    <n v="0"/>
    <n v="7.3859899999999996"/>
    <n v="7.3859899999999996"/>
    <n v="0"/>
    <n v="0"/>
    <n v="21.242028000000001"/>
    <n v="27.161757000000001"/>
    <n v="0"/>
  </r>
  <r>
    <s v="2022"/>
    <s v="12"/>
    <s v="12/01/2022"/>
    <x v="11"/>
    <x v="9"/>
    <n v="42.61071201"/>
    <n v="42.61071201"/>
    <n v="0"/>
    <n v="34.213362939999996"/>
    <n v="1.8648471499999999"/>
    <n v="0"/>
    <n v="0"/>
    <n v="0"/>
    <n v="0"/>
    <n v="0"/>
    <n v="0"/>
    <n v="0"/>
    <n v="0"/>
  </r>
  <r>
    <s v="2022"/>
    <s v="12"/>
    <s v="12/01/2022"/>
    <x v="11"/>
    <x v="10"/>
    <n v="0"/>
    <n v="0"/>
    <n v="0"/>
    <n v="47.555050999999999"/>
    <n v="0"/>
    <n v="0"/>
    <n v="0"/>
    <n v="0"/>
    <n v="0"/>
    <n v="0"/>
    <n v="0"/>
    <n v="0"/>
    <n v="0"/>
  </r>
  <r>
    <s v="2022"/>
    <s v="12"/>
    <s v="12/01/2022"/>
    <x v="11"/>
    <x v="44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11"/>
    <n v="0.52290700000000001"/>
    <n v="0.52290700000000001"/>
    <n v="0"/>
    <n v="61.707081000000002"/>
    <n v="7.6710940000000001"/>
    <n v="0"/>
    <n v="0"/>
    <n v="0"/>
    <n v="0"/>
    <n v="0"/>
    <n v="0"/>
    <n v="0"/>
    <n v="0"/>
  </r>
  <r>
    <s v="2022"/>
    <s v="12"/>
    <s v="12/01/2022"/>
    <x v="11"/>
    <x v="12"/>
    <n v="325.26447200000001"/>
    <n v="325.26342399999999"/>
    <n v="0"/>
    <n v="1038.18231457"/>
    <n v="207.0741639"/>
    <n v="0"/>
    <n v="0"/>
    <n v="0"/>
    <n v="0"/>
    <n v="0"/>
    <n v="0"/>
    <n v="0"/>
    <n v="0"/>
  </r>
  <r>
    <s v="2022"/>
    <s v="12"/>
    <s v="12/01/2022"/>
    <x v="11"/>
    <x v="13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14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15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16"/>
    <n v="1.8235066000000002"/>
    <n v="1.7867988300000002"/>
    <n v="0"/>
    <n v="0"/>
    <n v="0"/>
    <n v="0"/>
    <n v="0"/>
    <n v="0"/>
    <n v="0"/>
    <n v="0"/>
    <n v="0"/>
    <n v="0"/>
    <n v="0"/>
  </r>
  <r>
    <s v="2022"/>
    <s v="12"/>
    <s v="12/01/2022"/>
    <x v="11"/>
    <x v="17"/>
    <n v="27.237496"/>
    <n v="27.237496"/>
    <n v="0"/>
    <n v="0"/>
    <n v="0"/>
    <n v="0"/>
    <n v="0"/>
    <n v="0"/>
    <n v="0"/>
    <n v="0"/>
    <n v="0"/>
    <n v="0"/>
    <n v="0"/>
  </r>
  <r>
    <s v="2022"/>
    <s v="12"/>
    <s v="12/01/2022"/>
    <x v="11"/>
    <x v="18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19"/>
    <n v="0"/>
    <n v="0"/>
    <n v="0"/>
    <n v="828.34028486"/>
    <n v="0"/>
    <n v="0"/>
    <n v="0"/>
    <n v="0"/>
    <n v="0"/>
    <n v="0"/>
    <n v="0"/>
    <n v="0"/>
    <n v="0"/>
  </r>
  <r>
    <s v="2022"/>
    <s v="12"/>
    <s v="12/01/2022"/>
    <x v="11"/>
    <x v="20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21"/>
    <n v="0"/>
    <n v="0"/>
    <n v="0"/>
    <n v="205.956941"/>
    <n v="0"/>
    <n v="0"/>
    <n v="0"/>
    <n v="0"/>
    <n v="0"/>
    <n v="0"/>
    <n v="3.630487"/>
    <n v="0"/>
    <n v="0"/>
  </r>
  <r>
    <s v="2022"/>
    <s v="12"/>
    <s v="12/01/2022"/>
    <x v="11"/>
    <x v="22"/>
    <n v="0.248837"/>
    <n v="0.248837"/>
    <n v="0"/>
    <n v="0"/>
    <n v="0"/>
    <n v="0"/>
    <n v="0"/>
    <n v="0"/>
    <n v="0"/>
    <n v="0"/>
    <n v="0"/>
    <n v="0"/>
    <n v="0"/>
  </r>
  <r>
    <s v="2022"/>
    <s v="12"/>
    <s v="12/01/2022"/>
    <x v="11"/>
    <x v="23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24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25"/>
    <n v="0"/>
    <n v="0"/>
    <n v="0"/>
    <n v="2.2375627100000002"/>
    <n v="9.1087000000000008E-3"/>
    <n v="0"/>
    <n v="0"/>
    <n v="0"/>
    <n v="0"/>
    <n v="0"/>
    <n v="0"/>
    <n v="0"/>
    <n v="0"/>
  </r>
  <r>
    <s v="2022"/>
    <s v="12"/>
    <s v="12/01/2022"/>
    <x v="11"/>
    <x v="26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27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28"/>
    <n v="0"/>
    <n v="0"/>
    <n v="0"/>
    <n v="25.116655000000002"/>
    <n v="0"/>
    <n v="0"/>
    <n v="0"/>
    <n v="0"/>
    <n v="0"/>
    <n v="0"/>
    <n v="0"/>
    <n v="0"/>
    <n v="0"/>
  </r>
  <r>
    <s v="2022"/>
    <s v="12"/>
    <s v="12/01/2022"/>
    <x v="11"/>
    <x v="29"/>
    <n v="0"/>
    <n v="0"/>
    <n v="0"/>
    <n v="6.3572000000000004E-2"/>
    <n v="0"/>
    <n v="0"/>
    <n v="0"/>
    <n v="0"/>
    <n v="0"/>
    <n v="0"/>
    <n v="0"/>
    <n v="0"/>
    <n v="0"/>
  </r>
  <r>
    <s v="2022"/>
    <s v="12"/>
    <s v="12/01/2022"/>
    <x v="11"/>
    <x v="30"/>
    <n v="3.6250760400000002"/>
    <n v="3.0490418900000003"/>
    <n v="0.57603415000000002"/>
    <n v="2.42369564"/>
    <n v="9.5228409999999999E-2"/>
    <n v="0"/>
    <n v="0"/>
    <n v="0"/>
    <n v="0"/>
    <n v="0"/>
    <n v="6.7313984000000007"/>
    <n v="0.92394964000000002"/>
    <n v="0"/>
  </r>
  <r>
    <s v="2022"/>
    <s v="12"/>
    <s v="12/01/2022"/>
    <x v="11"/>
    <x v="31"/>
    <n v="83.547240000000002"/>
    <n v="83.547240000000002"/>
    <n v="0"/>
    <n v="0"/>
    <n v="0"/>
    <n v="0"/>
    <n v="0"/>
    <n v="0"/>
    <n v="0"/>
    <n v="0"/>
    <n v="0"/>
    <n v="0"/>
    <n v="0"/>
  </r>
  <r>
    <s v="2022"/>
    <s v="12"/>
    <s v="12/01/2022"/>
    <x v="11"/>
    <x v="32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33"/>
    <n v="0"/>
    <n v="0"/>
    <n v="0"/>
    <n v="9.9425749999999997"/>
    <n v="0"/>
    <n v="0"/>
    <n v="0"/>
    <n v="0"/>
    <n v="0"/>
    <n v="0"/>
    <n v="0.156747"/>
    <n v="0"/>
    <n v="0"/>
  </r>
  <r>
    <s v="2022"/>
    <s v="12"/>
    <s v="12/01/2022"/>
    <x v="11"/>
    <x v="34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35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36"/>
    <n v="3.0754028"/>
    <n v="3.0754028"/>
    <n v="0"/>
    <n v="0"/>
    <n v="0"/>
    <n v="0"/>
    <n v="0"/>
    <n v="0"/>
    <n v="0"/>
    <n v="0"/>
    <n v="0"/>
    <n v="0"/>
    <n v="0"/>
  </r>
  <r>
    <s v="2022"/>
    <s v="12"/>
    <s v="12/01/2022"/>
    <x v="11"/>
    <x v="37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38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39"/>
    <n v="238.92470900000001"/>
    <n v="238.92470900000001"/>
    <n v="0"/>
    <n v="0"/>
    <n v="0"/>
    <n v="0"/>
    <n v="0"/>
    <n v="0"/>
    <n v="0"/>
    <n v="0"/>
    <n v="0"/>
    <n v="0"/>
    <n v="0"/>
  </r>
  <r>
    <s v="2022"/>
    <s v="12"/>
    <s v="12/01/2022"/>
    <x v="11"/>
    <x v="40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41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42"/>
    <n v="0"/>
    <n v="0"/>
    <n v="0"/>
    <n v="0"/>
    <n v="0"/>
    <n v="0"/>
    <n v="0"/>
    <n v="0"/>
    <n v="0"/>
    <n v="0"/>
    <n v="0"/>
    <n v="0"/>
    <n v="0"/>
  </r>
  <r>
    <s v="2022"/>
    <s v="12"/>
    <s v="12/01/2022"/>
    <x v="11"/>
    <x v="45"/>
    <n v="2E-8"/>
    <n v="0"/>
    <n v="2E-8"/>
    <n v="0"/>
    <n v="0"/>
    <n v="0"/>
    <n v="0"/>
    <n v="0"/>
    <n v="0"/>
    <n v="0"/>
    <n v="0"/>
    <n v="0"/>
    <n v="0"/>
  </r>
  <r>
    <s v="2022"/>
    <s v="12"/>
    <s v="12/01/2022"/>
    <x v="11"/>
    <x v="43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0"/>
    <n v="831.05770117999998"/>
    <n v="825.18064064999999"/>
    <n v="5.7911843799999998"/>
    <n v="6782.0444602099997"/>
    <n v="1079.64258928"/>
    <n v="44.630377000000003"/>
    <n v="1.199606"/>
    <n v="1.199606"/>
    <n v="0"/>
    <n v="0"/>
    <n v="59.540727090000004"/>
    <n v="50.59434108"/>
    <n v="0"/>
  </r>
  <r>
    <n v="2023"/>
    <s v="01"/>
    <s v="01/01/2023"/>
    <x v="12"/>
    <x v="1"/>
    <n v="323.51877200000001"/>
    <n v="323.51874600000002"/>
    <n v="1.5E-5"/>
    <n v="300.49205899999998"/>
    <n v="94.927640999999994"/>
    <n v="44.630377000000003"/>
    <n v="0"/>
    <n v="0"/>
    <n v="0"/>
    <n v="0"/>
    <n v="0"/>
    <n v="0"/>
    <n v="0"/>
  </r>
  <r>
    <n v="2023"/>
    <s v="01"/>
    <s v="01/01/2023"/>
    <x v="12"/>
    <x v="2"/>
    <n v="140.91089919999999"/>
    <n v="140.91089919999999"/>
    <n v="0"/>
    <n v="2698.5508340599999"/>
    <n v="607.58728339999993"/>
    <n v="0"/>
    <n v="0"/>
    <n v="0"/>
    <n v="0"/>
    <n v="0"/>
    <n v="0"/>
    <n v="0"/>
    <n v="0"/>
  </r>
  <r>
    <n v="2023"/>
    <s v="01"/>
    <s v="01/01/2023"/>
    <x v="12"/>
    <x v="3"/>
    <n v="205.82568699999999"/>
    <n v="205.82568699999999"/>
    <n v="0"/>
    <n v="608.96189400000003"/>
    <n v="171.493144"/>
    <n v="0"/>
    <n v="0"/>
    <n v="0"/>
    <n v="0"/>
    <n v="0"/>
    <n v="0"/>
    <n v="0"/>
    <n v="0"/>
  </r>
  <r>
    <n v="2023"/>
    <s v="01"/>
    <s v="01/01/2023"/>
    <x v="12"/>
    <x v="4"/>
    <n v="45.612161999999998"/>
    <n v="45.612161999999998"/>
    <n v="0"/>
    <n v="663.23881100000006"/>
    <n v="17.182054000000001"/>
    <n v="0"/>
    <n v="0"/>
    <n v="0"/>
    <n v="0"/>
    <n v="0"/>
    <n v="27.688186000000002"/>
    <n v="19.796859000000001"/>
    <n v="0"/>
  </r>
  <r>
    <n v="2023"/>
    <s v="01"/>
    <s v="01/01/2023"/>
    <x v="12"/>
    <x v="5"/>
    <n v="7.1916171699999998"/>
    <n v="7.1916171699999998"/>
    <n v="0"/>
    <n v="24.092442269999999"/>
    <n v="4.3579303400000002"/>
    <n v="0"/>
    <n v="0"/>
    <n v="0"/>
    <n v="0"/>
    <n v="0"/>
    <n v="0"/>
    <n v="0.70248979"/>
    <n v="0"/>
  </r>
  <r>
    <n v="2023"/>
    <s v="01"/>
    <s v="01/01/2023"/>
    <x v="12"/>
    <x v="6"/>
    <n v="0"/>
    <n v="0"/>
    <n v="0"/>
    <n v="4.9367979999999996"/>
    <n v="9.8029999999999992E-3"/>
    <n v="0"/>
    <n v="0"/>
    <n v="0"/>
    <n v="0"/>
    <n v="0"/>
    <n v="0"/>
    <n v="0"/>
    <n v="0"/>
  </r>
  <r>
    <n v="2023"/>
    <s v="01"/>
    <s v="01/01/2023"/>
    <x v="12"/>
    <x v="7"/>
    <n v="0"/>
    <n v="0"/>
    <n v="0"/>
    <n v="1.6561999999999999"/>
    <n v="0"/>
    <n v="0"/>
    <n v="0"/>
    <n v="0"/>
    <n v="0"/>
    <n v="0"/>
    <n v="0"/>
    <n v="0"/>
    <n v="0"/>
  </r>
  <r>
    <n v="2023"/>
    <s v="01"/>
    <s v="01/01/2023"/>
    <x v="12"/>
    <x v="8"/>
    <n v="3.5795270000000001"/>
    <n v="3.5795270000000001"/>
    <n v="0"/>
    <n v="143.00295399999999"/>
    <n v="17.145257000000001"/>
    <n v="0"/>
    <n v="1.199606"/>
    <n v="1.199606"/>
    <n v="0"/>
    <n v="0"/>
    <n v="22.180007"/>
    <n v="29.627109999999998"/>
    <n v="0"/>
  </r>
  <r>
    <n v="2023"/>
    <s v="01"/>
    <s v="01/01/2023"/>
    <x v="12"/>
    <x v="9"/>
    <n v="28.452680440000002"/>
    <n v="28.452680440000002"/>
    <n v="0"/>
    <n v="25.464078449999999"/>
    <n v="2.2387467200000004"/>
    <n v="0"/>
    <n v="0"/>
    <n v="0"/>
    <n v="0"/>
    <n v="0"/>
    <n v="0"/>
    <n v="0"/>
    <n v="0"/>
  </r>
  <r>
    <n v="2023"/>
    <s v="01"/>
    <s v="01/01/2023"/>
    <x v="12"/>
    <x v="10"/>
    <n v="0"/>
    <n v="0"/>
    <n v="0"/>
    <n v="41.460197999999998"/>
    <n v="0"/>
    <n v="0"/>
    <n v="0"/>
    <n v="0"/>
    <n v="0"/>
    <n v="0"/>
    <n v="0"/>
    <n v="0"/>
    <n v="0"/>
  </r>
  <r>
    <n v="2023"/>
    <s v="01"/>
    <s v="01/01/2023"/>
    <x v="12"/>
    <x v="44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11"/>
    <n v="1.9279000000000001E-2"/>
    <n v="1.9279000000000001E-2"/>
    <n v="0"/>
    <n v="72.805623999999995"/>
    <n v="1.3217E-2"/>
    <n v="0"/>
    <n v="0"/>
    <n v="0"/>
    <n v="0"/>
    <n v="0"/>
    <n v="0"/>
    <n v="0"/>
    <n v="0"/>
  </r>
  <r>
    <n v="2023"/>
    <s v="01"/>
    <s v="01/01/2023"/>
    <x v="12"/>
    <x v="12"/>
    <n v="47.568236770000006"/>
    <n v="47.568236770000006"/>
    <n v="0"/>
    <n v="1113.8893330799999"/>
    <n v="164.64799063999999"/>
    <n v="0"/>
    <n v="0"/>
    <n v="0"/>
    <n v="0"/>
    <n v="0"/>
    <n v="0"/>
    <n v="0"/>
    <n v="0"/>
  </r>
  <r>
    <n v="2023"/>
    <s v="01"/>
    <s v="01/01/2023"/>
    <x v="12"/>
    <x v="13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14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15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16"/>
    <n v="14.62088196"/>
    <n v="14.53501681"/>
    <n v="0"/>
    <n v="0"/>
    <n v="0"/>
    <n v="0"/>
    <n v="0"/>
    <n v="0"/>
    <n v="0"/>
    <n v="0"/>
    <n v="0"/>
    <n v="0"/>
    <n v="0"/>
  </r>
  <r>
    <n v="2023"/>
    <s v="01"/>
    <s v="01/01/2023"/>
    <x v="12"/>
    <x v="17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18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19"/>
    <n v="0"/>
    <n v="0"/>
    <n v="0"/>
    <n v="808.65371152"/>
    <n v="6.3818399999999997E-3"/>
    <n v="0"/>
    <n v="0"/>
    <n v="0"/>
    <n v="0"/>
    <n v="0"/>
    <n v="0"/>
    <n v="0"/>
    <n v="0"/>
  </r>
  <r>
    <n v="2023"/>
    <s v="01"/>
    <s v="01/01/2023"/>
    <x v="12"/>
    <x v="20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21"/>
    <n v="0"/>
    <n v="0"/>
    <n v="0"/>
    <n v="215.841634"/>
    <n v="0"/>
    <n v="0"/>
    <n v="0"/>
    <n v="0"/>
    <n v="0"/>
    <n v="0"/>
    <n v="4.7082069999999998"/>
    <n v="0"/>
    <n v="0"/>
  </r>
  <r>
    <n v="2023"/>
    <s v="01"/>
    <s v="01/01/2023"/>
    <x v="12"/>
    <x v="22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23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24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25"/>
    <n v="0"/>
    <n v="0"/>
    <n v="0"/>
    <n v="16.333466650000002"/>
    <n v="1.6683470000000002E-2"/>
    <n v="0"/>
    <n v="0"/>
    <n v="0"/>
    <n v="0"/>
    <n v="0"/>
    <n v="0"/>
    <n v="0"/>
    <n v="0"/>
  </r>
  <r>
    <n v="2023"/>
    <s v="01"/>
    <s v="01/01/2023"/>
    <x v="12"/>
    <x v="26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27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28"/>
    <n v="0"/>
    <n v="0"/>
    <n v="0"/>
    <n v="31.161729000000001"/>
    <n v="0"/>
    <n v="0"/>
    <n v="0"/>
    <n v="0"/>
    <n v="0"/>
    <n v="0"/>
    <n v="0"/>
    <n v="0"/>
    <n v="0"/>
  </r>
  <r>
    <n v="2023"/>
    <s v="01"/>
    <s v="01/01/2023"/>
    <x v="12"/>
    <x v="29"/>
    <n v="0"/>
    <n v="0"/>
    <n v="0"/>
    <n v="0.13730300000000001"/>
    <n v="0"/>
    <n v="0"/>
    <n v="0"/>
    <n v="0"/>
    <n v="0"/>
    <n v="0"/>
    <n v="0"/>
    <n v="0"/>
    <n v="0"/>
  </r>
  <r>
    <n v="2023"/>
    <s v="01"/>
    <s v="01/01/2023"/>
    <x v="12"/>
    <x v="30"/>
    <n v="7.97685712"/>
    <n v="7.2637524100000004"/>
    <n v="0.71310470999999997"/>
    <n v="1.7018011799999999"/>
    <n v="1.6456869999999998E-2"/>
    <n v="0"/>
    <n v="0"/>
    <n v="0"/>
    <n v="0"/>
    <n v="0"/>
    <n v="4.7558610899999998"/>
    <n v="9.3027289999999999E-2"/>
    <n v="0"/>
  </r>
  <r>
    <n v="2023"/>
    <s v="01"/>
    <s v="01/01/2023"/>
    <x v="12"/>
    <x v="31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32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33"/>
    <n v="0"/>
    <n v="0"/>
    <n v="0"/>
    <n v="9.663589"/>
    <n v="0"/>
    <n v="0"/>
    <n v="0"/>
    <n v="0"/>
    <n v="0"/>
    <n v="0"/>
    <n v="0.20846600000000001"/>
    <n v="0"/>
    <n v="0"/>
  </r>
  <r>
    <n v="2023"/>
    <s v="01"/>
    <s v="01/01/2023"/>
    <x v="12"/>
    <x v="34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35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36"/>
    <n v="5.78110152"/>
    <n v="0.70303684999999994"/>
    <n v="5.0780646699999998"/>
    <n v="0"/>
    <n v="0"/>
    <n v="0"/>
    <n v="0"/>
    <n v="0"/>
    <n v="0"/>
    <n v="0"/>
    <n v="0"/>
    <n v="0"/>
    <n v="0"/>
  </r>
  <r>
    <n v="2023"/>
    <s v="01"/>
    <s v="01/01/2023"/>
    <x v="12"/>
    <x v="37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38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39"/>
    <n v="0"/>
    <n v="0"/>
    <n v="0"/>
    <n v="0"/>
    <n v="0"/>
    <n v="0"/>
    <n v="0"/>
    <n v="0"/>
    <n v="0"/>
    <n v="0"/>
    <n v="0"/>
    <n v="0.37485499999999999"/>
    <n v="0"/>
  </r>
  <r>
    <n v="2023"/>
    <s v="01"/>
    <s v="01/01/2023"/>
    <x v="12"/>
    <x v="40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41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42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45"/>
    <n v="0"/>
    <n v="0"/>
    <n v="0"/>
    <n v="0"/>
    <n v="0"/>
    <n v="0"/>
    <n v="0"/>
    <n v="0"/>
    <n v="0"/>
    <n v="0"/>
    <n v="0"/>
    <n v="0"/>
    <n v="0"/>
  </r>
  <r>
    <n v="2023"/>
    <s v="01"/>
    <s v="01/01/2023"/>
    <x v="12"/>
    <x v="43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0"/>
    <n v="644.36039517999995"/>
    <n v="643.44794317999992"/>
    <n v="0.91245100000000001"/>
    <n v="6924.99596415"/>
    <n v="920.36555903999999"/>
    <n v="29.077687999999998"/>
    <n v="19.182442999999999"/>
    <n v="19.182442999999999"/>
    <n v="0"/>
    <n v="0"/>
    <n v="44.18379564"/>
    <n v="21.813445940000001"/>
    <n v="0"/>
  </r>
  <r>
    <n v="2023"/>
    <s v="02"/>
    <s v="02/01/2023"/>
    <x v="13"/>
    <x v="1"/>
    <n v="68.422443000000001"/>
    <n v="68.422443000000001"/>
    <n v="0"/>
    <n v="244.24551299999999"/>
    <n v="299.635313"/>
    <n v="29.077687999999998"/>
    <n v="0"/>
    <n v="0"/>
    <n v="0"/>
    <n v="0"/>
    <n v="0"/>
    <n v="0"/>
    <n v="0"/>
  </r>
  <r>
    <n v="2023"/>
    <s v="02"/>
    <s v="02/01/2023"/>
    <x v="13"/>
    <x v="2"/>
    <n v="134.37653696000001"/>
    <n v="134.37653696000001"/>
    <n v="0"/>
    <n v="2693.3505759999998"/>
    <n v="306.16191641"/>
    <n v="0"/>
    <n v="0"/>
    <n v="0"/>
    <n v="0"/>
    <n v="0"/>
    <n v="0"/>
    <n v="0"/>
    <n v="0"/>
  </r>
  <r>
    <n v="2023"/>
    <s v="02"/>
    <s v="02/01/2023"/>
    <x v="13"/>
    <x v="3"/>
    <n v="166.92868200000001"/>
    <n v="166.92868200000001"/>
    <n v="0"/>
    <n v="709.53514199999995"/>
    <n v="123.999773"/>
    <n v="0"/>
    <n v="0"/>
    <n v="0"/>
    <n v="0"/>
    <n v="0"/>
    <n v="0"/>
    <n v="0"/>
    <n v="0"/>
  </r>
  <r>
    <n v="2023"/>
    <s v="02"/>
    <s v="02/01/2023"/>
    <x v="13"/>
    <x v="4"/>
    <n v="49.085273000000001"/>
    <n v="49.084584"/>
    <n v="6.8800000000000003E-4"/>
    <n v="852.19468600000005"/>
    <n v="13.245587"/>
    <n v="0"/>
    <n v="0"/>
    <n v="0"/>
    <n v="0"/>
    <n v="0"/>
    <n v="24.447561"/>
    <n v="16.655452"/>
    <n v="0"/>
  </r>
  <r>
    <n v="2023"/>
    <s v="02"/>
    <s v="02/01/2023"/>
    <x v="13"/>
    <x v="5"/>
    <n v="4.2067537499999998"/>
    <n v="4.2067537499999998"/>
    <n v="0"/>
    <n v="24.868082210000001"/>
    <n v="3.7549284599999999"/>
    <n v="0"/>
    <n v="0"/>
    <n v="0"/>
    <n v="0"/>
    <n v="0"/>
    <n v="0"/>
    <n v="0.59019087999999997"/>
    <n v="0"/>
  </r>
  <r>
    <n v="2023"/>
    <s v="02"/>
    <s v="02/01/2023"/>
    <x v="13"/>
    <x v="6"/>
    <n v="6.0141E-2"/>
    <n v="6.0141E-2"/>
    <n v="0"/>
    <n v="7.7824859999999996"/>
    <n v="7.6508000000000007E-2"/>
    <n v="0"/>
    <n v="0"/>
    <n v="0"/>
    <n v="0"/>
    <n v="0"/>
    <n v="0"/>
    <n v="0"/>
    <n v="0"/>
  </r>
  <r>
    <n v="2023"/>
    <s v="02"/>
    <s v="02/01/2023"/>
    <x v="13"/>
    <x v="7"/>
    <n v="0"/>
    <n v="0"/>
    <n v="0"/>
    <n v="1.199333"/>
    <n v="0"/>
    <n v="0"/>
    <n v="0"/>
    <n v="0"/>
    <n v="0"/>
    <n v="0"/>
    <n v="0"/>
    <n v="0"/>
    <n v="0"/>
  </r>
  <r>
    <n v="2023"/>
    <s v="02"/>
    <s v="02/01/2023"/>
    <x v="13"/>
    <x v="8"/>
    <n v="4.1942589999999997"/>
    <n v="4.1942589999999997"/>
    <n v="0"/>
    <n v="93.696096999999995"/>
    <n v="19.326298000000001"/>
    <n v="0"/>
    <n v="19.182442999999999"/>
    <n v="19.182442999999999"/>
    <n v="0"/>
    <n v="0"/>
    <n v="10.890502"/>
    <n v="4.1337149999999996"/>
    <n v="0"/>
  </r>
  <r>
    <n v="2023"/>
    <s v="02"/>
    <s v="02/01/2023"/>
    <x v="13"/>
    <x v="9"/>
    <n v="51.989725790000001"/>
    <n v="51.989725790000001"/>
    <n v="0"/>
    <n v="30.554654719999998"/>
    <n v="6.89479489"/>
    <n v="0"/>
    <n v="0"/>
    <n v="0"/>
    <n v="0"/>
    <n v="0"/>
    <n v="0"/>
    <n v="0"/>
    <n v="0"/>
  </r>
  <r>
    <n v="2023"/>
    <s v="02"/>
    <s v="02/01/2023"/>
    <x v="13"/>
    <x v="10"/>
    <n v="0"/>
    <n v="0"/>
    <n v="0"/>
    <n v="50.148330999999999"/>
    <n v="0"/>
    <n v="0"/>
    <n v="0"/>
    <n v="0"/>
    <n v="0"/>
    <n v="0"/>
    <n v="0"/>
    <n v="0"/>
    <n v="0"/>
  </r>
  <r>
    <n v="2023"/>
    <s v="02"/>
    <s v="02/01/2023"/>
    <x v="13"/>
    <x v="44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11"/>
    <n v="0.27916800000000003"/>
    <n v="0.27916800000000003"/>
    <n v="0"/>
    <n v="48.474846999999997"/>
    <n v="3.8928999999999998E-2"/>
    <n v="0"/>
    <n v="0"/>
    <n v="0"/>
    <n v="0"/>
    <n v="0"/>
    <n v="0"/>
    <n v="0"/>
    <n v="0"/>
  </r>
  <r>
    <n v="2023"/>
    <s v="02"/>
    <s v="02/01/2023"/>
    <x v="13"/>
    <x v="12"/>
    <n v="65.38812811999999"/>
    <n v="65.38812811999999"/>
    <n v="0"/>
    <n v="1069.3183936299999"/>
    <n v="147.05222943999999"/>
    <n v="0"/>
    <n v="0"/>
    <n v="0"/>
    <n v="0"/>
    <n v="0"/>
    <n v="0"/>
    <n v="0"/>
    <n v="0"/>
  </r>
  <r>
    <n v="2023"/>
    <s v="02"/>
    <s v="02/01/2023"/>
    <x v="13"/>
    <x v="13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14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15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16"/>
    <n v="97.277559909999994"/>
    <n v="97.277559909999994"/>
    <n v="0"/>
    <n v="0"/>
    <n v="0"/>
    <n v="0"/>
    <n v="0"/>
    <n v="0"/>
    <n v="0"/>
    <n v="0"/>
    <n v="0"/>
    <n v="0"/>
    <n v="0"/>
  </r>
  <r>
    <n v="2023"/>
    <s v="02"/>
    <s v="02/01/2023"/>
    <x v="13"/>
    <x v="17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18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19"/>
    <n v="0"/>
    <n v="0"/>
    <n v="0"/>
    <n v="800.06596524999998"/>
    <n v="5.7070200000000001E-3"/>
    <n v="0"/>
    <n v="0"/>
    <n v="0"/>
    <n v="0"/>
    <n v="0"/>
    <n v="0"/>
    <n v="0"/>
    <n v="0"/>
  </r>
  <r>
    <n v="2023"/>
    <s v="02"/>
    <s v="02/01/2023"/>
    <x v="13"/>
    <x v="21"/>
    <n v="0"/>
    <n v="0"/>
    <n v="0"/>
    <n v="267.22709900000001"/>
    <n v="0"/>
    <n v="0"/>
    <n v="0"/>
    <n v="0"/>
    <n v="0"/>
    <n v="0"/>
    <n v="4.3939570000000003"/>
    <n v="0"/>
    <n v="0"/>
  </r>
  <r>
    <n v="2023"/>
    <s v="02"/>
    <s v="02/01/2023"/>
    <x v="13"/>
    <x v="22"/>
    <n v="0.70550599999999997"/>
    <n v="0.70550599999999997"/>
    <n v="0"/>
    <n v="0.20596100000000001"/>
    <n v="0"/>
    <n v="0"/>
    <n v="0"/>
    <n v="0"/>
    <n v="0"/>
    <n v="0"/>
    <n v="0"/>
    <n v="0"/>
    <n v="0"/>
  </r>
  <r>
    <n v="2023"/>
    <s v="02"/>
    <s v="02/01/2023"/>
    <x v="13"/>
    <x v="23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24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25"/>
    <n v="0"/>
    <n v="0"/>
    <n v="0"/>
    <n v="1.76874599"/>
    <n v="4.2754489999999999E-2"/>
    <n v="0"/>
    <n v="0"/>
    <n v="0"/>
    <n v="0"/>
    <n v="0"/>
    <n v="0"/>
    <n v="0"/>
    <n v="0"/>
  </r>
  <r>
    <n v="2023"/>
    <s v="02"/>
    <s v="02/01/2023"/>
    <x v="13"/>
    <x v="26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27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28"/>
    <n v="0"/>
    <n v="0"/>
    <n v="0"/>
    <n v="13.94824"/>
    <n v="0"/>
    <n v="0"/>
    <n v="0"/>
    <n v="0"/>
    <n v="0"/>
    <n v="0"/>
    <n v="0"/>
    <n v="0"/>
    <n v="0"/>
  </r>
  <r>
    <n v="2023"/>
    <s v="02"/>
    <s v="02/01/2023"/>
    <x v="13"/>
    <x v="29"/>
    <n v="0"/>
    <n v="0"/>
    <n v="0"/>
    <n v="0.184528"/>
    <n v="0"/>
    <n v="0"/>
    <n v="0"/>
    <n v="0"/>
    <n v="0"/>
    <n v="0"/>
    <n v="0"/>
    <n v="0"/>
    <n v="0"/>
  </r>
  <r>
    <n v="2023"/>
    <s v="02"/>
    <s v="02/01/2023"/>
    <x v="13"/>
    <x v="30"/>
    <n v="1.4462186499999998"/>
    <n v="0.53445565000000006"/>
    <n v="0.91176299999999999"/>
    <n v="2.94713235"/>
    <n v="0.13082033000000001"/>
    <n v="0"/>
    <n v="0"/>
    <n v="0"/>
    <n v="0"/>
    <n v="0"/>
    <n v="4.3303536399999993"/>
    <n v="0.43408806"/>
    <n v="0"/>
  </r>
  <r>
    <n v="2023"/>
    <s v="02"/>
    <s v="02/01/2023"/>
    <x v="13"/>
    <x v="31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32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33"/>
    <n v="0"/>
    <n v="0"/>
    <n v="0"/>
    <n v="13.280151"/>
    <n v="0"/>
    <n v="0"/>
    <n v="0"/>
    <n v="0"/>
    <n v="0"/>
    <n v="0"/>
    <n v="0.121422"/>
    <n v="0"/>
    <n v="0"/>
  </r>
  <r>
    <n v="2023"/>
    <s v="02"/>
    <s v="02/01/2023"/>
    <x v="13"/>
    <x v="34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35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36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37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38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39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40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41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42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45"/>
    <n v="0"/>
    <n v="0"/>
    <n v="0"/>
    <n v="0"/>
    <n v="0"/>
    <n v="0"/>
    <n v="0"/>
    <n v="0"/>
    <n v="0"/>
    <n v="0"/>
    <n v="0"/>
    <n v="0"/>
    <n v="0"/>
  </r>
  <r>
    <n v="2023"/>
    <s v="02"/>
    <s v="02/01/2023"/>
    <x v="13"/>
    <x v="43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0"/>
    <n v="1845.95701779"/>
    <n v="1843.8473701600001"/>
    <n v="1.7498510600000001"/>
    <n v="7650.5253853699996"/>
    <n v="665.17498424999997"/>
    <n v="44.872920999999998"/>
    <n v="0.87045300000000003"/>
    <n v="0.87045300000000003"/>
    <n v="0"/>
    <n v="0"/>
    <n v="45.985236590000007"/>
    <n v="50.255448740000006"/>
    <n v="0"/>
  </r>
  <r>
    <n v="2023"/>
    <s v="03"/>
    <s v="03/01/2023"/>
    <x v="14"/>
    <x v="1"/>
    <n v="825.41568099999995"/>
    <n v="825.41568099999995"/>
    <n v="0"/>
    <n v="293.31332300000003"/>
    <n v="67.456547999999998"/>
    <n v="44.872920999999998"/>
    <n v="0"/>
    <n v="0"/>
    <n v="0"/>
    <n v="0"/>
    <n v="0"/>
    <n v="0"/>
    <n v="0"/>
  </r>
  <r>
    <n v="2023"/>
    <s v="03"/>
    <s v="03/01/2023"/>
    <x v="14"/>
    <x v="2"/>
    <n v="134.37653696000001"/>
    <n v="134.37653696000001"/>
    <n v="0"/>
    <n v="2693.3505759999998"/>
    <n v="306.16191641"/>
    <n v="0"/>
    <n v="0"/>
    <n v="0"/>
    <n v="0"/>
    <n v="0"/>
    <n v="0"/>
    <n v="0"/>
    <n v="0"/>
  </r>
  <r>
    <n v="2023"/>
    <s v="03"/>
    <s v="03/01/2023"/>
    <x v="14"/>
    <x v="3"/>
    <n v="653.40623900000003"/>
    <n v="653.40623900000003"/>
    <n v="0"/>
    <n v="1179.707353"/>
    <n v="105.97737100000001"/>
    <n v="0"/>
    <n v="0"/>
    <n v="0"/>
    <n v="0"/>
    <n v="0"/>
    <n v="0"/>
    <n v="0"/>
    <n v="0"/>
  </r>
  <r>
    <n v="2023"/>
    <s v="03"/>
    <s v="03/01/2023"/>
    <x v="14"/>
    <x v="4"/>
    <n v="37.158051999999998"/>
    <n v="36.798454999999997"/>
    <n v="0"/>
    <n v="720.55395299999998"/>
    <n v="23.532340000000001"/>
    <n v="0"/>
    <n v="0"/>
    <n v="0"/>
    <n v="0"/>
    <n v="0"/>
    <n v="25.095198"/>
    <n v="20.649345"/>
    <n v="0"/>
  </r>
  <r>
    <n v="2023"/>
    <s v="03"/>
    <s v="03/01/2023"/>
    <x v="14"/>
    <x v="5"/>
    <n v="2.42404201"/>
    <n v="2.42404201"/>
    <n v="0"/>
    <n v="25.08661871"/>
    <n v="2.6897248500000002"/>
    <n v="0"/>
    <n v="0"/>
    <n v="0"/>
    <n v="0"/>
    <n v="0"/>
    <n v="0"/>
    <n v="0.57526741000000003"/>
    <n v="0"/>
  </r>
  <r>
    <n v="2023"/>
    <s v="03"/>
    <s v="03/01/2023"/>
    <x v="14"/>
    <x v="6"/>
    <n v="0"/>
    <n v="0"/>
    <n v="0"/>
    <n v="5.0290920000000003"/>
    <n v="8.4042000000000006E-2"/>
    <n v="0"/>
    <n v="0"/>
    <n v="0"/>
    <n v="0"/>
    <n v="0"/>
    <n v="0"/>
    <n v="0"/>
    <n v="0"/>
  </r>
  <r>
    <n v="2023"/>
    <s v="03"/>
    <s v="03/01/2023"/>
    <x v="14"/>
    <x v="7"/>
    <n v="14.503830000000001"/>
    <n v="14.503830000000001"/>
    <n v="0"/>
    <n v="0.79379200000000005"/>
    <n v="0"/>
    <n v="0"/>
    <n v="0"/>
    <n v="0"/>
    <n v="0"/>
    <n v="0"/>
    <n v="0"/>
    <n v="0"/>
    <n v="0"/>
  </r>
  <r>
    <n v="2023"/>
    <s v="03"/>
    <s v="03/01/2023"/>
    <x v="14"/>
    <x v="8"/>
    <n v="3.9651239999999999"/>
    <n v="3.9651239999999999"/>
    <n v="0"/>
    <n v="158.595708"/>
    <n v="18.121794000000001"/>
    <n v="0"/>
    <n v="0.87045300000000003"/>
    <n v="0.87045300000000003"/>
    <n v="0"/>
    <n v="0"/>
    <n v="9.9024009999999993"/>
    <n v="27.504511000000001"/>
    <n v="0"/>
  </r>
  <r>
    <n v="2023"/>
    <s v="03"/>
    <s v="03/01/2023"/>
    <x v="14"/>
    <x v="9"/>
    <n v="32.073962080000001"/>
    <n v="32.073962080000001"/>
    <n v="0"/>
    <n v="21.858664699999999"/>
    <n v="0.56153308999999996"/>
    <n v="0"/>
    <n v="0"/>
    <n v="0"/>
    <n v="0"/>
    <n v="0"/>
    <n v="0"/>
    <n v="0"/>
    <n v="0"/>
  </r>
  <r>
    <n v="2023"/>
    <s v="03"/>
    <s v="03/01/2023"/>
    <x v="14"/>
    <x v="10"/>
    <n v="0"/>
    <n v="0"/>
    <n v="0"/>
    <n v="50.547992000000001"/>
    <n v="0"/>
    <n v="0"/>
    <n v="0"/>
    <n v="0"/>
    <n v="0"/>
    <n v="0"/>
    <n v="0"/>
    <n v="0"/>
    <n v="0"/>
  </r>
  <r>
    <n v="2023"/>
    <s v="03"/>
    <s v="03/01/2023"/>
    <x v="14"/>
    <x v="44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11"/>
    <n v="3.3119999999999998E-3"/>
    <n v="3.3119999999999998E-3"/>
    <n v="0"/>
    <n v="63.256033000000002"/>
    <n v="0.11637"/>
    <n v="0"/>
    <n v="0"/>
    <n v="0"/>
    <n v="0"/>
    <n v="0"/>
    <n v="0"/>
    <n v="0"/>
    <n v="0"/>
  </r>
  <r>
    <n v="2023"/>
    <s v="03"/>
    <s v="03/01/2023"/>
    <x v="14"/>
    <x v="12"/>
    <n v="78.740011249999995"/>
    <n v="78.740011249999995"/>
    <n v="0"/>
    <n v="1154.1886167499999"/>
    <n v="139.12339034999999"/>
    <n v="0"/>
    <n v="0"/>
    <n v="0"/>
    <n v="0"/>
    <n v="0"/>
    <n v="0"/>
    <n v="0"/>
    <n v="0"/>
  </r>
  <r>
    <n v="2023"/>
    <s v="03"/>
    <s v="03/01/2023"/>
    <x v="14"/>
    <x v="13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14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15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16"/>
    <n v="0.38659729999999998"/>
    <n v="0.38637539000000004"/>
    <n v="2.234E-5"/>
    <n v="0"/>
    <n v="0"/>
    <n v="0"/>
    <n v="0"/>
    <n v="0"/>
    <n v="0"/>
    <n v="0"/>
    <n v="0"/>
    <n v="0"/>
    <n v="0"/>
  </r>
  <r>
    <n v="2023"/>
    <s v="03"/>
    <s v="03/01/2023"/>
    <x v="14"/>
    <x v="17"/>
    <n v="45.001497000000001"/>
    <n v="45.001497000000001"/>
    <n v="0"/>
    <n v="0"/>
    <n v="0"/>
    <n v="0"/>
    <n v="0"/>
    <n v="0"/>
    <n v="0"/>
    <n v="0"/>
    <n v="0"/>
    <n v="1.4667300000000001"/>
    <n v="0"/>
  </r>
  <r>
    <n v="2023"/>
    <s v="03"/>
    <s v="03/01/2023"/>
    <x v="14"/>
    <x v="18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19"/>
    <n v="0"/>
    <n v="0"/>
    <n v="0"/>
    <n v="935.77093290999994"/>
    <n v="2.2131439999999999E-2"/>
    <n v="0"/>
    <n v="0"/>
    <n v="0"/>
    <n v="0"/>
    <n v="0"/>
    <n v="0"/>
    <n v="0"/>
    <n v="0"/>
  </r>
  <r>
    <n v="2023"/>
    <s v="03"/>
    <s v="03/01/2023"/>
    <x v="14"/>
    <x v="20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21"/>
    <n v="0"/>
    <n v="0"/>
    <n v="0"/>
    <n v="255.853905"/>
    <n v="0"/>
    <n v="0"/>
    <n v="0"/>
    <n v="0"/>
    <n v="0"/>
    <n v="0"/>
    <n v="4.492934"/>
    <n v="0"/>
    <n v="0"/>
  </r>
  <r>
    <n v="2023"/>
    <s v="03"/>
    <s v="03/01/2023"/>
    <x v="14"/>
    <x v="22"/>
    <n v="14.294027"/>
    <n v="14.294027"/>
    <n v="0"/>
    <n v="0"/>
    <n v="0"/>
    <n v="0"/>
    <n v="0"/>
    <n v="0"/>
    <n v="0"/>
    <n v="0"/>
    <n v="0"/>
    <n v="0"/>
    <n v="0"/>
  </r>
  <r>
    <n v="2023"/>
    <s v="03"/>
    <s v="03/01/2023"/>
    <x v="14"/>
    <x v="23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24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25"/>
    <n v="0"/>
    <n v="0"/>
    <n v="0"/>
    <n v="1.9748626499999999"/>
    <n v="1.2789073500000001"/>
    <n v="0"/>
    <n v="0"/>
    <n v="0"/>
    <n v="0"/>
    <n v="0"/>
    <n v="0"/>
    <n v="0"/>
    <n v="0"/>
  </r>
  <r>
    <n v="2023"/>
    <s v="03"/>
    <s v="03/01/2023"/>
    <x v="14"/>
    <x v="26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27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28"/>
    <n v="0"/>
    <n v="0"/>
    <n v="0"/>
    <n v="39.422324000000003"/>
    <n v="0"/>
    <n v="0"/>
    <n v="0"/>
    <n v="0"/>
    <n v="0"/>
    <n v="0"/>
    <n v="0"/>
    <n v="0"/>
    <n v="0"/>
  </r>
  <r>
    <n v="2023"/>
    <s v="03"/>
    <s v="03/01/2023"/>
    <x v="14"/>
    <x v="29"/>
    <n v="0"/>
    <n v="0"/>
    <n v="0"/>
    <n v="31.794884"/>
    <n v="0"/>
    <n v="0"/>
    <n v="0"/>
    <n v="0"/>
    <n v="0"/>
    <n v="0"/>
    <n v="0"/>
    <n v="0"/>
    <n v="0"/>
  </r>
  <r>
    <n v="2023"/>
    <s v="03"/>
    <s v="03/01/2023"/>
    <x v="14"/>
    <x v="30"/>
    <n v="4.2081061900000005"/>
    <n v="2.4582774700000001"/>
    <n v="1.74982872"/>
    <n v="7.4922846500000002"/>
    <n v="4.8915760000000003E-2"/>
    <n v="0"/>
    <n v="0"/>
    <n v="0"/>
    <n v="0"/>
    <n v="0"/>
    <n v="6.3664025899999999"/>
    <n v="5.9595330000000002E-2"/>
    <n v="0"/>
  </r>
  <r>
    <n v="2023"/>
    <s v="03"/>
    <s v="03/01/2023"/>
    <x v="14"/>
    <x v="31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32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33"/>
    <n v="0"/>
    <n v="0"/>
    <n v="0"/>
    <n v="11.934469999999999"/>
    <n v="0"/>
    <n v="0"/>
    <n v="0"/>
    <n v="0"/>
    <n v="0"/>
    <n v="0"/>
    <n v="0.128301"/>
    <n v="0"/>
    <n v="0"/>
  </r>
  <r>
    <n v="2023"/>
    <s v="03"/>
    <s v="03/01/2023"/>
    <x v="14"/>
    <x v="34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35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36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37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38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39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40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41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42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45"/>
    <n v="0"/>
    <n v="0"/>
    <n v="0"/>
    <n v="0"/>
    <n v="0"/>
    <n v="0"/>
    <n v="0"/>
    <n v="0"/>
    <n v="0"/>
    <n v="0"/>
    <n v="0"/>
    <n v="0"/>
    <n v="0"/>
  </r>
  <r>
    <n v="2023"/>
    <s v="03"/>
    <s v="03/01/2023"/>
    <x v="14"/>
    <x v="43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0"/>
    <n v="1142.0647924300001"/>
    <n v="1141.45915393"/>
    <n v="0.5628571"/>
    <n v="7256.1583190800002"/>
    <n v="379.55073866000004"/>
    <n v="32.786583"/>
    <n v="1.5510662800000001"/>
    <n v="1.54760528"/>
    <n v="3.4610000000000001E-3"/>
    <n v="0"/>
    <n v="54.58737747"/>
    <n v="50.111218829999999"/>
    <n v="0"/>
  </r>
  <r>
    <n v="2023"/>
    <s v="04"/>
    <s v="04/01/2023"/>
    <x v="15"/>
    <x v="1"/>
    <n v="58.567163999999998"/>
    <n v="58.567126000000002"/>
    <n v="3.1999999999999999E-5"/>
    <n v="231.29386099999999"/>
    <n v="96.545029999999997"/>
    <n v="32.786583"/>
    <n v="9.0000000000000002E-6"/>
    <n v="0"/>
    <n v="9.0000000000000002E-6"/>
    <n v="0"/>
    <n v="0"/>
    <n v="0"/>
    <n v="0"/>
  </r>
  <r>
    <n v="2023"/>
    <s v="04"/>
    <s v="04/01/2023"/>
    <x v="15"/>
    <x v="2"/>
    <n v="210.24684764"/>
    <n v="210.24684764"/>
    <n v="0"/>
    <n v="2774.6625204800002"/>
    <n v="47.329356429999997"/>
    <n v="0"/>
    <n v="0"/>
    <n v="0"/>
    <n v="0"/>
    <n v="0"/>
    <n v="0"/>
    <n v="0"/>
    <n v="0"/>
  </r>
  <r>
    <n v="2023"/>
    <s v="04"/>
    <s v="04/01/2023"/>
    <x v="15"/>
    <x v="3"/>
    <n v="182.44353599999999"/>
    <n v="182.44353599999999"/>
    <n v="0"/>
    <n v="1102.9768449999999"/>
    <n v="54.425403000000003"/>
    <n v="0"/>
    <n v="0"/>
    <n v="0"/>
    <n v="0"/>
    <n v="0"/>
    <n v="0"/>
    <n v="0"/>
    <n v="0"/>
  </r>
  <r>
    <n v="2023"/>
    <s v="04"/>
    <s v="04/01/2023"/>
    <x v="15"/>
    <x v="4"/>
    <n v="55.899807000000003"/>
    <n v="55.899807000000003"/>
    <n v="0"/>
    <n v="589.31416200000001"/>
    <n v="23.180001000000001"/>
    <n v="0"/>
    <n v="0"/>
    <n v="0"/>
    <n v="0"/>
    <n v="0"/>
    <n v="22.134093"/>
    <n v="16.269570000000002"/>
    <n v="0"/>
  </r>
  <r>
    <n v="2023"/>
    <s v="04"/>
    <s v="04/01/2023"/>
    <x v="15"/>
    <x v="5"/>
    <n v="2.69254185"/>
    <n v="2.69254185"/>
    <n v="0"/>
    <n v="25.34131743"/>
    <n v="4.7052175999999992"/>
    <n v="0"/>
    <n v="0"/>
    <n v="0"/>
    <n v="0"/>
    <n v="0"/>
    <n v="0"/>
    <n v="0.50466553999999997"/>
    <n v="0"/>
  </r>
  <r>
    <n v="2023"/>
    <s v="04"/>
    <s v="04/01/2023"/>
    <x v="15"/>
    <x v="6"/>
    <n v="0"/>
    <n v="0"/>
    <n v="0"/>
    <n v="6.9311530000000001"/>
    <n v="0.13506000000000001"/>
    <n v="0"/>
    <n v="0"/>
    <n v="0"/>
    <n v="0"/>
    <n v="0"/>
    <n v="0"/>
    <n v="0"/>
    <n v="0"/>
  </r>
  <r>
    <n v="2023"/>
    <s v="04"/>
    <s v="04/01/2023"/>
    <x v="15"/>
    <x v="7"/>
    <n v="0"/>
    <n v="0"/>
    <n v="0"/>
    <n v="1.603458"/>
    <n v="0"/>
    <n v="0"/>
    <n v="0"/>
    <n v="0"/>
    <n v="0"/>
    <n v="0"/>
    <n v="0"/>
    <n v="0"/>
    <n v="0"/>
  </r>
  <r>
    <n v="2023"/>
    <s v="04"/>
    <s v="04/01/2023"/>
    <x v="15"/>
    <x v="8"/>
    <n v="2.4431029999999998"/>
    <n v="2.4431029999999998"/>
    <n v="0"/>
    <n v="122.585314"/>
    <n v="8.1639949999999999"/>
    <n v="0"/>
    <n v="1.3351999999999999E-2"/>
    <n v="9.9000000000000008E-3"/>
    <n v="3.4520000000000002E-3"/>
    <n v="0"/>
    <n v="22.185722999999999"/>
    <n v="32.668612000000003"/>
    <n v="0"/>
  </r>
  <r>
    <n v="2023"/>
    <s v="04"/>
    <s v="04/01/2023"/>
    <x v="15"/>
    <x v="9"/>
    <n v="20.181631760000002"/>
    <n v="20.181631760000002"/>
    <n v="0"/>
    <n v="29.527265059999998"/>
    <n v="3.5081294300000003"/>
    <n v="0"/>
    <n v="0"/>
    <n v="0"/>
    <n v="0"/>
    <n v="0"/>
    <n v="0"/>
    <n v="0"/>
    <n v="0"/>
  </r>
  <r>
    <n v="2023"/>
    <s v="04"/>
    <s v="04/01/2023"/>
    <x v="15"/>
    <x v="10"/>
    <n v="0"/>
    <n v="0"/>
    <n v="0"/>
    <n v="51.683405"/>
    <n v="0"/>
    <n v="0"/>
    <n v="0"/>
    <n v="0"/>
    <n v="0"/>
    <n v="0"/>
    <n v="0"/>
    <n v="0"/>
    <n v="0"/>
  </r>
  <r>
    <n v="2023"/>
    <s v="04"/>
    <s v="04/01/2023"/>
    <x v="15"/>
    <x v="44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11"/>
    <n v="400.939752"/>
    <n v="400.939752"/>
    <n v="0"/>
    <n v="62.709291999999998"/>
    <n v="0.31920100000000001"/>
    <n v="0"/>
    <n v="0"/>
    <n v="0"/>
    <n v="0"/>
    <n v="0"/>
    <n v="0"/>
    <n v="0"/>
    <n v="0"/>
  </r>
  <r>
    <n v="2023"/>
    <s v="04"/>
    <s v="04/01/2023"/>
    <x v="15"/>
    <x v="12"/>
    <n v="154.9043508"/>
    <n v="154.9043508"/>
    <n v="0"/>
    <n v="1104.4182933699999"/>
    <n v="135.47045365"/>
    <n v="0"/>
    <n v="0"/>
    <n v="0"/>
    <n v="0"/>
    <n v="0"/>
    <n v="0"/>
    <n v="0"/>
    <n v="0"/>
  </r>
  <r>
    <n v="2023"/>
    <s v="04"/>
    <s v="04/01/2023"/>
    <x v="15"/>
    <x v="13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14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15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16"/>
    <n v="0.21229901000000001"/>
    <n v="0.16168110999999999"/>
    <n v="7.8425000000000005E-3"/>
    <n v="0"/>
    <n v="0"/>
    <n v="0"/>
    <n v="0"/>
    <n v="0"/>
    <n v="0"/>
    <n v="0"/>
    <n v="0"/>
    <n v="0"/>
    <n v="0"/>
  </r>
  <r>
    <n v="2023"/>
    <s v="04"/>
    <s v="04/01/2023"/>
    <x v="15"/>
    <x v="17"/>
    <n v="25.152932"/>
    <n v="25.152932"/>
    <n v="0"/>
    <n v="0"/>
    <n v="0"/>
    <n v="0"/>
    <n v="0"/>
    <n v="0"/>
    <n v="0"/>
    <n v="0"/>
    <n v="0"/>
    <n v="0"/>
    <n v="0"/>
  </r>
  <r>
    <n v="2023"/>
    <s v="04"/>
    <s v="04/01/2023"/>
    <x v="15"/>
    <x v="18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19"/>
    <n v="0"/>
    <n v="0"/>
    <n v="0"/>
    <n v="827.05487578999998"/>
    <n v="6.3753400000000002E-3"/>
    <n v="0"/>
    <n v="0"/>
    <n v="0"/>
    <n v="0"/>
    <n v="0"/>
    <n v="0"/>
    <n v="0"/>
    <n v="0"/>
  </r>
  <r>
    <n v="2023"/>
    <s v="04"/>
    <s v="04/01/2023"/>
    <x v="15"/>
    <x v="20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21"/>
    <n v="0"/>
    <n v="0"/>
    <n v="0"/>
    <n v="292.21497299999999"/>
    <n v="0"/>
    <n v="0"/>
    <n v="0"/>
    <n v="0"/>
    <n v="0"/>
    <n v="0"/>
    <n v="3.9937680000000002"/>
    <n v="0"/>
    <n v="0"/>
  </r>
  <r>
    <n v="2023"/>
    <s v="04"/>
    <s v="04/01/2023"/>
    <x v="15"/>
    <x v="22"/>
    <n v="0"/>
    <n v="0"/>
    <n v="0"/>
    <n v="1.2999999999999999E-5"/>
    <n v="0"/>
    <n v="0"/>
    <n v="0"/>
    <n v="0"/>
    <n v="0"/>
    <n v="0"/>
    <n v="0"/>
    <n v="0"/>
    <n v="0"/>
  </r>
  <r>
    <n v="2023"/>
    <s v="04"/>
    <s v="04/01/2023"/>
    <x v="15"/>
    <x v="23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24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25"/>
    <n v="0"/>
    <n v="0"/>
    <n v="0"/>
    <n v="3.4295075399999999"/>
    <n v="1.0226754"/>
    <n v="0"/>
    <n v="0"/>
    <n v="0"/>
    <n v="0"/>
    <n v="0"/>
    <n v="0"/>
    <n v="0"/>
    <n v="0"/>
  </r>
  <r>
    <n v="2023"/>
    <s v="04"/>
    <s v="04/01/2023"/>
    <x v="15"/>
    <x v="26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27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28"/>
    <n v="0"/>
    <n v="0"/>
    <n v="0"/>
    <n v="16.787412"/>
    <n v="0"/>
    <n v="0"/>
    <n v="0"/>
    <n v="0"/>
    <n v="0"/>
    <n v="0"/>
    <n v="0"/>
    <n v="0"/>
    <n v="0"/>
  </r>
  <r>
    <n v="2023"/>
    <s v="04"/>
    <s v="04/01/2023"/>
    <x v="15"/>
    <x v="29"/>
    <n v="0"/>
    <n v="0"/>
    <n v="0"/>
    <n v="0.261322"/>
    <n v="0"/>
    <n v="0"/>
    <n v="0"/>
    <n v="0"/>
    <n v="0"/>
    <n v="0"/>
    <n v="0"/>
    <n v="0"/>
    <n v="0"/>
  </r>
  <r>
    <n v="2023"/>
    <s v="04"/>
    <s v="04/01/2023"/>
    <x v="15"/>
    <x v="30"/>
    <n v="28.380827370000002"/>
    <n v="27.82584477"/>
    <n v="0.55498259999999999"/>
    <n v="1.6520114099999998"/>
    <n v="4.7398408099999996"/>
    <n v="0"/>
    <n v="1.53770528"/>
    <n v="1.53770528"/>
    <n v="0"/>
    <n v="0"/>
    <n v="6.2177594699999998"/>
    <n v="0.66837129000000006"/>
    <n v="0"/>
  </r>
  <r>
    <n v="2023"/>
    <s v="04"/>
    <s v="04/01/2023"/>
    <x v="15"/>
    <x v="31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32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33"/>
    <n v="0"/>
    <n v="0"/>
    <n v="0"/>
    <n v="11.711318"/>
    <n v="0"/>
    <n v="0"/>
    <n v="0"/>
    <n v="0"/>
    <n v="0"/>
    <n v="0"/>
    <n v="5.6034E-2"/>
    <n v="0"/>
    <n v="0"/>
  </r>
  <r>
    <n v="2023"/>
    <s v="04"/>
    <s v="04/01/2023"/>
    <x v="15"/>
    <x v="34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35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36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37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38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39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40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41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42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45"/>
    <n v="0"/>
    <n v="0"/>
    <n v="0"/>
    <n v="0"/>
    <n v="0"/>
    <n v="0"/>
    <n v="0"/>
    <n v="0"/>
    <n v="0"/>
    <n v="0"/>
    <n v="0"/>
    <n v="0"/>
    <n v="0"/>
  </r>
  <r>
    <n v="2023"/>
    <s v="04"/>
    <s v="04/01/2023"/>
    <x v="15"/>
    <x v="43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0"/>
    <n v="1497.6335559900001"/>
    <n v="1468.40560684"/>
    <n v="29.227261239999997"/>
    <n v="7779.7299175600001"/>
    <n v="726.59964129999992"/>
    <n v="45.419184000000001"/>
    <n v="2.7052520800000002"/>
    <n v="2.7052520800000002"/>
    <n v="0"/>
    <n v="0"/>
    <n v="59.97279752"/>
    <n v="63.443441610000001"/>
    <n v="0"/>
  </r>
  <r>
    <n v="2023"/>
    <s v="05"/>
    <s v="05/01/2023"/>
    <x v="16"/>
    <x v="1"/>
    <n v="99.636230999999995"/>
    <n v="99.636230999999995"/>
    <n v="0"/>
    <n v="353.04458899999997"/>
    <n v="73.887169999999998"/>
    <n v="45.419184000000001"/>
    <n v="0"/>
    <n v="0"/>
    <n v="0"/>
    <n v="0"/>
    <n v="0"/>
    <n v="0"/>
    <n v="0"/>
  </r>
  <r>
    <n v="2023"/>
    <s v="05"/>
    <s v="05/01/2023"/>
    <x v="16"/>
    <x v="2"/>
    <n v="210.07694505000001"/>
    <n v="210.07694505000001"/>
    <n v="0"/>
    <n v="2896.4214708099998"/>
    <n v="355.20814718000003"/>
    <n v="0"/>
    <n v="0"/>
    <n v="0"/>
    <n v="0"/>
    <n v="0"/>
    <n v="0"/>
    <n v="0"/>
    <n v="0"/>
  </r>
  <r>
    <n v="2023"/>
    <s v="05"/>
    <s v="05/01/2023"/>
    <x v="16"/>
    <x v="3"/>
    <n v="383.75870700000002"/>
    <n v="383.75870700000002"/>
    <n v="0"/>
    <n v="1134.815564"/>
    <n v="69.001991000000004"/>
    <n v="0"/>
    <n v="0"/>
    <n v="0"/>
    <n v="0"/>
    <n v="0"/>
    <n v="0"/>
    <n v="0"/>
    <n v="0"/>
  </r>
  <r>
    <n v="2023"/>
    <s v="05"/>
    <s v="05/01/2023"/>
    <x v="16"/>
    <x v="4"/>
    <n v="57.755479999999999"/>
    <n v="57.755479999999999"/>
    <n v="0"/>
    <n v="762.71400400000005"/>
    <n v="22.811202000000002"/>
    <n v="0"/>
    <n v="0"/>
    <n v="0"/>
    <n v="0"/>
    <n v="0"/>
    <n v="35.300691"/>
    <n v="14.485875999999999"/>
    <n v="0"/>
  </r>
  <r>
    <n v="2023"/>
    <s v="05"/>
    <s v="05/01/2023"/>
    <x v="16"/>
    <x v="5"/>
    <n v="3.8260222599999998"/>
    <n v="3.8260222599999998"/>
    <n v="0"/>
    <n v="26.072009789999999"/>
    <n v="2.7349024100000001"/>
    <n v="0"/>
    <n v="0"/>
    <n v="0"/>
    <n v="0"/>
    <n v="0"/>
    <n v="0"/>
    <n v="0.55351753000000004"/>
    <n v="0"/>
  </r>
  <r>
    <n v="2023"/>
    <s v="05"/>
    <s v="05/01/2023"/>
    <x v="16"/>
    <x v="6"/>
    <n v="0"/>
    <n v="0"/>
    <n v="0"/>
    <n v="6.552524"/>
    <n v="0.36279"/>
    <n v="0"/>
    <n v="0"/>
    <n v="0"/>
    <n v="0"/>
    <n v="0"/>
    <n v="0"/>
    <n v="0"/>
    <n v="0"/>
  </r>
  <r>
    <n v="2023"/>
    <s v="05"/>
    <s v="05/01/2023"/>
    <x v="16"/>
    <x v="7"/>
    <n v="6.66676"/>
    <n v="6.66676"/>
    <n v="0"/>
    <n v="1.580141"/>
    <n v="0"/>
    <n v="0"/>
    <n v="0"/>
    <n v="0"/>
    <n v="0"/>
    <n v="0"/>
    <n v="0"/>
    <n v="0"/>
    <n v="0"/>
  </r>
  <r>
    <n v="2023"/>
    <s v="05"/>
    <s v="05/01/2023"/>
    <x v="16"/>
    <x v="8"/>
    <n v="0.546539"/>
    <n v="0.546539"/>
    <n v="0"/>
    <n v="157.31024099999999"/>
    <n v="19.810065999999999"/>
    <n v="0"/>
    <n v="0.15144099999999999"/>
    <n v="0.15144099999999999"/>
    <n v="0"/>
    <n v="0"/>
    <n v="13.965182"/>
    <n v="47.542521999999998"/>
    <n v="0"/>
  </r>
  <r>
    <n v="2023"/>
    <s v="05"/>
    <s v="05/01/2023"/>
    <x v="16"/>
    <x v="9"/>
    <n v="38.075817100000002"/>
    <n v="38.075817100000002"/>
    <n v="0"/>
    <n v="31.056322730000002"/>
    <n v="0.23127861999999999"/>
    <n v="0"/>
    <n v="0"/>
    <n v="0"/>
    <n v="0"/>
    <n v="0"/>
    <n v="0"/>
    <n v="0"/>
    <n v="0"/>
  </r>
  <r>
    <n v="2023"/>
    <s v="05"/>
    <s v="05/01/2023"/>
    <x v="16"/>
    <x v="10"/>
    <n v="0"/>
    <n v="0"/>
    <n v="0"/>
    <n v="60.665329"/>
    <n v="0"/>
    <n v="0"/>
    <n v="0"/>
    <n v="0"/>
    <n v="0"/>
    <n v="0"/>
    <n v="0"/>
    <n v="0"/>
    <n v="0"/>
  </r>
  <r>
    <n v="2023"/>
    <s v="05"/>
    <s v="05/01/2023"/>
    <x v="16"/>
    <x v="44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11"/>
    <n v="328.48998399999999"/>
    <n v="328.48998399999999"/>
    <n v="0"/>
    <n v="56.201448999999997"/>
    <n v="0.576152"/>
    <n v="0"/>
    <n v="0"/>
    <n v="0"/>
    <n v="0"/>
    <n v="0"/>
    <n v="0"/>
    <n v="0"/>
    <n v="0"/>
  </r>
  <r>
    <n v="2023"/>
    <s v="05"/>
    <s v="05/01/2023"/>
    <x v="16"/>
    <x v="12"/>
    <n v="311.63356069000002"/>
    <n v="311.63354742000001"/>
    <n v="0"/>
    <n v="1039.4925968099999"/>
    <n v="181.51969106000001"/>
    <n v="0"/>
    <n v="0"/>
    <n v="0"/>
    <n v="0"/>
    <n v="0"/>
    <n v="0"/>
    <n v="0"/>
    <n v="0"/>
  </r>
  <r>
    <n v="2023"/>
    <s v="05"/>
    <s v="05/01/2023"/>
    <x v="16"/>
    <x v="13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14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15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16"/>
    <n v="2.8948459999999999E-2"/>
    <n v="2.8273819999999998E-2"/>
    <n v="0"/>
    <n v="0"/>
    <n v="0"/>
    <n v="0"/>
    <n v="0"/>
    <n v="0"/>
    <n v="0"/>
    <n v="0"/>
    <n v="0"/>
    <n v="0"/>
    <n v="0"/>
  </r>
  <r>
    <n v="2023"/>
    <s v="05"/>
    <s v="05/01/2023"/>
    <x v="16"/>
    <x v="17"/>
    <n v="24.996556999999999"/>
    <n v="24.996556999999999"/>
    <n v="0"/>
    <n v="0"/>
    <n v="0"/>
    <n v="0"/>
    <n v="0"/>
    <n v="0"/>
    <n v="0"/>
    <n v="0"/>
    <n v="0"/>
    <n v="0"/>
    <n v="0"/>
  </r>
  <r>
    <n v="2023"/>
    <s v="05"/>
    <s v="05/01/2023"/>
    <x v="16"/>
    <x v="18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19"/>
    <n v="0"/>
    <n v="0"/>
    <n v="0"/>
    <n v="851.33449392"/>
    <n v="0"/>
    <n v="0"/>
    <n v="0"/>
    <n v="0"/>
    <n v="0"/>
    <n v="0"/>
    <n v="0"/>
    <n v="0"/>
    <n v="0"/>
  </r>
  <r>
    <n v="2023"/>
    <s v="05"/>
    <s v="05/01/2023"/>
    <x v="16"/>
    <x v="20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21"/>
    <n v="0"/>
    <n v="0"/>
    <n v="0"/>
    <n v="288.64060000000001"/>
    <n v="0"/>
    <n v="0"/>
    <n v="0"/>
    <n v="0"/>
    <n v="0"/>
    <n v="0"/>
    <n v="5.4445969999999999"/>
    <n v="0"/>
    <n v="0"/>
  </r>
  <r>
    <n v="2023"/>
    <s v="05"/>
    <s v="05/01/2023"/>
    <x v="16"/>
    <x v="22"/>
    <n v="0"/>
    <n v="0"/>
    <n v="0"/>
    <n v="5.1354999999999998E-2"/>
    <n v="0"/>
    <n v="0"/>
    <n v="0"/>
    <n v="0"/>
    <n v="0"/>
    <n v="0"/>
    <n v="0"/>
    <n v="0"/>
    <n v="0"/>
  </r>
  <r>
    <n v="2023"/>
    <s v="05"/>
    <s v="05/01/2023"/>
    <x v="16"/>
    <x v="23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24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25"/>
    <n v="0"/>
    <n v="0"/>
    <n v="0"/>
    <n v="25.957847010000002"/>
    <n v="0.38047296999999997"/>
    <n v="0"/>
    <n v="0"/>
    <n v="0"/>
    <n v="0"/>
    <n v="0"/>
    <n v="0"/>
    <n v="0"/>
    <n v="0"/>
  </r>
  <r>
    <n v="2023"/>
    <s v="05"/>
    <s v="05/01/2023"/>
    <x v="16"/>
    <x v="26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27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28"/>
    <n v="0"/>
    <n v="0"/>
    <n v="0"/>
    <n v="67.929903999999993"/>
    <n v="0"/>
    <n v="0"/>
    <n v="0"/>
    <n v="0"/>
    <n v="0"/>
    <n v="0"/>
    <n v="0"/>
    <n v="0"/>
    <n v="0"/>
  </r>
  <r>
    <n v="2023"/>
    <s v="05"/>
    <s v="05/01/2023"/>
    <x v="16"/>
    <x v="29"/>
    <n v="0"/>
    <n v="0"/>
    <n v="0"/>
    <n v="4.7019999999999999E-2"/>
    <n v="0"/>
    <n v="0"/>
    <n v="0"/>
    <n v="0"/>
    <n v="0"/>
    <n v="0"/>
    <n v="0"/>
    <n v="0"/>
    <n v="0"/>
  </r>
  <r>
    <n v="2023"/>
    <s v="05"/>
    <s v="05/01/2023"/>
    <x v="16"/>
    <x v="30"/>
    <n v="3.6412784300000003"/>
    <n v="2.9147431899999998"/>
    <n v="0.72653524000000003"/>
    <n v="10.15610349"/>
    <n v="7.5778059999999994E-2"/>
    <n v="0"/>
    <n v="1.93385696"/>
    <n v="1.93385696"/>
    <n v="0"/>
    <n v="0"/>
    <n v="5.1303595199999998"/>
    <n v="0.86152607999999997"/>
    <n v="0"/>
  </r>
  <r>
    <n v="2023"/>
    <s v="05"/>
    <s v="05/01/2023"/>
    <x v="16"/>
    <x v="31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32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33"/>
    <n v="0"/>
    <n v="0"/>
    <n v="0"/>
    <n v="9.6863530000000004"/>
    <n v="0"/>
    <n v="0"/>
    <n v="0"/>
    <n v="0"/>
    <n v="0"/>
    <n v="0"/>
    <n v="0.131968"/>
    <n v="0"/>
    <n v="0"/>
  </r>
  <r>
    <n v="2023"/>
    <s v="05"/>
    <s v="05/01/2023"/>
    <x v="16"/>
    <x v="34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35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36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37"/>
    <n v="0"/>
    <n v="0"/>
    <n v="0"/>
    <n v="0"/>
    <n v="0"/>
    <n v="0"/>
    <n v="0.61995411999999994"/>
    <n v="0.61995411999999994"/>
    <n v="0"/>
    <n v="0"/>
    <n v="0"/>
    <n v="0"/>
    <n v="0"/>
  </r>
  <r>
    <n v="2023"/>
    <s v="05"/>
    <s v="05/01/2023"/>
    <x v="16"/>
    <x v="38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39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40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41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42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45"/>
    <n v="0"/>
    <n v="0"/>
    <n v="0"/>
    <n v="0"/>
    <n v="0"/>
    <n v="0"/>
    <n v="0"/>
    <n v="0"/>
    <n v="0"/>
    <n v="0"/>
    <n v="0"/>
    <n v="0"/>
    <n v="0"/>
  </r>
  <r>
    <n v="2023"/>
    <s v="05"/>
    <s v="05/01/2023"/>
    <x v="16"/>
    <x v="43"/>
    <n v="28.500726"/>
    <n v="0"/>
    <n v="28.500726"/>
    <n v="0"/>
    <n v="0"/>
    <n v="0"/>
    <n v="0"/>
    <n v="0"/>
    <n v="0"/>
    <n v="0"/>
    <n v="0"/>
    <n v="0"/>
    <n v="0"/>
  </r>
  <r>
    <n v="2023"/>
    <s v="06"/>
    <s v="06/01/2023"/>
    <x v="17"/>
    <x v="0"/>
    <n v="1000.37479683"/>
    <n v="997.42541724"/>
    <n v="2.9460672099999998"/>
    <n v="7836.56636428"/>
    <n v="552.39477376000002"/>
    <n v="42.020611000000002"/>
    <n v="0.280084"/>
    <n v="0.280084"/>
    <n v="0"/>
    <n v="0"/>
    <n v="73.406462140000002"/>
    <n v="72.446288019999997"/>
    <n v="0"/>
  </r>
  <r>
    <n v="2023"/>
    <s v="06"/>
    <s v="06/01/2023"/>
    <x v="17"/>
    <x v="1"/>
    <n v="64.177037999999996"/>
    <n v="64.177037999999996"/>
    <n v="0"/>
    <n v="332.20844599999998"/>
    <n v="69.347588999999999"/>
    <n v="42.020611000000002"/>
    <n v="0"/>
    <n v="0"/>
    <n v="0"/>
    <n v="0"/>
    <n v="0"/>
    <n v="0"/>
    <n v="0"/>
  </r>
  <r>
    <n v="2023"/>
    <s v="06"/>
    <s v="06/01/2023"/>
    <x v="17"/>
    <x v="2"/>
    <n v="241.42846233"/>
    <n v="241.42846233"/>
    <n v="0"/>
    <n v="2873.4929323699998"/>
    <n v="179.22674631000001"/>
    <n v="0"/>
    <n v="0"/>
    <n v="0"/>
    <n v="0"/>
    <n v="0"/>
    <n v="0"/>
    <n v="0"/>
    <n v="0"/>
  </r>
  <r>
    <n v="2023"/>
    <s v="06"/>
    <s v="06/01/2023"/>
    <x v="17"/>
    <x v="3"/>
    <n v="267.53667200000001"/>
    <n v="267.53667200000001"/>
    <n v="0"/>
    <n v="1120.777554"/>
    <n v="55.851331000000002"/>
    <n v="0"/>
    <n v="0"/>
    <n v="0"/>
    <n v="0"/>
    <n v="0"/>
    <n v="0"/>
    <n v="0"/>
    <n v="0"/>
  </r>
  <r>
    <n v="2023"/>
    <s v="06"/>
    <s v="06/01/2023"/>
    <x v="17"/>
    <x v="4"/>
    <n v="115.619913"/>
    <n v="115.619913"/>
    <n v="0"/>
    <n v="935.19856000000004"/>
    <n v="43.52037"/>
    <n v="0"/>
    <n v="0"/>
    <n v="0"/>
    <n v="0"/>
    <n v="0"/>
    <n v="46.173515000000002"/>
    <n v="33.010478999999997"/>
    <n v="0"/>
  </r>
  <r>
    <n v="2023"/>
    <s v="06"/>
    <s v="06/01/2023"/>
    <x v="17"/>
    <x v="5"/>
    <n v="28.460459800000002"/>
    <n v="28.460459800000002"/>
    <n v="0"/>
    <n v="30.044346090000001"/>
    <n v="-0.16657131"/>
    <n v="0"/>
    <n v="0"/>
    <n v="0"/>
    <n v="0"/>
    <n v="0"/>
    <n v="0"/>
    <n v="0.99196582999999994"/>
    <n v="0"/>
  </r>
  <r>
    <n v="2023"/>
    <s v="06"/>
    <s v="06/01/2023"/>
    <x v="17"/>
    <x v="6"/>
    <n v="0"/>
    <n v="0"/>
    <n v="0"/>
    <n v="7.8248160000000002"/>
    <n v="2.6770000000000001E-3"/>
    <n v="0"/>
    <n v="0"/>
    <n v="0"/>
    <n v="0"/>
    <n v="0"/>
    <n v="0"/>
    <n v="0"/>
    <n v="0"/>
  </r>
  <r>
    <n v="2023"/>
    <s v="06"/>
    <s v="06/01/2023"/>
    <x v="17"/>
    <x v="7"/>
    <n v="35.421396000000001"/>
    <n v="35.421396000000001"/>
    <n v="0"/>
    <n v="2.5559850000000002"/>
    <n v="0"/>
    <n v="0"/>
    <n v="0"/>
    <n v="0"/>
    <n v="0"/>
    <n v="0"/>
    <n v="0"/>
    <n v="0"/>
    <n v="0"/>
  </r>
  <r>
    <n v="2023"/>
    <s v="06"/>
    <s v="06/01/2023"/>
    <x v="17"/>
    <x v="8"/>
    <n v="3.7346780000000002"/>
    <n v="3.7346780000000002"/>
    <n v="0"/>
    <n v="140.18099799999999"/>
    <n v="21.945139999999999"/>
    <n v="0"/>
    <n v="0.280084"/>
    <n v="0.280084"/>
    <n v="0"/>
    <n v="0"/>
    <n v="17.030228999999999"/>
    <n v="38.198222000000001"/>
    <n v="0"/>
  </r>
  <r>
    <n v="2023"/>
    <s v="06"/>
    <s v="06/01/2023"/>
    <x v="17"/>
    <x v="9"/>
    <n v="29.780670969999999"/>
    <n v="29.780670969999999"/>
    <n v="0"/>
    <n v="39.575961799999995"/>
    <n v="2.2962827200000002"/>
    <n v="0"/>
    <n v="0"/>
    <n v="0"/>
    <n v="0"/>
    <n v="0"/>
    <n v="0"/>
    <n v="0"/>
    <n v="0"/>
  </r>
  <r>
    <n v="2023"/>
    <s v="06"/>
    <s v="06/01/2023"/>
    <x v="17"/>
    <x v="10"/>
    <n v="0"/>
    <n v="0"/>
    <n v="0"/>
    <n v="50.328429999999997"/>
    <n v="0"/>
    <n v="0"/>
    <n v="0"/>
    <n v="0"/>
    <n v="0"/>
    <n v="0"/>
    <n v="0"/>
    <n v="0"/>
    <n v="0"/>
  </r>
  <r>
    <n v="2023"/>
    <s v="06"/>
    <s v="06/01/2023"/>
    <x v="17"/>
    <x v="44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11"/>
    <n v="2.7202299999999999"/>
    <n v="2.7202299999999999"/>
    <n v="0"/>
    <n v="71.739356000000001"/>
    <n v="2.7557999999999999E-2"/>
    <n v="0"/>
    <n v="0"/>
    <n v="0"/>
    <n v="0"/>
    <n v="0"/>
    <n v="0"/>
    <n v="0"/>
    <n v="0"/>
  </r>
  <r>
    <n v="2023"/>
    <s v="06"/>
    <s v="06/01/2023"/>
    <x v="17"/>
    <x v="12"/>
    <n v="48.666432409999999"/>
    <n v="48.666432409999999"/>
    <n v="0"/>
    <n v="1000.46120487"/>
    <n v="177.78889483"/>
    <n v="0"/>
    <n v="0"/>
    <n v="0"/>
    <n v="0"/>
    <n v="0"/>
    <n v="0"/>
    <n v="0"/>
    <n v="0"/>
  </r>
  <r>
    <n v="2023"/>
    <s v="06"/>
    <s v="06/01/2023"/>
    <x v="17"/>
    <x v="13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14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15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16"/>
    <n v="49.024877279999998"/>
    <n v="48.945877729999999"/>
    <n v="7.5687169999999998E-2"/>
    <n v="0"/>
    <n v="0"/>
    <n v="0"/>
    <n v="0"/>
    <n v="0"/>
    <n v="0"/>
    <n v="0"/>
    <n v="0"/>
    <n v="0"/>
    <n v="0"/>
  </r>
  <r>
    <n v="2023"/>
    <s v="06"/>
    <s v="06/01/2023"/>
    <x v="17"/>
    <x v="17"/>
    <n v="25.044187999999998"/>
    <n v="25.044187999999998"/>
    <n v="0"/>
    <n v="0"/>
    <n v="0"/>
    <n v="0"/>
    <n v="0"/>
    <n v="0"/>
    <n v="0"/>
    <n v="0"/>
    <n v="0"/>
    <n v="9.4878000000000004E-2"/>
    <n v="0"/>
  </r>
  <r>
    <n v="2023"/>
    <s v="06"/>
    <s v="06/01/2023"/>
    <x v="17"/>
    <x v="18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19"/>
    <n v="0"/>
    <n v="0"/>
    <n v="0"/>
    <n v="833.88900104999993"/>
    <n v="0"/>
    <n v="0"/>
    <n v="0"/>
    <n v="0"/>
    <n v="0"/>
    <n v="0"/>
    <n v="0"/>
    <n v="0"/>
    <n v="0"/>
  </r>
  <r>
    <n v="2023"/>
    <s v="06"/>
    <s v="06/01/2023"/>
    <x v="17"/>
    <x v="20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21"/>
    <n v="0"/>
    <n v="0"/>
    <n v="0"/>
    <n v="325.65071"/>
    <n v="0"/>
    <n v="0"/>
    <n v="0"/>
    <n v="0"/>
    <n v="0"/>
    <n v="0"/>
    <n v="5.2762640000000003"/>
    <n v="0"/>
    <n v="0"/>
  </r>
  <r>
    <n v="2023"/>
    <s v="06"/>
    <s v="06/01/2023"/>
    <x v="17"/>
    <x v="22"/>
    <n v="0.96510300000000004"/>
    <n v="0.96510300000000004"/>
    <n v="0"/>
    <n v="0.73741299999999999"/>
    <n v="0"/>
    <n v="0"/>
    <n v="0"/>
    <n v="0"/>
    <n v="0"/>
    <n v="0"/>
    <n v="0"/>
    <n v="0"/>
    <n v="0"/>
  </r>
  <r>
    <n v="2023"/>
    <s v="06"/>
    <s v="06/01/2023"/>
    <x v="17"/>
    <x v="23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24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25"/>
    <n v="0"/>
    <n v="0"/>
    <n v="0"/>
    <n v="6.8335383200000006"/>
    <n v="1.2395726899999999"/>
    <n v="0"/>
    <n v="0"/>
    <n v="0"/>
    <n v="0"/>
    <n v="0"/>
    <n v="0"/>
    <n v="0"/>
    <n v="0"/>
  </r>
  <r>
    <n v="2023"/>
    <s v="06"/>
    <s v="06/01/2023"/>
    <x v="17"/>
    <x v="26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27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28"/>
    <n v="0"/>
    <n v="0"/>
    <n v="0"/>
    <n v="15.543079000000001"/>
    <n v="0"/>
    <n v="0"/>
    <n v="0"/>
    <n v="0"/>
    <n v="0"/>
    <n v="0"/>
    <n v="0"/>
    <n v="0"/>
    <n v="0"/>
  </r>
  <r>
    <n v="2023"/>
    <s v="06"/>
    <s v="06/01/2023"/>
    <x v="17"/>
    <x v="29"/>
    <n v="0"/>
    <n v="0"/>
    <n v="0"/>
    <n v="38.956546000000003"/>
    <n v="0"/>
    <n v="0"/>
    <n v="0"/>
    <n v="0"/>
    <n v="0"/>
    <n v="0"/>
    <n v="0"/>
    <n v="0"/>
    <n v="0"/>
  </r>
  <r>
    <n v="2023"/>
    <s v="06"/>
    <s v="06/01/2023"/>
    <x v="17"/>
    <x v="30"/>
    <n v="5.9447530400000002"/>
    <n v="3.074373"/>
    <n v="2.8703800400000001"/>
    <n v="2.56498078"/>
    <n v="1.3151835199999999"/>
    <n v="0"/>
    <n v="0"/>
    <n v="0"/>
    <n v="0"/>
    <n v="0"/>
    <n v="4.8794981399999999"/>
    <n v="0.15074319"/>
    <n v="0"/>
  </r>
  <r>
    <n v="2023"/>
    <s v="06"/>
    <s v="06/01/2023"/>
    <x v="17"/>
    <x v="31"/>
    <n v="81.849923000000004"/>
    <n v="81.849923000000004"/>
    <n v="0"/>
    <n v="0"/>
    <n v="0"/>
    <n v="0"/>
    <n v="0"/>
    <n v="0"/>
    <n v="0"/>
    <n v="0"/>
    <n v="0"/>
    <n v="0"/>
    <n v="0"/>
  </r>
  <r>
    <n v="2023"/>
    <s v="06"/>
    <s v="06/01/2023"/>
    <x v="17"/>
    <x v="32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33"/>
    <n v="0"/>
    <n v="0"/>
    <n v="0"/>
    <n v="8.0025060000000003"/>
    <n v="0"/>
    <n v="0"/>
    <n v="0"/>
    <n v="0"/>
    <n v="0"/>
    <n v="0"/>
    <n v="4.6955999999999998E-2"/>
    <n v="0"/>
    <n v="0"/>
  </r>
  <r>
    <n v="2023"/>
    <s v="06"/>
    <s v="06/01/2023"/>
    <x v="17"/>
    <x v="34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35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36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37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38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39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40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41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42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45"/>
    <n v="0"/>
    <n v="0"/>
    <n v="0"/>
    <n v="0"/>
    <n v="0"/>
    <n v="0"/>
    <n v="0"/>
    <n v="0"/>
    <n v="0"/>
    <n v="0"/>
    <n v="0"/>
    <n v="0"/>
    <n v="0"/>
  </r>
  <r>
    <n v="2023"/>
    <s v="06"/>
    <s v="06/01/2023"/>
    <x v="17"/>
    <x v="43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0"/>
    <n v="963.2271384500001"/>
    <n v="962.39138532000004"/>
    <n v="0.75783597999999996"/>
    <n v="8197.2224265599998"/>
    <n v="627.29572996000002"/>
    <n v="37.012397999999997"/>
    <n v="0"/>
    <n v="0"/>
    <n v="0"/>
    <n v="0"/>
    <n v="75.982559670000001"/>
    <n v="45.173221740000002"/>
    <n v="0"/>
  </r>
  <r>
    <n v="2023"/>
    <s v="07"/>
    <s v="07/01/2023"/>
    <x v="18"/>
    <x v="1"/>
    <n v="60.595505000000003"/>
    <n v="60.595505000000003"/>
    <n v="0"/>
    <n v="331.25459599999999"/>
    <n v="79.777551000000003"/>
    <n v="37.012397999999997"/>
    <n v="0"/>
    <n v="0"/>
    <n v="0"/>
    <n v="0"/>
    <n v="0"/>
    <n v="0"/>
    <n v="0"/>
  </r>
  <r>
    <n v="2023"/>
    <s v="07"/>
    <s v="07/01/2023"/>
    <x v="18"/>
    <x v="2"/>
    <n v="272.67853758999996"/>
    <n v="272.51287531999998"/>
    <n v="9.4723940000000006E-2"/>
    <n v="2923.8010498899998"/>
    <n v="207.81907928999999"/>
    <n v="0"/>
    <n v="0"/>
    <n v="0"/>
    <n v="0"/>
    <n v="0"/>
    <n v="0"/>
    <n v="0"/>
    <n v="0"/>
  </r>
  <r>
    <n v="2023"/>
    <s v="07"/>
    <s v="07/01/2023"/>
    <x v="18"/>
    <x v="3"/>
    <n v="395.82596899999999"/>
    <n v="395.82596899999999"/>
    <n v="0"/>
    <n v="1340.577423"/>
    <n v="89.133178999999998"/>
    <n v="0"/>
    <n v="0"/>
    <n v="0"/>
    <n v="0"/>
    <n v="0"/>
    <n v="0"/>
    <n v="0"/>
    <n v="0"/>
  </r>
  <r>
    <n v="2023"/>
    <s v="07"/>
    <s v="07/01/2023"/>
    <x v="18"/>
    <x v="4"/>
    <n v="78.690799999999996"/>
    <n v="78.690630999999996"/>
    <n v="1.6899999999999999E-4"/>
    <n v="732.25103100000001"/>
    <n v="13.72406"/>
    <n v="0"/>
    <n v="0"/>
    <n v="0"/>
    <n v="0"/>
    <n v="0"/>
    <n v="44.577601000000001"/>
    <n v="18.615715000000002"/>
    <n v="0"/>
  </r>
  <r>
    <n v="2023"/>
    <s v="07"/>
    <s v="07/01/2023"/>
    <x v="18"/>
    <x v="5"/>
    <n v="6.7605631299999995"/>
    <n v="6.7605631299999995"/>
    <n v="0"/>
    <n v="33.209587640000002"/>
    <n v="2.7269842299999998"/>
    <n v="0"/>
    <n v="0"/>
    <n v="0"/>
    <n v="0"/>
    <n v="0"/>
    <n v="0"/>
    <n v="0.45130317999999997"/>
    <n v="0"/>
  </r>
  <r>
    <n v="2023"/>
    <s v="07"/>
    <s v="07/01/2023"/>
    <x v="18"/>
    <x v="6"/>
    <n v="0"/>
    <n v="0"/>
    <n v="0"/>
    <n v="9.1822040000000005"/>
    <n v="0"/>
    <n v="0"/>
    <n v="0"/>
    <n v="0"/>
    <n v="0"/>
    <n v="0"/>
    <n v="0"/>
    <n v="0"/>
    <n v="0"/>
  </r>
  <r>
    <n v="2023"/>
    <s v="07"/>
    <s v="07/01/2023"/>
    <x v="18"/>
    <x v="7"/>
    <n v="0"/>
    <n v="0"/>
    <n v="0"/>
    <n v="1.8856809999999999"/>
    <n v="0"/>
    <n v="0"/>
    <n v="0"/>
    <n v="0"/>
    <n v="0"/>
    <n v="0"/>
    <n v="0"/>
    <n v="0"/>
    <n v="0"/>
  </r>
  <r>
    <n v="2023"/>
    <s v="07"/>
    <s v="07/01/2023"/>
    <x v="18"/>
    <x v="8"/>
    <n v="2.5329190000000001"/>
    <n v="2.5329190000000001"/>
    <n v="0"/>
    <n v="137.93648300000001"/>
    <n v="16.181477000000001"/>
    <n v="0"/>
    <n v="0"/>
    <n v="0"/>
    <n v="0"/>
    <n v="0"/>
    <n v="20.636251999999999"/>
    <n v="25.642571"/>
    <n v="0"/>
  </r>
  <r>
    <n v="2023"/>
    <s v="07"/>
    <s v="07/01/2023"/>
    <x v="18"/>
    <x v="9"/>
    <n v="28.027537149999997"/>
    <n v="28.027537149999997"/>
    <n v="0"/>
    <n v="43.302821209999998"/>
    <n v="3.16521696"/>
    <n v="0"/>
    <n v="0"/>
    <n v="0"/>
    <n v="0"/>
    <n v="0"/>
    <n v="0"/>
    <n v="0"/>
    <n v="0"/>
  </r>
  <r>
    <n v="2023"/>
    <s v="07"/>
    <s v="07/01/2023"/>
    <x v="18"/>
    <x v="10"/>
    <n v="0"/>
    <n v="0"/>
    <n v="0"/>
    <n v="63.723063000000003"/>
    <n v="0"/>
    <n v="0"/>
    <n v="0"/>
    <n v="0"/>
    <n v="0"/>
    <n v="0"/>
    <n v="0"/>
    <n v="0"/>
    <n v="0"/>
  </r>
  <r>
    <n v="2023"/>
    <s v="07"/>
    <s v="07/01/2023"/>
    <x v="18"/>
    <x v="44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11"/>
    <n v="1.5374000000000001E-2"/>
    <n v="1.5374000000000001E-2"/>
    <n v="0"/>
    <n v="88.288724000000002"/>
    <n v="2.3882E-2"/>
    <n v="0"/>
    <n v="0"/>
    <n v="0"/>
    <n v="0"/>
    <n v="0"/>
    <n v="0"/>
    <n v="0"/>
    <n v="0"/>
  </r>
  <r>
    <n v="2023"/>
    <s v="07"/>
    <s v="07/01/2023"/>
    <x v="18"/>
    <x v="12"/>
    <n v="68.397693450000006"/>
    <n v="68.397693450000006"/>
    <n v="0"/>
    <n v="1195.2543662200001"/>
    <n v="212.8869775"/>
    <n v="0"/>
    <n v="0"/>
    <n v="0"/>
    <n v="0"/>
    <n v="0"/>
    <n v="0"/>
    <n v="0"/>
    <n v="0"/>
  </r>
  <r>
    <n v="2023"/>
    <s v="07"/>
    <s v="07/01/2023"/>
    <x v="18"/>
    <x v="13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14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15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16"/>
    <n v="0.88549734000000002"/>
    <n v="0.87654667000000008"/>
    <n v="1.9718499999999998E-3"/>
    <n v="0"/>
    <n v="0"/>
    <n v="0"/>
    <n v="0"/>
    <n v="0"/>
    <n v="0"/>
    <n v="0"/>
    <n v="0"/>
    <n v="0"/>
    <n v="0"/>
  </r>
  <r>
    <n v="2023"/>
    <s v="07"/>
    <s v="07/01/2023"/>
    <x v="18"/>
    <x v="17"/>
    <n v="25.015029999999999"/>
    <n v="25.015029999999999"/>
    <n v="0"/>
    <n v="0"/>
    <n v="0"/>
    <n v="0"/>
    <n v="0"/>
    <n v="0"/>
    <n v="0"/>
    <n v="0"/>
    <n v="0"/>
    <n v="0"/>
    <n v="0"/>
  </r>
  <r>
    <n v="2023"/>
    <s v="07"/>
    <s v="07/01/2023"/>
    <x v="18"/>
    <x v="18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19"/>
    <n v="0"/>
    <n v="0"/>
    <n v="0"/>
    <n v="1022.12082361"/>
    <n v="0"/>
    <n v="0"/>
    <n v="0"/>
    <n v="0"/>
    <n v="0"/>
    <n v="0"/>
    <n v="0"/>
    <n v="0"/>
    <n v="0"/>
  </r>
  <r>
    <n v="2023"/>
    <s v="07"/>
    <s v="07/01/2023"/>
    <x v="18"/>
    <x v="20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21"/>
    <n v="0"/>
    <n v="0"/>
    <n v="0"/>
    <n v="218.73058599999999"/>
    <n v="0"/>
    <n v="0"/>
    <n v="0"/>
    <n v="0"/>
    <n v="0"/>
    <n v="0"/>
    <n v="5.0476939999999999"/>
    <n v="0"/>
    <n v="0"/>
  </r>
  <r>
    <n v="2023"/>
    <s v="07"/>
    <s v="07/01/2023"/>
    <x v="18"/>
    <x v="22"/>
    <n v="2.0912679999999999"/>
    <n v="2.0912679999999999"/>
    <n v="0"/>
    <n v="0.41208"/>
    <n v="0"/>
    <n v="0"/>
    <n v="0"/>
    <n v="0"/>
    <n v="0"/>
    <n v="0"/>
    <n v="0"/>
    <n v="0"/>
    <n v="0"/>
  </r>
  <r>
    <n v="2023"/>
    <s v="07"/>
    <s v="07/01/2023"/>
    <x v="18"/>
    <x v="23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24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25"/>
    <n v="0"/>
    <n v="0"/>
    <n v="0"/>
    <n v="8.4191321199999987"/>
    <n v="1.8336612299999999"/>
    <n v="0"/>
    <n v="0"/>
    <n v="0"/>
    <n v="0"/>
    <n v="0"/>
    <n v="0"/>
    <n v="0"/>
    <n v="0"/>
  </r>
  <r>
    <n v="2023"/>
    <s v="07"/>
    <s v="07/01/2023"/>
    <x v="18"/>
    <x v="26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27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28"/>
    <n v="0"/>
    <n v="0"/>
    <n v="0"/>
    <n v="32.978158999999998"/>
    <n v="0"/>
    <n v="0"/>
    <n v="0"/>
    <n v="0"/>
    <n v="0"/>
    <n v="0"/>
    <n v="0"/>
    <n v="0"/>
    <n v="0"/>
  </r>
  <r>
    <n v="2023"/>
    <s v="07"/>
    <s v="07/01/2023"/>
    <x v="18"/>
    <x v="29"/>
    <n v="0"/>
    <n v="0"/>
    <n v="0"/>
    <n v="5.3679999999999999E-2"/>
    <n v="0"/>
    <n v="0"/>
    <n v="0"/>
    <n v="0"/>
    <n v="0"/>
    <n v="0"/>
    <n v="0"/>
    <n v="0"/>
    <n v="0"/>
  </r>
  <r>
    <n v="2023"/>
    <s v="07"/>
    <s v="07/01/2023"/>
    <x v="18"/>
    <x v="30"/>
    <n v="21.71044479"/>
    <n v="21.049473600000002"/>
    <n v="0.66097118999999993"/>
    <n v="5.2457588700000004"/>
    <n v="2.3661749999999999E-2"/>
    <n v="0"/>
    <n v="0"/>
    <n v="0"/>
    <n v="0"/>
    <n v="0"/>
    <n v="5.6918456700000002"/>
    <n v="0.46363255999999997"/>
    <n v="0"/>
  </r>
  <r>
    <n v="2023"/>
    <s v="07"/>
    <s v="07/01/2023"/>
    <x v="18"/>
    <x v="31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32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33"/>
    <n v="0"/>
    <n v="0"/>
    <n v="0"/>
    <n v="8.5951769999999996"/>
    <n v="0"/>
    <n v="0"/>
    <n v="0"/>
    <n v="0"/>
    <n v="0"/>
    <n v="0"/>
    <n v="2.9166999999999998E-2"/>
    <n v="0"/>
    <n v="0"/>
  </r>
  <r>
    <n v="2023"/>
    <s v="07"/>
    <s v="07/01/2023"/>
    <x v="18"/>
    <x v="34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35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36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37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38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39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40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41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42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45"/>
    <n v="0"/>
    <n v="0"/>
    <n v="0"/>
    <n v="0"/>
    <n v="0"/>
    <n v="0"/>
    <n v="0"/>
    <n v="0"/>
    <n v="0"/>
    <n v="0"/>
    <n v="0"/>
    <n v="0"/>
    <n v="0"/>
  </r>
  <r>
    <n v="2023"/>
    <s v="07"/>
    <s v="07/01/2023"/>
    <x v="18"/>
    <x v="43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0"/>
    <n v="1509.6280390899999"/>
    <n v="1500.2431639500001"/>
    <n v="9.3389980299999991"/>
    <n v="8780.5639648700017"/>
    <n v="533.69401772000003"/>
    <n v="119.18114199999999"/>
    <n v="2.5453645599999999"/>
    <n v="2.5453645599999999"/>
    <n v="0"/>
    <n v="0"/>
    <n v="114.78431821"/>
    <n v="52.562159399999999"/>
    <n v="0"/>
  </r>
  <r>
    <n v="2023"/>
    <s v="08"/>
    <s v="08/01/2023"/>
    <x v="19"/>
    <x v="1"/>
    <n v="32.363534999999999"/>
    <n v="32.363534999999999"/>
    <n v="0"/>
    <n v="460.79092300000002"/>
    <n v="47.812829000000001"/>
    <n v="119.18114199999999"/>
    <n v="0"/>
    <n v="0"/>
    <n v="0"/>
    <n v="0"/>
    <n v="0"/>
    <n v="0"/>
    <n v="0"/>
  </r>
  <r>
    <n v="2023"/>
    <s v="08"/>
    <s v="08/01/2023"/>
    <x v="19"/>
    <x v="2"/>
    <n v="142.30819009000001"/>
    <n v="142.30043222"/>
    <n v="7.7575299999999995E-3"/>
    <n v="2935.0997006699999"/>
    <n v="150.5006684"/>
    <n v="0"/>
    <n v="0"/>
    <n v="0"/>
    <n v="0"/>
    <n v="0"/>
    <n v="0"/>
    <n v="0"/>
    <n v="0"/>
  </r>
  <r>
    <n v="2023"/>
    <s v="08"/>
    <s v="08/01/2023"/>
    <x v="19"/>
    <x v="3"/>
    <n v="518.31306900000004"/>
    <n v="518.31306900000004"/>
    <n v="0"/>
    <n v="1648.0635629999999"/>
    <n v="103.583512"/>
    <n v="0"/>
    <n v="0"/>
    <n v="0"/>
    <n v="0"/>
    <n v="0"/>
    <n v="0"/>
    <n v="0"/>
    <n v="0"/>
  </r>
  <r>
    <n v="2023"/>
    <s v="08"/>
    <s v="08/01/2023"/>
    <x v="19"/>
    <x v="4"/>
    <n v="56.780574000000001"/>
    <n v="56.780574000000001"/>
    <n v="0"/>
    <n v="783.60030600000005"/>
    <n v="18.470625999999999"/>
    <n v="0"/>
    <n v="0"/>
    <n v="0"/>
    <n v="0"/>
    <n v="0"/>
    <n v="46.582675999999999"/>
    <n v="16.894138000000002"/>
    <n v="0"/>
  </r>
  <r>
    <n v="2023"/>
    <s v="08"/>
    <s v="08/01/2023"/>
    <x v="19"/>
    <x v="5"/>
    <n v="432.31630968000002"/>
    <n v="432.31630968000002"/>
    <n v="0"/>
    <n v="36.246622080000002"/>
    <n v="15.259727529999999"/>
    <n v="0"/>
    <n v="0"/>
    <n v="0"/>
    <n v="0"/>
    <n v="0"/>
    <n v="0"/>
    <n v="0.54019107"/>
    <n v="0"/>
  </r>
  <r>
    <n v="2023"/>
    <s v="08"/>
    <s v="08/01/2023"/>
    <x v="19"/>
    <x v="6"/>
    <n v="1.37E-4"/>
    <n v="1.37E-4"/>
    <n v="0"/>
    <n v="7.3190270000000002"/>
    <n v="6.5100000000000002E-3"/>
    <n v="0"/>
    <n v="0"/>
    <n v="0"/>
    <n v="0"/>
    <n v="0"/>
    <n v="0"/>
    <n v="0"/>
    <n v="0"/>
  </r>
  <r>
    <n v="2023"/>
    <s v="08"/>
    <s v="08/01/2023"/>
    <x v="19"/>
    <x v="7"/>
    <n v="0"/>
    <n v="0"/>
    <n v="0"/>
    <n v="1.62835"/>
    <n v="0.62166999999999994"/>
    <n v="0"/>
    <n v="0"/>
    <n v="0"/>
    <n v="0"/>
    <n v="0"/>
    <n v="0"/>
    <n v="0"/>
    <n v="0"/>
  </r>
  <r>
    <n v="2023"/>
    <s v="08"/>
    <s v="08/01/2023"/>
    <x v="19"/>
    <x v="8"/>
    <n v="3.5451800000000002"/>
    <n v="3.5451800000000002"/>
    <n v="0"/>
    <n v="179.65678199999999"/>
    <n v="29.99905"/>
    <n v="0"/>
    <n v="2.5107940000000002"/>
    <n v="2.5107940000000002"/>
    <n v="0"/>
    <n v="0"/>
    <n v="17.916820999999999"/>
    <n v="29.452134999999998"/>
    <n v="0"/>
  </r>
  <r>
    <n v="2023"/>
    <s v="08"/>
    <s v="08/01/2023"/>
    <x v="19"/>
    <x v="9"/>
    <n v="21.309319940000002"/>
    <n v="21.309319940000002"/>
    <n v="0"/>
    <n v="53.161161030000002"/>
    <n v="2.91117136"/>
    <n v="0"/>
    <n v="0"/>
    <n v="0"/>
    <n v="0"/>
    <n v="0"/>
    <n v="0"/>
    <n v="0"/>
    <n v="0"/>
  </r>
  <r>
    <n v="2023"/>
    <s v="08"/>
    <s v="08/01/2023"/>
    <x v="19"/>
    <x v="10"/>
    <n v="0"/>
    <n v="0"/>
    <n v="0"/>
    <n v="75.264048000000003"/>
    <n v="0"/>
    <n v="0"/>
    <n v="0"/>
    <n v="0"/>
    <n v="0"/>
    <n v="0"/>
    <n v="0"/>
    <n v="0"/>
    <n v="0"/>
  </r>
  <r>
    <n v="2023"/>
    <s v="08"/>
    <s v="08/01/2023"/>
    <x v="19"/>
    <x v="44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11"/>
    <n v="0.47906300000000002"/>
    <n v="0.47906300000000002"/>
    <n v="0"/>
    <n v="72.344652999999994"/>
    <n v="1.4945E-2"/>
    <n v="0"/>
    <n v="0"/>
    <n v="0"/>
    <n v="0"/>
    <n v="0"/>
    <n v="0"/>
    <n v="0"/>
    <n v="0"/>
  </r>
  <r>
    <n v="2023"/>
    <s v="08"/>
    <s v="08/01/2023"/>
    <x v="19"/>
    <x v="12"/>
    <n v="70.429715029999997"/>
    <n v="70.429715029999997"/>
    <n v="0"/>
    <n v="1342.5666030299999"/>
    <n v="164.24415043000002"/>
    <n v="0"/>
    <n v="0"/>
    <n v="0"/>
    <n v="0"/>
    <n v="0"/>
    <n v="0"/>
    <n v="0"/>
    <n v="0"/>
  </r>
  <r>
    <n v="2023"/>
    <s v="08"/>
    <s v="08/01/2023"/>
    <x v="19"/>
    <x v="13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14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15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16"/>
    <n v="2.1175100599999999"/>
    <n v="2.0716332899999998"/>
    <n v="0"/>
    <n v="0"/>
    <n v="0"/>
    <n v="0"/>
    <n v="0"/>
    <n v="0"/>
    <n v="0"/>
    <n v="0"/>
    <n v="0"/>
    <n v="0"/>
    <n v="0"/>
  </r>
  <r>
    <n v="2023"/>
    <s v="08"/>
    <s v="08/01/2023"/>
    <x v="19"/>
    <x v="17"/>
    <n v="24.991147000000002"/>
    <n v="24.991147000000002"/>
    <n v="0"/>
    <n v="0"/>
    <n v="0"/>
    <n v="0"/>
    <n v="0"/>
    <n v="0"/>
    <n v="0"/>
    <n v="0"/>
    <n v="0"/>
    <n v="0"/>
    <n v="0"/>
  </r>
  <r>
    <n v="2023"/>
    <s v="08"/>
    <s v="08/01/2023"/>
    <x v="19"/>
    <x v="18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19"/>
    <n v="0"/>
    <n v="0"/>
    <n v="0"/>
    <n v="882.37173045000009"/>
    <n v="0"/>
    <n v="0"/>
    <n v="0"/>
    <n v="0"/>
    <n v="0"/>
    <n v="0"/>
    <n v="0"/>
    <n v="0"/>
    <n v="0"/>
  </r>
  <r>
    <n v="2023"/>
    <s v="08"/>
    <s v="08/01/2023"/>
    <x v="19"/>
    <x v="20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21"/>
    <n v="0"/>
    <n v="0"/>
    <n v="0"/>
    <n v="231.47570999999999"/>
    <n v="0"/>
    <n v="0"/>
    <n v="0"/>
    <n v="0"/>
    <n v="0"/>
    <n v="0"/>
    <n v="6.1959590000000002"/>
    <n v="0"/>
    <n v="0"/>
  </r>
  <r>
    <n v="2023"/>
    <s v="08"/>
    <s v="08/01/2023"/>
    <x v="19"/>
    <x v="22"/>
    <n v="8.2164889999999993"/>
    <n v="0"/>
    <n v="8.2164889999999993"/>
    <n v="0.41004200000000002"/>
    <n v="0"/>
    <n v="0"/>
    <n v="0"/>
    <n v="0"/>
    <n v="0"/>
    <n v="0"/>
    <n v="0"/>
    <n v="0"/>
    <n v="0"/>
  </r>
  <r>
    <n v="2023"/>
    <s v="08"/>
    <s v="08/01/2023"/>
    <x v="19"/>
    <x v="23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24"/>
    <n v="193.740936"/>
    <n v="193.740936"/>
    <n v="0"/>
    <n v="0"/>
    <n v="0"/>
    <n v="0"/>
    <n v="0"/>
    <n v="0"/>
    <n v="0"/>
    <n v="0"/>
    <n v="0"/>
    <n v="0"/>
    <n v="0"/>
  </r>
  <r>
    <n v="2023"/>
    <s v="08"/>
    <s v="08/01/2023"/>
    <x v="19"/>
    <x v="25"/>
    <n v="0"/>
    <n v="0"/>
    <n v="0"/>
    <n v="6.1739248499999997"/>
    <n v="0.1039977"/>
    <n v="0"/>
    <n v="0"/>
    <n v="0"/>
    <n v="0"/>
    <n v="0"/>
    <n v="0"/>
    <n v="0"/>
    <n v="0"/>
  </r>
  <r>
    <n v="2023"/>
    <s v="08"/>
    <s v="08/01/2023"/>
    <x v="19"/>
    <x v="26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27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28"/>
    <n v="0"/>
    <n v="0"/>
    <n v="0"/>
    <n v="47.240107000000002"/>
    <n v="0"/>
    <n v="0"/>
    <n v="0"/>
    <n v="0"/>
    <n v="0"/>
    <n v="0"/>
    <n v="0"/>
    <n v="0"/>
    <n v="0"/>
  </r>
  <r>
    <n v="2023"/>
    <s v="08"/>
    <s v="08/01/2023"/>
    <x v="19"/>
    <x v="29"/>
    <n v="0"/>
    <n v="0"/>
    <n v="0"/>
    <n v="4.5791909999999998"/>
    <n v="0"/>
    <n v="0"/>
    <n v="0"/>
    <n v="0"/>
    <n v="0"/>
    <n v="0"/>
    <n v="0"/>
    <n v="0"/>
    <n v="0"/>
  </r>
  <r>
    <n v="2023"/>
    <s v="08"/>
    <s v="08/01/2023"/>
    <x v="19"/>
    <x v="30"/>
    <n v="2.7168642900000002"/>
    <n v="1.6021127900000001"/>
    <n v="1.1147514999999999"/>
    <n v="4.2339587600000002"/>
    <n v="0.16516029999999998"/>
    <n v="0"/>
    <n v="0"/>
    <n v="0"/>
    <n v="0"/>
    <n v="0"/>
    <n v="44.049265210000002"/>
    <n v="5.6756953299999999"/>
    <n v="0"/>
  </r>
  <r>
    <n v="2023"/>
    <s v="08"/>
    <s v="08/01/2023"/>
    <x v="19"/>
    <x v="31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32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33"/>
    <n v="0"/>
    <n v="0"/>
    <n v="0"/>
    <n v="8.3375620000000001"/>
    <n v="0"/>
    <n v="0"/>
    <n v="0"/>
    <n v="0"/>
    <n v="0"/>
    <n v="0"/>
    <n v="3.9597E-2"/>
    <n v="0"/>
    <n v="0"/>
  </r>
  <r>
    <n v="2023"/>
    <s v="08"/>
    <s v="08/01/2023"/>
    <x v="19"/>
    <x v="34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35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36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37"/>
    <n v="0"/>
    <n v="0"/>
    <n v="0"/>
    <n v="0"/>
    <n v="0"/>
    <n v="0"/>
    <n v="3.457056E-2"/>
    <n v="3.457056E-2"/>
    <n v="0"/>
    <n v="0"/>
    <n v="0"/>
    <n v="0"/>
    <n v="0"/>
  </r>
  <r>
    <n v="2023"/>
    <s v="08"/>
    <s v="08/01/2023"/>
    <x v="19"/>
    <x v="38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39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40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41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42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45"/>
    <n v="0"/>
    <n v="0"/>
    <n v="0"/>
    <n v="0"/>
    <n v="0"/>
    <n v="0"/>
    <n v="0"/>
    <n v="0"/>
    <n v="0"/>
    <n v="0"/>
    <n v="0"/>
    <n v="0"/>
    <n v="0"/>
  </r>
  <r>
    <n v="2023"/>
    <s v="08"/>
    <s v="08/01/2023"/>
    <x v="19"/>
    <x v="43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0"/>
    <n v="934.73251042000004"/>
    <n v="933.51223004999997"/>
    <n v="1.2202799900000001"/>
    <n v="8353.7522017400006"/>
    <n v="581.73445323999999"/>
    <n v="32.561041359999997"/>
    <n v="16.38075108"/>
    <n v="0.37855359000000005"/>
    <n v="16.00219749"/>
    <n v="0"/>
    <n v="78.482850209999995"/>
    <n v="41.532560909999994"/>
    <n v="0"/>
  </r>
  <r>
    <n v="2023"/>
    <s v="09"/>
    <s v="09/01/2023"/>
    <x v="20"/>
    <x v="1"/>
    <n v="45.442383290000002"/>
    <n v="45.442383290000002"/>
    <n v="0"/>
    <n v="268.17509881000001"/>
    <n v="52.449999119999994"/>
    <n v="32.561041359999997"/>
    <n v="16.00219749"/>
    <n v="0"/>
    <n v="16.00219749"/>
    <n v="0"/>
    <n v="0"/>
    <n v="0"/>
    <n v="0"/>
  </r>
  <r>
    <n v="2023"/>
    <s v="09"/>
    <s v="09/01/2023"/>
    <x v="20"/>
    <x v="2"/>
    <n v="133.29621112999999"/>
    <n v="133.29621065000001"/>
    <n v="1.0000000000000001E-7"/>
    <n v="3136.5442998099998"/>
    <n v="23.084158819999999"/>
    <n v="0"/>
    <n v="0"/>
    <n v="0"/>
    <n v="0"/>
    <n v="0"/>
    <n v="0"/>
    <n v="0"/>
    <n v="0"/>
  </r>
  <r>
    <n v="2023"/>
    <s v="09"/>
    <s v="09/01/2023"/>
    <x v="20"/>
    <x v="3"/>
    <n v="197.73012600000001"/>
    <n v="197.73012600000001"/>
    <n v="0"/>
    <n v="1184.7776120000001"/>
    <n v="79.574397000000005"/>
    <n v="0"/>
    <n v="0"/>
    <n v="0"/>
    <n v="0"/>
    <n v="0"/>
    <n v="0"/>
    <n v="0"/>
    <n v="0"/>
  </r>
  <r>
    <n v="2023"/>
    <s v="09"/>
    <s v="09/01/2023"/>
    <x v="20"/>
    <x v="4"/>
    <n v="99.412239999999997"/>
    <n v="99.412137000000001"/>
    <n v="1.03E-4"/>
    <n v="779.41916200000003"/>
    <n v="38.745401999999999"/>
    <n v="0"/>
    <n v="0"/>
    <n v="0"/>
    <n v="0"/>
    <n v="0"/>
    <n v="49.365851999999997"/>
    <n v="18.115738"/>
    <n v="0"/>
  </r>
  <r>
    <n v="2023"/>
    <s v="09"/>
    <s v="09/01/2023"/>
    <x v="20"/>
    <x v="5"/>
    <n v="48.403539309999999"/>
    <n v="48.403539309999999"/>
    <n v="0"/>
    <n v="35.089934169999999"/>
    <n v="0.19456873999999999"/>
    <n v="0"/>
    <n v="0"/>
    <n v="0"/>
    <n v="0"/>
    <n v="0"/>
    <n v="0"/>
    <n v="0.34206198999999998"/>
    <n v="0"/>
  </r>
  <r>
    <n v="2023"/>
    <s v="09"/>
    <s v="09/01/2023"/>
    <x v="20"/>
    <x v="6"/>
    <n v="52.944054000000001"/>
    <n v="52.944054000000001"/>
    <n v="0"/>
    <n v="8.7215640000000008"/>
    <n v="155.98183499999999"/>
    <n v="0"/>
    <n v="0"/>
    <n v="0"/>
    <n v="0"/>
    <n v="0"/>
    <n v="0"/>
    <n v="0"/>
    <n v="0"/>
  </r>
  <r>
    <n v="2023"/>
    <s v="09"/>
    <s v="09/01/2023"/>
    <x v="20"/>
    <x v="7"/>
    <n v="23.702878999999999"/>
    <n v="23.702878999999999"/>
    <n v="0"/>
    <n v="2.2165870000000001"/>
    <n v="0"/>
    <n v="0"/>
    <n v="0"/>
    <n v="0"/>
    <n v="0"/>
    <n v="0"/>
    <n v="0"/>
    <n v="0"/>
    <n v="0"/>
  </r>
  <r>
    <n v="2023"/>
    <s v="09"/>
    <s v="09/01/2023"/>
    <x v="20"/>
    <x v="8"/>
    <n v="3.361872"/>
    <n v="3.361872"/>
    <n v="0"/>
    <n v="170.69227900000001"/>
    <n v="7.9681959999999998"/>
    <n v="0"/>
    <n v="0.10141"/>
    <n v="0.10141"/>
    <n v="0"/>
    <n v="0"/>
    <n v="16.179231000000001"/>
    <n v="22.388627"/>
    <n v="0"/>
  </r>
  <r>
    <n v="2023"/>
    <s v="09"/>
    <s v="09/01/2023"/>
    <x v="20"/>
    <x v="9"/>
    <n v="25.221989780000001"/>
    <n v="25.221989780000001"/>
    <n v="0"/>
    <n v="72.139439780000004"/>
    <n v="0.72476733999999998"/>
    <n v="0"/>
    <n v="0"/>
    <n v="0"/>
    <n v="0"/>
    <n v="0"/>
    <n v="0"/>
    <n v="0"/>
    <n v="0"/>
  </r>
  <r>
    <n v="2023"/>
    <s v="09"/>
    <s v="09/01/2023"/>
    <x v="20"/>
    <x v="10"/>
    <n v="0"/>
    <n v="0"/>
    <n v="0"/>
    <n v="68.311238000000003"/>
    <n v="0"/>
    <n v="0"/>
    <n v="0"/>
    <n v="0"/>
    <n v="0"/>
    <n v="0"/>
    <n v="0"/>
    <n v="0"/>
    <n v="0"/>
  </r>
  <r>
    <n v="2023"/>
    <s v="09"/>
    <s v="09/01/2023"/>
    <x v="20"/>
    <x v="44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11"/>
    <n v="135.10688300000001"/>
    <n v="135.10688300000001"/>
    <n v="0"/>
    <n v="135.68107599999999"/>
    <n v="18.620519999999999"/>
    <n v="0"/>
    <n v="0"/>
    <n v="0"/>
    <n v="0"/>
    <n v="0"/>
    <n v="0"/>
    <n v="0"/>
    <n v="0"/>
  </r>
  <r>
    <n v="2023"/>
    <s v="09"/>
    <s v="09/01/2023"/>
    <x v="20"/>
    <x v="12"/>
    <n v="73.976180859999999"/>
    <n v="73.976180859999999"/>
    <n v="0"/>
    <n v="1254.2826285000001"/>
    <n v="203.38931334999998"/>
    <n v="0"/>
    <n v="0"/>
    <n v="0"/>
    <n v="0"/>
    <n v="0"/>
    <n v="0"/>
    <n v="0"/>
    <n v="0"/>
  </r>
  <r>
    <n v="2023"/>
    <s v="09"/>
    <s v="09/01/2023"/>
    <x v="20"/>
    <x v="13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14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15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16"/>
    <n v="0.10986114999999999"/>
    <n v="0.10547419"/>
    <n v="4.3869599999999996E-3"/>
    <n v="0"/>
    <n v="0"/>
    <n v="0"/>
    <n v="0"/>
    <n v="0"/>
    <n v="0"/>
    <n v="0"/>
    <n v="0"/>
    <n v="0"/>
    <n v="0"/>
  </r>
  <r>
    <n v="2023"/>
    <s v="09"/>
    <s v="09/01/2023"/>
    <x v="20"/>
    <x v="17"/>
    <n v="25.123107000000001"/>
    <n v="25.123107000000001"/>
    <n v="0"/>
    <n v="0"/>
    <n v="0"/>
    <n v="0"/>
    <n v="0"/>
    <n v="0"/>
    <n v="0"/>
    <n v="0"/>
    <n v="0"/>
    <n v="0"/>
    <n v="0"/>
  </r>
  <r>
    <n v="2023"/>
    <s v="09"/>
    <s v="09/01/2023"/>
    <x v="20"/>
    <x v="19"/>
    <n v="0"/>
    <n v="0"/>
    <n v="0"/>
    <n v="961.51425758000005"/>
    <n v="8.8303400000000008E-3"/>
    <n v="0"/>
    <n v="0"/>
    <n v="0"/>
    <n v="0"/>
    <n v="0"/>
    <n v="0"/>
    <n v="0"/>
    <n v="0"/>
  </r>
  <r>
    <n v="2023"/>
    <s v="09"/>
    <s v="09/01/2023"/>
    <x v="20"/>
    <x v="20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21"/>
    <n v="0"/>
    <n v="0"/>
    <n v="0"/>
    <n v="227.830974"/>
    <n v="0"/>
    <n v="0"/>
    <n v="0"/>
    <n v="0"/>
    <n v="0"/>
    <n v="0"/>
    <n v="5.5749849999999999"/>
    <n v="0"/>
    <n v="0"/>
  </r>
  <r>
    <n v="2023"/>
    <s v="09"/>
    <s v="09/01/2023"/>
    <x v="20"/>
    <x v="22"/>
    <n v="1.5514950000000001"/>
    <n v="1.5514950000000001"/>
    <n v="0"/>
    <n v="2.1545339999999999"/>
    <n v="0"/>
    <n v="0"/>
    <n v="0"/>
    <n v="0"/>
    <n v="0"/>
    <n v="0"/>
    <n v="0"/>
    <n v="0"/>
    <n v="0"/>
  </r>
  <r>
    <n v="2023"/>
    <s v="09"/>
    <s v="09/01/2023"/>
    <x v="20"/>
    <x v="23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24"/>
    <n v="63.988939000000002"/>
    <n v="63.988939000000002"/>
    <n v="0"/>
    <n v="0"/>
    <n v="0"/>
    <n v="0"/>
    <n v="0"/>
    <n v="0"/>
    <n v="0"/>
    <n v="0"/>
    <n v="0"/>
    <n v="0"/>
    <n v="0"/>
  </r>
  <r>
    <n v="2023"/>
    <s v="09"/>
    <s v="09/01/2023"/>
    <x v="20"/>
    <x v="25"/>
    <n v="0"/>
    <n v="0"/>
    <n v="0"/>
    <n v="3.2017547299999998"/>
    <n v="0.97480135999999995"/>
    <n v="0"/>
    <n v="0"/>
    <n v="0"/>
    <n v="0"/>
    <n v="0"/>
    <n v="0"/>
    <n v="0"/>
    <n v="0"/>
  </r>
  <r>
    <n v="2023"/>
    <s v="09"/>
    <s v="09/01/2023"/>
    <x v="20"/>
    <x v="26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27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28"/>
    <n v="0"/>
    <n v="0"/>
    <n v="0"/>
    <n v="32.209429"/>
    <n v="0"/>
    <n v="0"/>
    <n v="0"/>
    <n v="0"/>
    <n v="0"/>
    <n v="0"/>
    <n v="0"/>
    <n v="0"/>
    <n v="0"/>
  </r>
  <r>
    <n v="2023"/>
    <s v="09"/>
    <s v="09/01/2023"/>
    <x v="20"/>
    <x v="29"/>
    <n v="0"/>
    <n v="0"/>
    <n v="0"/>
    <n v="0.101327"/>
    <n v="0"/>
    <n v="0"/>
    <n v="0"/>
    <n v="0"/>
    <n v="0"/>
    <n v="0"/>
    <n v="0"/>
    <n v="0"/>
    <n v="0"/>
  </r>
  <r>
    <n v="2023"/>
    <s v="09"/>
    <s v="09/01/2023"/>
    <x v="20"/>
    <x v="30"/>
    <n v="5.3607499000000001"/>
    <n v="4.1449599700000004"/>
    <n v="1.2157899299999999"/>
    <n v="2.93359236"/>
    <n v="1.766417E-2"/>
    <n v="0"/>
    <n v="0"/>
    <n v="0"/>
    <n v="0"/>
    <n v="0"/>
    <n v="7.3441382099999997"/>
    <n v="0.68613392000000006"/>
    <n v="0"/>
  </r>
  <r>
    <n v="2023"/>
    <s v="09"/>
    <s v="09/01/2023"/>
    <x v="20"/>
    <x v="31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32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33"/>
    <n v="0"/>
    <n v="0"/>
    <n v="0"/>
    <n v="7.755414"/>
    <n v="0"/>
    <n v="0"/>
    <n v="0"/>
    <n v="0"/>
    <n v="0"/>
    <n v="0"/>
    <n v="1.8644000000000001E-2"/>
    <n v="0"/>
    <n v="0"/>
  </r>
  <r>
    <n v="2023"/>
    <s v="09"/>
    <s v="09/01/2023"/>
    <x v="20"/>
    <x v="34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35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36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37"/>
    <n v="0"/>
    <n v="0"/>
    <n v="0"/>
    <n v="0"/>
    <n v="0"/>
    <n v="0"/>
    <n v="0.27714359000000005"/>
    <n v="0.27714359000000005"/>
    <n v="0"/>
    <n v="0"/>
    <n v="0"/>
    <n v="0"/>
    <n v="0"/>
  </r>
  <r>
    <n v="2023"/>
    <s v="09"/>
    <s v="09/01/2023"/>
    <x v="20"/>
    <x v="38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39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40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41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42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45"/>
    <n v="0"/>
    <n v="0"/>
    <n v="0"/>
    <n v="0"/>
    <n v="0"/>
    <n v="0"/>
    <n v="0"/>
    <n v="0"/>
    <n v="0"/>
    <n v="0"/>
    <n v="0"/>
    <n v="0"/>
    <n v="0"/>
  </r>
  <r>
    <n v="2023"/>
    <s v="09"/>
    <s v="09/01/2023"/>
    <x v="20"/>
    <x v="43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0"/>
    <n v="934.21995862000006"/>
    <n v="932.76724512999999"/>
    <n v="1.45264247"/>
    <n v="9651.6262877400004"/>
    <n v="778.61571036999999"/>
    <n v="52.048725990000001"/>
    <n v="154.14365397999998"/>
    <n v="154.14365397999998"/>
    <n v="0"/>
    <n v="0"/>
    <n v="74.999484449999997"/>
    <n v="53.761675140000001"/>
    <n v="0"/>
  </r>
  <r>
    <n v="2023"/>
    <s v="10"/>
    <s v="10/01/2023"/>
    <x v="21"/>
    <x v="1"/>
    <n v="147.39917192999999"/>
    <n v="147.39917192999999"/>
    <n v="0"/>
    <n v="376.93131664999999"/>
    <n v="68.498576310000004"/>
    <n v="52.048725990000001"/>
    <n v="0"/>
    <n v="0"/>
    <n v="0"/>
    <n v="0"/>
    <n v="0"/>
    <n v="0"/>
    <n v="0"/>
  </r>
  <r>
    <n v="2023"/>
    <s v="10"/>
    <s v="10/01/2023"/>
    <x v="21"/>
    <x v="2"/>
    <n v="145.09247768"/>
    <n v="145.09247711"/>
    <n v="5.6999999999999994E-7"/>
    <n v="3230.0016252600003"/>
    <n v="331.40441969"/>
    <n v="0"/>
    <n v="0"/>
    <n v="0"/>
    <n v="0"/>
    <n v="0"/>
    <n v="0"/>
    <n v="0"/>
    <n v="0"/>
  </r>
  <r>
    <n v="2023"/>
    <s v="10"/>
    <s v="10/01/2023"/>
    <x v="21"/>
    <x v="3"/>
    <n v="201.62265600000001"/>
    <n v="201.62265600000001"/>
    <n v="0"/>
    <n v="2184.1951680000002"/>
    <n v="53.313237000000001"/>
    <n v="0"/>
    <n v="0"/>
    <n v="0"/>
    <n v="0"/>
    <n v="0"/>
    <n v="0"/>
    <n v="0"/>
    <n v="0"/>
  </r>
  <r>
    <n v="2023"/>
    <s v="10"/>
    <s v="10/01/2023"/>
    <x v="21"/>
    <x v="4"/>
    <n v="107.011306"/>
    <n v="106.99315900000001"/>
    <n v="1.8147E-2"/>
    <n v="738.774855"/>
    <n v="29.575887000000002"/>
    <n v="0"/>
    <n v="0"/>
    <n v="0"/>
    <n v="0"/>
    <n v="0"/>
    <n v="49.342928000000001"/>
    <n v="20.105692000000001"/>
    <n v="0"/>
  </r>
  <r>
    <n v="2023"/>
    <s v="10"/>
    <s v="10/01/2023"/>
    <x v="21"/>
    <x v="5"/>
    <n v="15.199330699999999"/>
    <n v="15.199330699999999"/>
    <n v="0"/>
    <n v="39.128861239999999"/>
    <n v="0.83000096000000001"/>
    <n v="0"/>
    <n v="0"/>
    <n v="0"/>
    <n v="0"/>
    <n v="0"/>
    <n v="0"/>
    <n v="0.38928077"/>
    <n v="0"/>
  </r>
  <r>
    <n v="2023"/>
    <s v="10"/>
    <s v="10/01/2023"/>
    <x v="21"/>
    <x v="6"/>
    <n v="58.225692000000002"/>
    <n v="58.225692000000002"/>
    <n v="0"/>
    <n v="6.4317979999999997"/>
    <n v="74.699832999999998"/>
    <n v="0"/>
    <n v="0"/>
    <n v="0"/>
    <n v="0"/>
    <n v="0"/>
    <n v="0"/>
    <n v="0"/>
    <n v="0"/>
  </r>
  <r>
    <n v="2023"/>
    <s v="10"/>
    <s v="10/01/2023"/>
    <x v="21"/>
    <x v="7"/>
    <n v="0"/>
    <n v="0"/>
    <n v="0"/>
    <n v="1.346956"/>
    <n v="0"/>
    <n v="0"/>
    <n v="0"/>
    <n v="0"/>
    <n v="0"/>
    <n v="0"/>
    <n v="0"/>
    <n v="0"/>
    <n v="0"/>
  </r>
  <r>
    <n v="2023"/>
    <s v="10"/>
    <s v="10/01/2023"/>
    <x v="21"/>
    <x v="8"/>
    <n v="1.051061"/>
    <n v="1.051061"/>
    <n v="0"/>
    <n v="181.67281500000001"/>
    <n v="5.6052720000000003"/>
    <n v="0"/>
    <n v="152.80385699999999"/>
    <n v="152.80385699999999"/>
    <n v="0"/>
    <n v="0"/>
    <n v="14.507285"/>
    <n v="33.096375000000002"/>
    <n v="0"/>
  </r>
  <r>
    <n v="2023"/>
    <s v="10"/>
    <s v="10/01/2023"/>
    <x v="21"/>
    <x v="9"/>
    <n v="19.121259970000001"/>
    <n v="19.121259970000001"/>
    <n v="0"/>
    <n v="59.744477289999999"/>
    <n v="10.921543779999999"/>
    <n v="0"/>
    <n v="0"/>
    <n v="0"/>
    <n v="0"/>
    <n v="0"/>
    <n v="0"/>
    <n v="0"/>
    <n v="0"/>
  </r>
  <r>
    <n v="2023"/>
    <s v="10"/>
    <s v="10/01/2023"/>
    <x v="21"/>
    <x v="10"/>
    <n v="0"/>
    <n v="0"/>
    <n v="0"/>
    <n v="78.538946999999993"/>
    <n v="0"/>
    <n v="0"/>
    <n v="0"/>
    <n v="0"/>
    <n v="0"/>
    <n v="0"/>
    <n v="0"/>
    <n v="0"/>
    <n v="0"/>
  </r>
  <r>
    <n v="2023"/>
    <s v="10"/>
    <s v="10/01/2023"/>
    <x v="21"/>
    <x v="44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11"/>
    <n v="0.83582199999999995"/>
    <n v="0.83582199999999995"/>
    <n v="0"/>
    <n v="155.12697499999999"/>
    <n v="1.2167000000000001E-2"/>
    <n v="0"/>
    <n v="0"/>
    <n v="0"/>
    <n v="0"/>
    <n v="0"/>
    <n v="0"/>
    <n v="0"/>
    <n v="0"/>
  </r>
  <r>
    <n v="2023"/>
    <s v="10"/>
    <s v="10/01/2023"/>
    <x v="21"/>
    <x v="12"/>
    <n v="204.80198958000003"/>
    <n v="204.80191855999999"/>
    <n v="0"/>
    <n v="1317.28925916"/>
    <n v="203.35328013999998"/>
    <n v="0"/>
    <n v="0"/>
    <n v="0"/>
    <n v="0"/>
    <n v="0"/>
    <n v="0"/>
    <n v="0"/>
    <n v="0"/>
  </r>
  <r>
    <n v="2023"/>
    <s v="10"/>
    <s v="10/01/2023"/>
    <x v="21"/>
    <x v="13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14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15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16"/>
    <n v="0.71422631999999997"/>
    <n v="0.66762323999999995"/>
    <n v="4.6603080000000005E-2"/>
    <n v="0"/>
    <n v="0"/>
    <n v="0"/>
    <n v="0"/>
    <n v="0"/>
    <n v="0"/>
    <n v="0"/>
    <n v="0"/>
    <n v="0"/>
    <n v="0"/>
  </r>
  <r>
    <n v="2023"/>
    <s v="10"/>
    <s v="10/01/2023"/>
    <x v="21"/>
    <x v="17"/>
    <n v="24.920444"/>
    <n v="24.920444"/>
    <n v="0"/>
    <n v="0"/>
    <n v="0"/>
    <n v="0"/>
    <n v="0"/>
    <n v="0"/>
    <n v="0"/>
    <n v="0"/>
    <n v="0"/>
    <n v="0"/>
    <n v="0"/>
  </r>
  <r>
    <n v="2023"/>
    <s v="10"/>
    <s v="10/01/2023"/>
    <x v="21"/>
    <x v="19"/>
    <n v="0"/>
    <n v="0"/>
    <n v="0"/>
    <n v="1016.24541403"/>
    <n v="0"/>
    <n v="0"/>
    <n v="0"/>
    <n v="0"/>
    <n v="0"/>
    <n v="0"/>
    <n v="0"/>
    <n v="0"/>
    <n v="0"/>
  </r>
  <r>
    <n v="2023"/>
    <s v="10"/>
    <s v="10/01/2023"/>
    <x v="21"/>
    <x v="20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21"/>
    <n v="0"/>
    <n v="0"/>
    <n v="0"/>
    <n v="216.89908399999999"/>
    <n v="0"/>
    <n v="0"/>
    <n v="0"/>
    <n v="0"/>
    <n v="0"/>
    <n v="0"/>
    <n v="6.5188990000000002"/>
    <n v="0"/>
    <n v="0"/>
  </r>
  <r>
    <n v="2023"/>
    <s v="10"/>
    <s v="10/01/2023"/>
    <x v="21"/>
    <x v="22"/>
    <n v="0"/>
    <n v="0"/>
    <n v="0"/>
    <n v="3.0000000000000001E-6"/>
    <n v="0"/>
    <n v="0"/>
    <n v="0"/>
    <n v="0"/>
    <n v="0"/>
    <n v="0"/>
    <n v="0"/>
    <n v="0"/>
    <n v="0"/>
  </r>
  <r>
    <n v="2023"/>
    <s v="10"/>
    <s v="10/01/2023"/>
    <x v="21"/>
    <x v="23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24"/>
    <n v="5.3704599999999996"/>
    <n v="5.3704599999999996"/>
    <n v="0"/>
    <n v="0"/>
    <n v="0"/>
    <n v="0"/>
    <n v="0"/>
    <n v="0"/>
    <n v="0"/>
    <n v="0"/>
    <n v="0"/>
    <n v="0"/>
    <n v="0"/>
  </r>
  <r>
    <n v="2023"/>
    <s v="10"/>
    <s v="10/01/2023"/>
    <x v="21"/>
    <x v="25"/>
    <n v="0"/>
    <n v="0"/>
    <n v="0"/>
    <n v="3.5218204500000003"/>
    <n v="0.35515279999999999"/>
    <n v="0"/>
    <n v="0"/>
    <n v="0"/>
    <n v="0"/>
    <n v="0"/>
    <n v="0"/>
    <n v="0"/>
    <n v="0"/>
  </r>
  <r>
    <n v="2023"/>
    <s v="10"/>
    <s v="10/01/2023"/>
    <x v="21"/>
    <x v="26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27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28"/>
    <n v="0"/>
    <n v="0"/>
    <n v="0"/>
    <n v="37.954408000000001"/>
    <n v="0"/>
    <n v="0"/>
    <n v="0"/>
    <n v="0"/>
    <n v="0"/>
    <n v="0"/>
    <n v="0"/>
    <n v="0"/>
    <n v="0"/>
  </r>
  <r>
    <n v="2023"/>
    <s v="10"/>
    <s v="10/01/2023"/>
    <x v="21"/>
    <x v="29"/>
    <n v="0"/>
    <n v="0"/>
    <n v="0"/>
    <n v="3.9294000000000003E-2"/>
    <n v="0"/>
    <n v="0"/>
    <n v="0"/>
    <n v="0"/>
    <n v="0"/>
    <n v="0"/>
    <n v="0"/>
    <n v="0"/>
    <n v="0"/>
  </r>
  <r>
    <n v="2023"/>
    <s v="10"/>
    <s v="10/01/2023"/>
    <x v="21"/>
    <x v="30"/>
    <n v="2.8540614399999997"/>
    <n v="1.4661696200000001"/>
    <n v="1.3878918200000001"/>
    <n v="2.5094426599999999"/>
    <n v="4.6340690000000004E-2"/>
    <n v="0"/>
    <n v="0"/>
    <n v="0"/>
    <n v="0"/>
    <n v="0"/>
    <n v="4.6044374499999998"/>
    <n v="0.17032737000000001"/>
    <n v="0"/>
  </r>
  <r>
    <n v="2023"/>
    <s v="10"/>
    <s v="10/01/2023"/>
    <x v="21"/>
    <x v="31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32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33"/>
    <n v="0"/>
    <n v="0"/>
    <n v="0"/>
    <n v="5.2737679999999996"/>
    <n v="0"/>
    <n v="0"/>
    <n v="0"/>
    <n v="0"/>
    <n v="0"/>
    <n v="0"/>
    <n v="2.5935E-2"/>
    <n v="0"/>
    <n v="0"/>
  </r>
  <r>
    <n v="2023"/>
    <s v="10"/>
    <s v="10/01/2023"/>
    <x v="21"/>
    <x v="34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35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36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37"/>
    <n v="0"/>
    <n v="0"/>
    <n v="0"/>
    <n v="0"/>
    <n v="0"/>
    <n v="0"/>
    <n v="1.33979698"/>
    <n v="1.33979698"/>
    <n v="0"/>
    <n v="0"/>
    <n v="0"/>
    <n v="0"/>
    <n v="0"/>
  </r>
  <r>
    <n v="2023"/>
    <s v="10"/>
    <s v="10/01/2023"/>
    <x v="21"/>
    <x v="38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39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40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41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42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45"/>
    <n v="0"/>
    <n v="0"/>
    <n v="0"/>
    <n v="0"/>
    <n v="0"/>
    <n v="0"/>
    <n v="0"/>
    <n v="0"/>
    <n v="0"/>
    <n v="0"/>
    <n v="0"/>
    <n v="0"/>
    <n v="0"/>
  </r>
  <r>
    <n v="2023"/>
    <s v="10"/>
    <s v="10/01/2023"/>
    <x v="21"/>
    <x v="43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0"/>
    <n v="1662.16416331"/>
    <n v="1658.6955817600001"/>
    <n v="3.3882780499999998"/>
    <n v="9257.3124807299992"/>
    <n v="502.95399723000003"/>
    <n v="74.665563779999999"/>
    <n v="2.17E-6"/>
    <n v="2.17E-6"/>
    <n v="0"/>
    <n v="0"/>
    <n v="71.427401970000005"/>
    <n v="42.688234100000003"/>
    <n v="204.83980700000001"/>
  </r>
  <r>
    <n v="2023"/>
    <s v="11"/>
    <s v="11/01/2023"/>
    <x v="22"/>
    <x v="1"/>
    <n v="630.31291550000003"/>
    <n v="630.31291550000003"/>
    <n v="0"/>
    <n v="406.00250483999997"/>
    <n v="54.029752389999999"/>
    <n v="74.665563779999999"/>
    <n v="0"/>
    <n v="0"/>
    <n v="0"/>
    <n v="0"/>
    <n v="0"/>
    <n v="0"/>
    <n v="0"/>
  </r>
  <r>
    <n v="2023"/>
    <s v="11"/>
    <s v="11/01/2023"/>
    <x v="22"/>
    <x v="2"/>
    <n v="200.41127402000001"/>
    <n v="200.25458381000001"/>
    <n v="7.6574490000000009E-2"/>
    <n v="3335.57310904"/>
    <n v="165.13213221999999"/>
    <n v="0"/>
    <n v="0"/>
    <n v="0"/>
    <n v="0"/>
    <n v="0"/>
    <n v="0"/>
    <n v="0"/>
    <n v="0"/>
  </r>
  <r>
    <n v="2023"/>
    <s v="11"/>
    <s v="11/01/2023"/>
    <x v="22"/>
    <x v="3"/>
    <n v="237.271207"/>
    <n v="237.271207"/>
    <n v="0"/>
    <n v="1437.814656"/>
    <n v="43.758530999999998"/>
    <n v="0"/>
    <n v="0"/>
    <n v="0"/>
    <n v="0"/>
    <n v="0"/>
    <n v="0"/>
    <n v="0"/>
    <n v="0"/>
  </r>
  <r>
    <n v="2023"/>
    <s v="11"/>
    <s v="11/01/2023"/>
    <x v="22"/>
    <x v="4"/>
    <n v="114.865165"/>
    <n v="114.865165"/>
    <n v="0"/>
    <n v="884.46882100000005"/>
    <n v="28.851562999999999"/>
    <n v="0"/>
    <n v="0"/>
    <n v="0"/>
    <n v="0"/>
    <n v="0"/>
    <n v="48.703305"/>
    <n v="19.714801999999999"/>
    <n v="0"/>
  </r>
  <r>
    <n v="2023"/>
    <s v="11"/>
    <s v="11/01/2023"/>
    <x v="22"/>
    <x v="5"/>
    <n v="11.194830550000001"/>
    <n v="11.194830550000001"/>
    <n v="0"/>
    <n v="36.519688939999995"/>
    <n v="5.6176600300000006"/>
    <n v="0"/>
    <n v="0"/>
    <n v="0"/>
    <n v="0"/>
    <n v="0"/>
    <n v="0"/>
    <n v="0.5849143"/>
    <n v="0"/>
  </r>
  <r>
    <n v="2023"/>
    <s v="11"/>
    <s v="11/01/2023"/>
    <x v="22"/>
    <x v="6"/>
    <n v="0"/>
    <n v="0"/>
    <n v="0"/>
    <n v="7.0448899999999997"/>
    <n v="4.0629999999999999E-2"/>
    <n v="0"/>
    <n v="0"/>
    <n v="0"/>
    <n v="0"/>
    <n v="0"/>
    <n v="0"/>
    <n v="0"/>
    <n v="0"/>
  </r>
  <r>
    <n v="2023"/>
    <s v="11"/>
    <s v="11/01/2023"/>
    <x v="22"/>
    <x v="7"/>
    <n v="11.05"/>
    <n v="11.05"/>
    <n v="0"/>
    <n v="1.4730399999999999"/>
    <n v="0"/>
    <n v="0"/>
    <n v="0"/>
    <n v="0"/>
    <n v="0"/>
    <n v="0"/>
    <n v="0"/>
    <n v="0"/>
    <n v="0"/>
  </r>
  <r>
    <n v="2023"/>
    <s v="11"/>
    <s v="11/01/2023"/>
    <x v="22"/>
    <x v="8"/>
    <n v="79.377405999999993"/>
    <n v="79.377405999999993"/>
    <n v="0"/>
    <n v="156.77121500000001"/>
    <n v="14.67183"/>
    <n v="0"/>
    <n v="0"/>
    <n v="0"/>
    <n v="0"/>
    <n v="0"/>
    <n v="10.851616999999999"/>
    <n v="22.288962999999999"/>
    <n v="0"/>
  </r>
  <r>
    <n v="2023"/>
    <s v="11"/>
    <s v="11/01/2023"/>
    <x v="22"/>
    <x v="9"/>
    <n v="15.89615667"/>
    <n v="15.89615667"/>
    <n v="0"/>
    <n v="141.75704922"/>
    <n v="0.99464970999999991"/>
    <n v="0"/>
    <n v="0"/>
    <n v="0"/>
    <n v="0"/>
    <n v="0"/>
    <n v="0"/>
    <n v="0"/>
    <n v="0"/>
  </r>
  <r>
    <n v="2023"/>
    <s v="11"/>
    <s v="11/01/2023"/>
    <x v="22"/>
    <x v="10"/>
    <n v="0"/>
    <n v="0"/>
    <n v="0"/>
    <n v="140.719582"/>
    <n v="0"/>
    <n v="0"/>
    <n v="0"/>
    <n v="0"/>
    <n v="0"/>
    <n v="0"/>
    <n v="0"/>
    <n v="0"/>
    <n v="0"/>
  </r>
  <r>
    <n v="2023"/>
    <s v="11"/>
    <s v="11/01/2023"/>
    <x v="22"/>
    <x v="44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11"/>
    <n v="4.1809999999999998E-3"/>
    <n v="4.1809999999999998E-3"/>
    <n v="0"/>
    <n v="153.235015"/>
    <n v="7.4398000000000006E-2"/>
    <n v="0"/>
    <n v="0"/>
    <n v="0"/>
    <n v="0"/>
    <n v="0"/>
    <n v="0"/>
    <n v="0"/>
    <n v="0"/>
  </r>
  <r>
    <n v="2023"/>
    <s v="11"/>
    <s v="11/01/2023"/>
    <x v="22"/>
    <x v="12"/>
    <n v="131.84552629000001"/>
    <n v="131.84533851"/>
    <n v="0"/>
    <n v="1231.4914172700001"/>
    <n v="164.21511036999999"/>
    <n v="0"/>
    <n v="0"/>
    <n v="0"/>
    <n v="0"/>
    <n v="0"/>
    <n v="0"/>
    <n v="0"/>
    <n v="0"/>
  </r>
  <r>
    <n v="2023"/>
    <s v="11"/>
    <s v="11/01/2023"/>
    <x v="22"/>
    <x v="13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14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15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16"/>
    <n v="2.45257506"/>
    <n v="2.4158930699999996"/>
    <n v="3.6681989999999998E-2"/>
    <n v="0"/>
    <n v="0"/>
    <n v="0"/>
    <n v="0"/>
    <n v="0"/>
    <n v="0"/>
    <n v="0"/>
    <n v="0"/>
    <n v="0"/>
    <n v="0"/>
  </r>
  <r>
    <n v="2023"/>
    <s v="11"/>
    <s v="11/01/2023"/>
    <x v="22"/>
    <x v="17"/>
    <n v="216.78443899999999"/>
    <n v="216.78443899999999"/>
    <n v="0"/>
    <n v="0"/>
    <n v="0"/>
    <n v="0"/>
    <n v="0"/>
    <n v="0"/>
    <n v="0"/>
    <n v="0"/>
    <n v="0"/>
    <n v="0"/>
    <n v="0"/>
  </r>
  <r>
    <n v="2023"/>
    <s v="11"/>
    <s v="11/01/2023"/>
    <x v="22"/>
    <x v="19"/>
    <n v="0"/>
    <n v="0"/>
    <n v="0"/>
    <n v="984.67491126999994"/>
    <n v="0"/>
    <n v="0"/>
    <n v="0"/>
    <n v="0"/>
    <n v="0"/>
    <n v="0"/>
    <n v="0"/>
    <n v="0"/>
    <n v="0"/>
  </r>
  <r>
    <n v="2023"/>
    <s v="11"/>
    <s v="11/01/2023"/>
    <x v="22"/>
    <x v="20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21"/>
    <n v="0"/>
    <n v="0"/>
    <n v="0"/>
    <n v="283.45094599999999"/>
    <n v="0"/>
    <n v="0"/>
    <n v="0"/>
    <n v="0"/>
    <n v="0"/>
    <n v="0"/>
    <n v="6.454853"/>
    <n v="0"/>
    <n v="0"/>
  </r>
  <r>
    <n v="2023"/>
    <s v="11"/>
    <s v="11/01/2023"/>
    <x v="22"/>
    <x v="22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23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24"/>
    <n v="5.3704599999999996"/>
    <n v="5.3704599999999996"/>
    <n v="0"/>
    <n v="0"/>
    <n v="0"/>
    <n v="0"/>
    <n v="0"/>
    <n v="0"/>
    <n v="0"/>
    <n v="0"/>
    <n v="0"/>
    <n v="0"/>
    <n v="0"/>
  </r>
  <r>
    <n v="2023"/>
    <s v="11"/>
    <s v="11/01/2023"/>
    <x v="22"/>
    <x v="25"/>
    <n v="0"/>
    <n v="0"/>
    <n v="0"/>
    <n v="9.4568407899999993"/>
    <n v="0.69368756999999992"/>
    <n v="0"/>
    <n v="0"/>
    <n v="0"/>
    <n v="0"/>
    <n v="0"/>
    <n v="0"/>
    <n v="0"/>
    <n v="0"/>
  </r>
  <r>
    <n v="2023"/>
    <s v="11"/>
    <s v="11/01/2023"/>
    <x v="22"/>
    <x v="26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27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28"/>
    <n v="0"/>
    <n v="0"/>
    <n v="0"/>
    <n v="26.236032000000002"/>
    <n v="0"/>
    <n v="0"/>
    <n v="0"/>
    <n v="0"/>
    <n v="0"/>
    <n v="0"/>
    <n v="0"/>
    <n v="0"/>
    <n v="0"/>
  </r>
  <r>
    <n v="2023"/>
    <s v="11"/>
    <s v="11/01/2023"/>
    <x v="22"/>
    <x v="29"/>
    <n v="0"/>
    <n v="0"/>
    <n v="0"/>
    <n v="13.367203"/>
    <n v="0"/>
    <n v="0"/>
    <n v="0"/>
    <n v="0"/>
    <n v="0"/>
    <n v="0"/>
    <n v="0"/>
    <n v="0"/>
    <n v="0"/>
  </r>
  <r>
    <n v="2023"/>
    <s v="11"/>
    <s v="11/01/2023"/>
    <x v="22"/>
    <x v="30"/>
    <n v="5.3280272200000001"/>
    <n v="2.0530056499999998"/>
    <n v="3.2750215699999998"/>
    <n v="2.1062853599999998"/>
    <n v="24.874052940000002"/>
    <n v="0"/>
    <n v="0"/>
    <n v="0"/>
    <n v="0"/>
    <n v="0"/>
    <n v="5.3831059699999999"/>
    <n v="9.9554799999999999E-2"/>
    <n v="0"/>
  </r>
  <r>
    <n v="2023"/>
    <s v="11"/>
    <s v="11/01/2023"/>
    <x v="22"/>
    <x v="31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32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33"/>
    <n v="0"/>
    <n v="0"/>
    <n v="0"/>
    <n v="5.1492740000000001"/>
    <n v="0"/>
    <n v="0"/>
    <n v="0"/>
    <n v="0"/>
    <n v="0"/>
    <n v="0"/>
    <n v="3.4521000000000003E-2"/>
    <n v="0"/>
    <n v="0"/>
  </r>
  <r>
    <n v="2023"/>
    <s v="11"/>
    <s v="11/01/2023"/>
    <x v="22"/>
    <x v="34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35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36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37"/>
    <n v="0"/>
    <n v="0"/>
    <n v="0"/>
    <n v="0"/>
    <n v="0"/>
    <n v="0"/>
    <n v="2.17E-6"/>
    <n v="2.17E-6"/>
    <n v="0"/>
    <n v="0"/>
    <n v="0"/>
    <n v="0"/>
    <n v="0"/>
  </r>
  <r>
    <n v="2023"/>
    <s v="11"/>
    <s v="11/01/2023"/>
    <x v="22"/>
    <x v="38"/>
    <n v="0"/>
    <n v="0"/>
    <n v="0"/>
    <n v="0"/>
    <n v="0"/>
    <n v="0"/>
    <n v="0"/>
    <n v="0"/>
    <n v="0"/>
    <n v="0"/>
    <n v="0"/>
    <n v="0"/>
    <n v="204.83980700000001"/>
  </r>
  <r>
    <n v="2023"/>
    <s v="11"/>
    <s v="11/01/2023"/>
    <x v="22"/>
    <x v="39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40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41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42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45"/>
    <n v="0"/>
    <n v="0"/>
    <n v="0"/>
    <n v="0"/>
    <n v="0"/>
    <n v="0"/>
    <n v="0"/>
    <n v="0"/>
    <n v="0"/>
    <n v="0"/>
    <n v="0"/>
    <n v="0"/>
    <n v="0"/>
  </r>
  <r>
    <n v="2023"/>
    <s v="11"/>
    <s v="11/01/2023"/>
    <x v="22"/>
    <x v="43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0"/>
    <n v="5311.4058753100007"/>
    <n v="5309.2923912599999"/>
    <n v="2.0599052499999999"/>
    <n v="10592.404404370001"/>
    <n v="426.74102474"/>
    <n v="46.201079310000004"/>
    <n v="8.4286750000000001"/>
    <n v="8.4286750000000001"/>
    <n v="0"/>
    <n v="0"/>
    <n v="80.626243770000002"/>
    <n v="38.676849070000003"/>
    <n v="0"/>
  </r>
  <r>
    <n v="2023"/>
    <s v="12"/>
    <s v="12/01/2023"/>
    <x v="23"/>
    <x v="1"/>
    <n v="141.40283198"/>
    <n v="141.40283198"/>
    <n v="0"/>
    <n v="358.61161002999995"/>
    <n v="81.550832150000005"/>
    <n v="46.201079310000004"/>
    <n v="0"/>
    <n v="0"/>
    <n v="0"/>
    <n v="0"/>
    <n v="0"/>
    <n v="0"/>
    <n v="0"/>
  </r>
  <r>
    <n v="2023"/>
    <s v="12"/>
    <s v="12/01/2023"/>
    <x v="23"/>
    <x v="2"/>
    <n v="180.59002544000001"/>
    <n v="180.46774904"/>
    <n v="6.8718130000000002E-2"/>
    <n v="3515.09737464"/>
    <n v="43.262554159999993"/>
    <n v="0"/>
    <n v="0"/>
    <n v="0"/>
    <n v="0"/>
    <n v="0"/>
    <n v="0"/>
    <n v="0"/>
    <n v="0"/>
  </r>
  <r>
    <n v="2023"/>
    <s v="12"/>
    <s v="12/01/2023"/>
    <x v="23"/>
    <x v="3"/>
    <n v="650.12064599999997"/>
    <n v="650.12064599999997"/>
    <n v="0"/>
    <n v="2642.5705760000001"/>
    <n v="82.647255000000001"/>
    <n v="0"/>
    <n v="0"/>
    <n v="0"/>
    <n v="0"/>
    <n v="0"/>
    <n v="0"/>
    <n v="0"/>
    <n v="0"/>
  </r>
  <r>
    <n v="2023"/>
    <s v="12"/>
    <s v="12/01/2023"/>
    <x v="23"/>
    <x v="4"/>
    <n v="298.92755399999999"/>
    <n v="298.92755399999999"/>
    <n v="0"/>
    <n v="864.96078199999999"/>
    <n v="16.867308999999999"/>
    <n v="0"/>
    <n v="0"/>
    <n v="0"/>
    <n v="0"/>
    <n v="0"/>
    <n v="51.469386"/>
    <n v="15.326344000000001"/>
    <n v="0"/>
  </r>
  <r>
    <n v="2023"/>
    <s v="12"/>
    <s v="12/01/2023"/>
    <x v="23"/>
    <x v="5"/>
    <n v="196.53760797000001"/>
    <n v="196.53760797000001"/>
    <n v="0"/>
    <n v="57.332474879999999"/>
    <n v="4.3176767900000002"/>
    <n v="0"/>
    <n v="0"/>
    <n v="0"/>
    <n v="0"/>
    <n v="0"/>
    <n v="0"/>
    <n v="0.33409036999999997"/>
    <n v="0"/>
  </r>
  <r>
    <n v="2023"/>
    <s v="12"/>
    <s v="12/01/2023"/>
    <x v="23"/>
    <x v="6"/>
    <n v="0"/>
    <n v="0"/>
    <n v="0"/>
    <n v="7.301266"/>
    <n v="1.6246E-2"/>
    <n v="0"/>
    <n v="0"/>
    <n v="0"/>
    <n v="0"/>
    <n v="0"/>
    <n v="0"/>
    <n v="0"/>
    <n v="0"/>
  </r>
  <r>
    <n v="2023"/>
    <s v="12"/>
    <s v="12/01/2023"/>
    <x v="23"/>
    <x v="7"/>
    <n v="21.482838999999998"/>
    <n v="21.482838999999998"/>
    <n v="0"/>
    <n v="0.89541700000000002"/>
    <n v="0"/>
    <n v="0"/>
    <n v="0"/>
    <n v="0"/>
    <n v="0"/>
    <n v="0"/>
    <n v="0"/>
    <n v="0"/>
    <n v="0"/>
  </r>
  <r>
    <n v="2023"/>
    <s v="12"/>
    <s v="12/01/2023"/>
    <x v="23"/>
    <x v="8"/>
    <n v="2347.3166959999999"/>
    <n v="2347.3166959999999"/>
    <n v="0"/>
    <n v="140.17443299999999"/>
    <n v="12.940623"/>
    <n v="0"/>
    <n v="8.4286750000000001"/>
    <n v="8.4286750000000001"/>
    <n v="0"/>
    <n v="0"/>
    <n v="14.072452999999999"/>
    <n v="22.518965999999999"/>
    <n v="0"/>
  </r>
  <r>
    <n v="2023"/>
    <s v="12"/>
    <s v="12/01/2023"/>
    <x v="23"/>
    <x v="9"/>
    <n v="119.12997820999999"/>
    <n v="119.12997820999999"/>
    <n v="0"/>
    <n v="23.379755979999999"/>
    <n v="0.17082217000000002"/>
    <n v="0"/>
    <n v="0"/>
    <n v="0"/>
    <n v="0"/>
    <n v="0"/>
    <n v="0"/>
    <n v="0"/>
    <n v="0"/>
  </r>
  <r>
    <n v="2023"/>
    <s v="12"/>
    <s v="12/01/2023"/>
    <x v="23"/>
    <x v="10"/>
    <n v="0"/>
    <n v="0"/>
    <n v="0"/>
    <n v="143.74682100000001"/>
    <n v="0"/>
    <n v="0"/>
    <n v="0"/>
    <n v="0"/>
    <n v="0"/>
    <n v="0"/>
    <n v="0"/>
    <n v="0"/>
    <n v="0"/>
  </r>
  <r>
    <n v="2023"/>
    <s v="12"/>
    <s v="12/01/2023"/>
    <x v="23"/>
    <x v="44"/>
    <n v="0.53451599999999999"/>
    <n v="0.53451599999999999"/>
    <n v="0"/>
    <n v="7.0904999999999996E-2"/>
    <n v="0.55698800000000004"/>
    <n v="0"/>
    <n v="0"/>
    <n v="0"/>
    <n v="0"/>
    <n v="0"/>
    <n v="0"/>
    <n v="0"/>
    <n v="0"/>
  </r>
  <r>
    <n v="2023"/>
    <s v="12"/>
    <s v="12/01/2023"/>
    <x v="23"/>
    <x v="11"/>
    <n v="0.30431599999999998"/>
    <n v="0.30431599999999998"/>
    <n v="0"/>
    <n v="109.150795"/>
    <n v="0.295653"/>
    <n v="0"/>
    <n v="0"/>
    <n v="0"/>
    <n v="0"/>
    <n v="0"/>
    <n v="0"/>
    <n v="0"/>
    <n v="0"/>
  </r>
  <r>
    <n v="2023"/>
    <s v="12"/>
    <s v="12/01/2023"/>
    <x v="23"/>
    <x v="12"/>
    <n v="186.10463622999998"/>
    <n v="186.10461587"/>
    <n v="0"/>
    <n v="1348.15474032"/>
    <n v="183.55348716"/>
    <n v="0"/>
    <n v="0"/>
    <n v="0"/>
    <n v="0"/>
    <n v="0"/>
    <n v="0"/>
    <n v="0"/>
    <n v="0"/>
  </r>
  <r>
    <n v="2023"/>
    <s v="12"/>
    <s v="12/01/2023"/>
    <x v="23"/>
    <x v="13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14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15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16"/>
    <n v="0.35709182"/>
    <n v="0.35709165000000004"/>
    <n v="0"/>
    <n v="0"/>
    <n v="0"/>
    <n v="0"/>
    <n v="0"/>
    <n v="0"/>
    <n v="0"/>
    <n v="0"/>
    <n v="0"/>
    <n v="0"/>
    <n v="0"/>
  </r>
  <r>
    <n v="2023"/>
    <s v="12"/>
    <s v="12/01/2023"/>
    <x v="23"/>
    <x v="17"/>
    <n v="155.22008400000001"/>
    <n v="155.22008400000001"/>
    <n v="0"/>
    <n v="0"/>
    <n v="0"/>
    <n v="0"/>
    <n v="0"/>
    <n v="0"/>
    <n v="0"/>
    <n v="0"/>
    <n v="0"/>
    <n v="0"/>
    <n v="0"/>
  </r>
  <r>
    <n v="2023"/>
    <s v="12"/>
    <s v="12/01/2023"/>
    <x v="23"/>
    <x v="19"/>
    <n v="591.822"/>
    <n v="591.822"/>
    <n v="0"/>
    <n v="1086.1630019500001"/>
    <n v="1.1286540000000001E-2"/>
    <n v="0"/>
    <n v="0"/>
    <n v="0"/>
    <n v="0"/>
    <n v="0"/>
    <n v="0"/>
    <n v="0"/>
    <n v="0"/>
  </r>
  <r>
    <n v="2023"/>
    <s v="12"/>
    <s v="12/01/2023"/>
    <x v="23"/>
    <x v="20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21"/>
    <n v="0"/>
    <n v="0"/>
    <n v="0"/>
    <n v="245.752465"/>
    <n v="0"/>
    <n v="0"/>
    <n v="0"/>
    <n v="0"/>
    <n v="0"/>
    <n v="0"/>
    <n v="10.770410999999999"/>
    <n v="0"/>
    <n v="0"/>
  </r>
  <r>
    <n v="2023"/>
    <s v="12"/>
    <s v="12/01/2023"/>
    <x v="23"/>
    <x v="22"/>
    <n v="0"/>
    <n v="0"/>
    <n v="0"/>
    <n v="1.9999999999999999E-6"/>
    <n v="0"/>
    <n v="0"/>
    <n v="0"/>
    <n v="0"/>
    <n v="0"/>
    <n v="0"/>
    <n v="0"/>
    <n v="0"/>
    <n v="0"/>
  </r>
  <r>
    <n v="2023"/>
    <s v="12"/>
    <s v="12/01/2023"/>
    <x v="23"/>
    <x v="23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24"/>
    <n v="7.7798059999999998"/>
    <n v="7.7798059999999998"/>
    <n v="0"/>
    <n v="0"/>
    <n v="0"/>
    <n v="0"/>
    <n v="0"/>
    <n v="0"/>
    <n v="0"/>
    <n v="0"/>
    <n v="0"/>
    <n v="0"/>
    <n v="0"/>
  </r>
  <r>
    <n v="2023"/>
    <s v="12"/>
    <s v="12/01/2023"/>
    <x v="23"/>
    <x v="25"/>
    <n v="265.49171933000002"/>
    <n v="265.49171933000002"/>
    <n v="0"/>
    <n v="12.734103300000001"/>
    <n v="0.36483835999999997"/>
    <n v="0"/>
    <n v="0"/>
    <n v="0"/>
    <n v="0"/>
    <n v="0"/>
    <n v="0"/>
    <n v="0"/>
    <n v="0"/>
  </r>
  <r>
    <n v="2023"/>
    <s v="12"/>
    <s v="12/01/2023"/>
    <x v="23"/>
    <x v="26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27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28"/>
    <n v="0"/>
    <n v="0"/>
    <n v="0"/>
    <n v="30.316782"/>
    <n v="0"/>
    <n v="0"/>
    <n v="0"/>
    <n v="0"/>
    <n v="0"/>
    <n v="0"/>
    <n v="0"/>
    <n v="0"/>
    <n v="0"/>
  </r>
  <r>
    <n v="2023"/>
    <s v="12"/>
    <s v="12/01/2023"/>
    <x v="23"/>
    <x v="29"/>
    <n v="0"/>
    <n v="0"/>
    <n v="0"/>
    <n v="0.10736900000000001"/>
    <n v="0"/>
    <n v="0"/>
    <n v="0"/>
    <n v="0"/>
    <n v="0"/>
    <n v="0"/>
    <n v="0"/>
    <n v="0"/>
    <n v="0"/>
  </r>
  <r>
    <n v="2023"/>
    <s v="12"/>
    <s v="12/01/2023"/>
    <x v="23"/>
    <x v="30"/>
    <n v="4.87965933"/>
    <n v="2.8884722099999998"/>
    <n v="1.9911871200000002"/>
    <n v="3.0454742700000001"/>
    <n v="0.18545341000000001"/>
    <n v="0"/>
    <n v="0"/>
    <n v="0"/>
    <n v="0"/>
    <n v="0"/>
    <n v="4.2799347699999997"/>
    <n v="0.49744870000000002"/>
    <n v="0"/>
  </r>
  <r>
    <n v="2023"/>
    <s v="12"/>
    <s v="12/01/2023"/>
    <x v="23"/>
    <x v="31"/>
    <n v="143.40386799999999"/>
    <n v="143.40386799999999"/>
    <n v="0"/>
    <n v="0"/>
    <n v="0"/>
    <n v="0"/>
    <n v="0"/>
    <n v="0"/>
    <n v="0"/>
    <n v="0"/>
    <n v="0"/>
    <n v="0"/>
    <n v="0"/>
  </r>
  <r>
    <n v="2023"/>
    <s v="12"/>
    <s v="12/01/2023"/>
    <x v="23"/>
    <x v="32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33"/>
    <n v="0"/>
    <n v="0"/>
    <n v="0"/>
    <n v="2.8382559999999999"/>
    <n v="0"/>
    <n v="0"/>
    <n v="0"/>
    <n v="0"/>
    <n v="0"/>
    <n v="0"/>
    <n v="3.4058999999999999E-2"/>
    <n v="0"/>
    <n v="0"/>
  </r>
  <r>
    <n v="2023"/>
    <s v="12"/>
    <s v="12/01/2023"/>
    <x v="23"/>
    <x v="34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35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36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37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38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39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40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41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42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45"/>
    <n v="0"/>
    <n v="0"/>
    <n v="0"/>
    <n v="0"/>
    <n v="0"/>
    <n v="0"/>
    <n v="0"/>
    <n v="0"/>
    <n v="0"/>
    <n v="0"/>
    <n v="0"/>
    <n v="0"/>
    <n v="0"/>
  </r>
  <r>
    <n v="2023"/>
    <s v="12"/>
    <s v="12/01/2023"/>
    <x v="23"/>
    <x v="43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0"/>
    <n v="1567.3734307100001"/>
    <n v="1549.0446106099998"/>
    <n v="18.32380749"/>
    <n v="10849.4784181"/>
    <n v="651.48321799999997"/>
    <n v="56.988801719999998"/>
    <n v="1.0529764699999999"/>
    <n v="1.0529764699999999"/>
    <n v="0"/>
    <n v="0"/>
    <n v="111.70521253"/>
    <n v="47.476975619999997"/>
    <n v="0"/>
  </r>
  <r>
    <n v="2024"/>
    <s v="01"/>
    <s v="01/01/2024"/>
    <x v="24"/>
    <x v="1"/>
    <n v="50.232914810000004"/>
    <n v="50.232914810000004"/>
    <n v="0"/>
    <n v="428.92881782999996"/>
    <n v="63.962250829999995"/>
    <n v="54.890014719999996"/>
    <n v="0"/>
    <n v="0"/>
    <n v="0"/>
    <n v="0"/>
    <n v="0"/>
    <n v="0"/>
    <n v="0"/>
  </r>
  <r>
    <n v="2024"/>
    <s v="01"/>
    <s v="01/01/2024"/>
    <x v="24"/>
    <x v="2"/>
    <n v="158.47147375"/>
    <n v="158.47147334000002"/>
    <n v="4.0999999999999999E-7"/>
    <n v="3647.16915152"/>
    <n v="230.95704774999999"/>
    <n v="0"/>
    <n v="0"/>
    <n v="0"/>
    <n v="0"/>
    <n v="0"/>
    <n v="0"/>
    <n v="0"/>
    <n v="0"/>
  </r>
  <r>
    <n v="2024"/>
    <s v="01"/>
    <s v="01/01/2024"/>
    <x v="24"/>
    <x v="3"/>
    <n v="274.26856600000002"/>
    <n v="274.26856600000002"/>
    <n v="0"/>
    <n v="2386.4767200000001"/>
    <n v="129.13104300000001"/>
    <n v="2.0987870000000002"/>
    <n v="0.990591"/>
    <n v="0.990591"/>
    <n v="0"/>
    <n v="0"/>
    <n v="0.21731300000000001"/>
    <n v="0"/>
    <n v="0"/>
  </r>
  <r>
    <n v="2024"/>
    <s v="01"/>
    <s v="01/01/2024"/>
    <x v="24"/>
    <x v="4"/>
    <n v="213.897786"/>
    <n v="213.896298"/>
    <n v="1.488E-3"/>
    <n v="1016.904723"/>
    <n v="47.470913000000003"/>
    <n v="0"/>
    <n v="0"/>
    <n v="0"/>
    <n v="0"/>
    <n v="0"/>
    <n v="73.691646000000006"/>
    <n v="17.054880000000001"/>
    <n v="0"/>
  </r>
  <r>
    <n v="2024"/>
    <s v="01"/>
    <s v="01/01/2024"/>
    <x v="24"/>
    <x v="5"/>
    <n v="6.1782184200000003"/>
    <n v="6.1782184200000003"/>
    <n v="0"/>
    <n v="52.369715720000002"/>
    <n v="3.0912990599999999"/>
    <n v="0"/>
    <n v="0"/>
    <n v="0"/>
    <n v="0"/>
    <n v="0"/>
    <n v="0"/>
    <n v="0.35997835"/>
    <n v="0"/>
  </r>
  <r>
    <n v="2024"/>
    <s v="01"/>
    <s v="01/01/2024"/>
    <x v="24"/>
    <x v="6"/>
    <n v="0"/>
    <n v="0"/>
    <n v="0"/>
    <n v="6.5112500000000004"/>
    <n v="4.2950000000000002E-3"/>
    <n v="0"/>
    <n v="0"/>
    <n v="0"/>
    <n v="0"/>
    <n v="0"/>
    <n v="0"/>
    <n v="0"/>
    <n v="0"/>
  </r>
  <r>
    <n v="2024"/>
    <s v="01"/>
    <s v="01/01/2024"/>
    <x v="24"/>
    <x v="7"/>
    <n v="0"/>
    <n v="0"/>
    <n v="0"/>
    <n v="2.037477"/>
    <n v="0"/>
    <n v="0"/>
    <n v="0"/>
    <n v="0"/>
    <n v="0"/>
    <n v="0"/>
    <n v="0"/>
    <n v="0"/>
    <n v="0"/>
  </r>
  <r>
    <n v="2024"/>
    <s v="01"/>
    <s v="01/01/2024"/>
    <x v="24"/>
    <x v="8"/>
    <n v="2.395073"/>
    <n v="2.395073"/>
    <n v="0"/>
    <n v="214.186847"/>
    <n v="19.777273000000001"/>
    <n v="0"/>
    <n v="5.9047000000000002E-2"/>
    <n v="5.9047000000000002E-2"/>
    <n v="0"/>
    <n v="0"/>
    <n v="18.313523"/>
    <n v="30.062114999999999"/>
    <n v="0"/>
  </r>
  <r>
    <n v="2024"/>
    <s v="01"/>
    <s v="01/01/2024"/>
    <x v="24"/>
    <x v="9"/>
    <n v="11.093302380000001"/>
    <n v="11.093302380000001"/>
    <n v="0"/>
    <n v="32.466459139999998"/>
    <n v="3.2165059199999999"/>
    <n v="0"/>
    <n v="0"/>
    <n v="0"/>
    <n v="0"/>
    <n v="0"/>
    <n v="0"/>
    <n v="0"/>
    <n v="0"/>
  </r>
  <r>
    <n v="2024"/>
    <s v="01"/>
    <s v="01/01/2024"/>
    <x v="24"/>
    <x v="10"/>
    <n v="0"/>
    <n v="0"/>
    <n v="0"/>
    <n v="139.49791300000001"/>
    <n v="0"/>
    <n v="0"/>
    <n v="0"/>
    <n v="0"/>
    <n v="0"/>
    <n v="0"/>
    <n v="0"/>
    <n v="0"/>
    <n v="0"/>
  </r>
  <r>
    <n v="2024"/>
    <s v="01"/>
    <s v="01/01/2024"/>
    <x v="24"/>
    <x v="44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11"/>
    <n v="9.7646999999999998E-2"/>
    <n v="9.7646999999999998E-2"/>
    <n v="0"/>
    <n v="114.49453099999999"/>
    <n v="2.0975000000000001E-2"/>
    <n v="0"/>
    <n v="0"/>
    <n v="0"/>
    <n v="0"/>
    <n v="0"/>
    <n v="0"/>
    <n v="0"/>
    <n v="0"/>
  </r>
  <r>
    <n v="2024"/>
    <s v="01"/>
    <s v="01/01/2024"/>
    <x v="24"/>
    <x v="12"/>
    <n v="127.62998359999999"/>
    <n v="127.62988885"/>
    <n v="0"/>
    <n v="1487.5069668199999"/>
    <n v="152.41285221999999"/>
    <n v="0"/>
    <n v="0"/>
    <n v="0"/>
    <n v="0"/>
    <n v="0"/>
    <n v="0"/>
    <n v="0"/>
    <n v="0"/>
  </r>
  <r>
    <n v="2024"/>
    <s v="01"/>
    <s v="01/01/2024"/>
    <x v="24"/>
    <x v="13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14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15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16"/>
    <n v="0.15886479000000001"/>
    <n v="0.11935883"/>
    <n v="3.4588099999999997E-2"/>
    <n v="0"/>
    <n v="0"/>
    <n v="0"/>
    <n v="0"/>
    <n v="0"/>
    <n v="0"/>
    <n v="0"/>
    <n v="0"/>
    <n v="0"/>
    <n v="0"/>
  </r>
  <r>
    <n v="2024"/>
    <s v="01"/>
    <s v="01/01/2024"/>
    <x v="24"/>
    <x v="17"/>
    <n v="25.579622000000001"/>
    <n v="25.579622000000001"/>
    <n v="0"/>
    <n v="0"/>
    <n v="0"/>
    <n v="0"/>
    <n v="0"/>
    <n v="0"/>
    <n v="0"/>
    <n v="0"/>
    <n v="0"/>
    <n v="0"/>
    <n v="0"/>
  </r>
  <r>
    <n v="2024"/>
    <s v="01"/>
    <s v="01/01/2024"/>
    <x v="24"/>
    <x v="19"/>
    <n v="676.36800000000005"/>
    <n v="676.36800000000005"/>
    <n v="0"/>
    <n v="1019.13123391"/>
    <n v="6.5489199999999997E-3"/>
    <n v="0"/>
    <n v="0"/>
    <n v="0"/>
    <n v="0"/>
    <n v="0"/>
    <n v="0"/>
    <n v="0"/>
    <n v="0"/>
  </r>
  <r>
    <n v="2024"/>
    <s v="01"/>
    <s v="01/01/2024"/>
    <x v="24"/>
    <x v="20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21"/>
    <n v="0"/>
    <n v="0"/>
    <n v="0"/>
    <n v="254.43183099999999"/>
    <n v="0"/>
    <n v="0"/>
    <n v="0"/>
    <n v="0"/>
    <n v="0"/>
    <n v="0"/>
    <n v="15.381774999999999"/>
    <n v="0"/>
    <n v="0"/>
  </r>
  <r>
    <n v="2024"/>
    <s v="01"/>
    <s v="01/01/2024"/>
    <x v="24"/>
    <x v="22"/>
    <n v="0"/>
    <n v="0"/>
    <n v="0"/>
    <n v="5.0000000000000004E-6"/>
    <n v="0"/>
    <n v="0"/>
    <n v="0"/>
    <n v="0"/>
    <n v="0"/>
    <n v="0"/>
    <n v="0"/>
    <n v="0"/>
    <n v="0"/>
  </r>
  <r>
    <n v="2024"/>
    <s v="01"/>
    <s v="01/01/2024"/>
    <x v="24"/>
    <x v="23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24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25"/>
    <n v="0"/>
    <n v="0"/>
    <n v="0"/>
    <n v="11.08794692"/>
    <n v="1.3837626200000002"/>
    <n v="0"/>
    <n v="0"/>
    <n v="0"/>
    <n v="0"/>
    <n v="0"/>
    <n v="0"/>
    <n v="0"/>
    <n v="0"/>
  </r>
  <r>
    <n v="2024"/>
    <s v="01"/>
    <s v="01/01/2024"/>
    <x v="24"/>
    <x v="26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27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28"/>
    <n v="0"/>
    <n v="0"/>
    <n v="0"/>
    <n v="29.058416999999999"/>
    <n v="0"/>
    <n v="0"/>
    <n v="0"/>
    <n v="0"/>
    <n v="0"/>
    <n v="0"/>
    <n v="0"/>
    <n v="0"/>
    <n v="0"/>
  </r>
  <r>
    <n v="2024"/>
    <s v="01"/>
    <s v="01/01/2024"/>
    <x v="24"/>
    <x v="29"/>
    <n v="0"/>
    <n v="0"/>
    <n v="0"/>
    <n v="4.9820999999999997E-2"/>
    <n v="0"/>
    <n v="0"/>
    <n v="0"/>
    <n v="0"/>
    <n v="0"/>
    <n v="0"/>
    <n v="0"/>
    <n v="0"/>
    <n v="0"/>
  </r>
  <r>
    <n v="2024"/>
    <s v="01"/>
    <s v="01/01/2024"/>
    <x v="24"/>
    <x v="30"/>
    <n v="0.85317098000000002"/>
    <n v="0.85317098000000002"/>
    <n v="0"/>
    <n v="3.3050812400000003"/>
    <n v="4.8451679999999997E-2"/>
    <n v="0"/>
    <n v="0"/>
    <n v="0"/>
    <n v="0"/>
    <n v="0"/>
    <n v="4.0647905299999998"/>
    <n v="2.2699999999999999E-6"/>
    <n v="0"/>
  </r>
  <r>
    <n v="2024"/>
    <s v="01"/>
    <s v="01/01/2024"/>
    <x v="24"/>
    <x v="31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32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33"/>
    <n v="0"/>
    <n v="0"/>
    <n v="0"/>
    <n v="3.8635100000000002"/>
    <n v="0"/>
    <n v="0"/>
    <n v="0"/>
    <n v="0"/>
    <n v="0"/>
    <n v="0"/>
    <n v="3.6165000000000003E-2"/>
    <n v="0"/>
    <n v="0"/>
  </r>
  <r>
    <n v="2024"/>
    <s v="01"/>
    <s v="01/01/2024"/>
    <x v="24"/>
    <x v="34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35"/>
    <n v="1.8610770000000001"/>
    <n v="1.8610770000000001"/>
    <n v="0"/>
    <n v="0"/>
    <n v="0"/>
    <n v="0"/>
    <n v="0"/>
    <n v="0"/>
    <n v="0"/>
    <n v="0"/>
    <n v="0"/>
    <n v="0"/>
    <n v="0"/>
  </r>
  <r>
    <n v="2024"/>
    <s v="01"/>
    <s v="01/01/2024"/>
    <x v="24"/>
    <x v="36"/>
    <n v="18.287730979999999"/>
    <n v="0"/>
    <n v="18.287730979999999"/>
    <n v="0"/>
    <n v="0"/>
    <n v="0"/>
    <n v="0"/>
    <n v="0"/>
    <n v="0"/>
    <n v="0"/>
    <n v="0"/>
    <n v="0"/>
    <n v="0"/>
  </r>
  <r>
    <n v="2024"/>
    <s v="01"/>
    <s v="01/01/2024"/>
    <x v="24"/>
    <x v="37"/>
    <n v="0"/>
    <n v="0"/>
    <n v="0"/>
    <n v="0"/>
    <n v="0"/>
    <n v="0"/>
    <n v="3.3384699999999996E-3"/>
    <n v="3.3384699999999996E-3"/>
    <n v="0"/>
    <n v="0"/>
    <n v="0"/>
    <n v="0"/>
    <n v="0"/>
  </r>
  <r>
    <n v="2024"/>
    <s v="01"/>
    <s v="01/01/2024"/>
    <x v="24"/>
    <x v="38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39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40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41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42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45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43"/>
    <n v="0"/>
    <n v="0"/>
    <n v="0"/>
    <n v="0"/>
    <n v="0"/>
    <n v="0"/>
    <n v="0"/>
    <n v="0"/>
    <n v="0"/>
    <n v="0"/>
    <n v="0"/>
    <n v="0"/>
    <n v="0"/>
  </r>
  <r>
    <n v="2024"/>
    <s v="01"/>
    <s v="01/01/2024"/>
    <x v="24"/>
    <x v="46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0"/>
    <n v="3082.6262468899999"/>
    <n v="3080.39713992"/>
    <n v="2.2188964100000002"/>
    <n v="10148.69665928"/>
    <n v="484.48654079000005"/>
    <n v="81.59083665"/>
    <n v="1.29175529"/>
    <n v="1.29175529"/>
    <n v="0"/>
    <n v="0"/>
    <n v="113.61628337"/>
    <n v="40.748898539999999"/>
    <n v="0"/>
  </r>
  <r>
    <n v="2024"/>
    <s v="02"/>
    <s v="02/01/2024"/>
    <x v="25"/>
    <x v="1"/>
    <n v="46.180491070000002"/>
    <n v="46.180491070000002"/>
    <n v="0"/>
    <n v="446.73519389999996"/>
    <n v="27.067843850000003"/>
    <n v="37.607734649999998"/>
    <n v="0"/>
    <n v="0"/>
    <n v="0"/>
    <n v="0"/>
    <n v="0"/>
    <n v="0"/>
    <n v="0"/>
  </r>
  <r>
    <n v="2024"/>
    <s v="02"/>
    <s v="02/01/2024"/>
    <x v="25"/>
    <x v="2"/>
    <n v="1696.2433618599998"/>
    <n v="1696.1895042399999"/>
    <n v="4.3647059999999994E-2"/>
    <n v="3731.4980541899999"/>
    <n v="100.1917223"/>
    <n v="0"/>
    <n v="0"/>
    <n v="0"/>
    <n v="0"/>
    <n v="0"/>
    <n v="0"/>
    <n v="0"/>
    <n v="0"/>
  </r>
  <r>
    <n v="2024"/>
    <s v="02"/>
    <s v="02/01/2024"/>
    <x v="25"/>
    <x v="3"/>
    <n v="673.77143599999999"/>
    <n v="673.77143599999999"/>
    <n v="0"/>
    <n v="1730.9288979999999"/>
    <n v="127.919292"/>
    <n v="43.983102000000002"/>
    <n v="1.251736"/>
    <n v="1.251736"/>
    <n v="0"/>
    <n v="0"/>
    <n v="36.629080999999999"/>
    <n v="5.0771519999999999"/>
    <n v="0"/>
  </r>
  <r>
    <n v="2024"/>
    <s v="02"/>
    <s v="02/01/2024"/>
    <x v="25"/>
    <x v="4"/>
    <n v="60.538552000000003"/>
    <n v="60.538552000000003"/>
    <n v="0"/>
    <n v="958.41364199999998"/>
    <n v="28.138252999999999"/>
    <n v="0"/>
    <n v="0"/>
    <n v="0"/>
    <n v="0"/>
    <n v="0"/>
    <n v="39.705703999999997"/>
    <n v="19.140671000000001"/>
    <n v="0"/>
  </r>
  <r>
    <n v="2024"/>
    <s v="02"/>
    <s v="02/01/2024"/>
    <x v="25"/>
    <x v="5"/>
    <n v="35.668690470000001"/>
    <n v="35.668690470000001"/>
    <n v="0"/>
    <n v="42.369150770000005"/>
    <n v="4.8779336500000001"/>
    <n v="0"/>
    <n v="0"/>
    <n v="0"/>
    <n v="0"/>
    <n v="0"/>
    <n v="0"/>
    <n v="0.32341476000000002"/>
    <n v="0"/>
  </r>
  <r>
    <n v="2024"/>
    <s v="02"/>
    <s v="02/01/2024"/>
    <x v="25"/>
    <x v="6"/>
    <n v="0"/>
    <n v="0"/>
    <n v="0"/>
    <n v="6.4376449999999998"/>
    <n v="2.385E-3"/>
    <n v="0"/>
    <n v="0"/>
    <n v="0"/>
    <n v="0"/>
    <n v="0"/>
    <n v="0"/>
    <n v="0"/>
    <n v="0"/>
  </r>
  <r>
    <n v="2024"/>
    <s v="02"/>
    <s v="02/01/2024"/>
    <x v="25"/>
    <x v="7"/>
    <n v="3.4956520000000002"/>
    <n v="3.4956520000000002"/>
    <n v="0"/>
    <n v="1.8306260000000001"/>
    <n v="0"/>
    <n v="0"/>
    <n v="0"/>
    <n v="0"/>
    <n v="0"/>
    <n v="0"/>
    <n v="0"/>
    <n v="0"/>
    <n v="0"/>
  </r>
  <r>
    <n v="2024"/>
    <s v="02"/>
    <s v="02/01/2024"/>
    <x v="25"/>
    <x v="8"/>
    <n v="16.374701000000002"/>
    <n v="16.374701000000002"/>
    <n v="0"/>
    <n v="169.923509"/>
    <n v="15.741733"/>
    <n v="0"/>
    <n v="2.9973E-2"/>
    <n v="2.9973E-2"/>
    <n v="0"/>
    <n v="0"/>
    <n v="9.0622779999999992"/>
    <n v="16.037673000000002"/>
    <n v="0"/>
  </r>
  <r>
    <n v="2024"/>
    <s v="02"/>
    <s v="02/01/2024"/>
    <x v="25"/>
    <x v="9"/>
    <n v="63.919368390000002"/>
    <n v="63.919368390000002"/>
    <n v="0"/>
    <n v="14.208004970000001"/>
    <n v="2.62138955"/>
    <n v="0"/>
    <n v="0"/>
    <n v="0"/>
    <n v="0"/>
    <n v="0"/>
    <n v="0"/>
    <n v="0"/>
    <n v="0"/>
  </r>
  <r>
    <n v="2024"/>
    <s v="02"/>
    <s v="02/01/2024"/>
    <x v="25"/>
    <x v="10"/>
    <n v="115.85732299999999"/>
    <n v="115.85732299999999"/>
    <n v="0"/>
    <n v="165.34315900000001"/>
    <n v="0"/>
    <n v="0"/>
    <n v="0"/>
    <n v="0"/>
    <n v="0"/>
    <n v="0"/>
    <n v="0"/>
    <n v="0"/>
    <n v="0"/>
  </r>
  <r>
    <n v="2024"/>
    <s v="02"/>
    <s v="02/01/2024"/>
    <x v="25"/>
    <x v="44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11"/>
    <n v="1.4293999999999999E-2"/>
    <n v="1.4293999999999999E-2"/>
    <n v="0"/>
    <n v="102.391353"/>
    <n v="0.223132"/>
    <n v="0"/>
    <n v="0"/>
    <n v="0"/>
    <n v="0"/>
    <n v="0"/>
    <n v="0"/>
    <n v="0"/>
    <n v="0"/>
  </r>
  <r>
    <n v="2024"/>
    <s v="02"/>
    <s v="02/01/2024"/>
    <x v="25"/>
    <x v="12"/>
    <n v="327.67941530000002"/>
    <n v="327.67941530000002"/>
    <n v="0"/>
    <n v="1373.40238279"/>
    <n v="177.42420888999999"/>
    <n v="0"/>
    <n v="0"/>
    <n v="0"/>
    <n v="0"/>
    <n v="0"/>
    <n v="0"/>
    <n v="0"/>
    <n v="0"/>
  </r>
  <r>
    <n v="2024"/>
    <s v="02"/>
    <s v="02/01/2024"/>
    <x v="25"/>
    <x v="13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14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15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16"/>
    <n v="8.6389090000000002E-2"/>
    <n v="8.6389090000000002E-2"/>
    <n v="0"/>
    <n v="0"/>
    <n v="0"/>
    <n v="0"/>
    <n v="0"/>
    <n v="0"/>
    <n v="0"/>
    <n v="0"/>
    <n v="0"/>
    <n v="0"/>
    <n v="0"/>
  </r>
  <r>
    <n v="2024"/>
    <s v="02"/>
    <s v="02/01/2024"/>
    <x v="25"/>
    <x v="17"/>
    <n v="25.161080999999999"/>
    <n v="25.161080999999999"/>
    <n v="0"/>
    <n v="0"/>
    <n v="0"/>
    <n v="0"/>
    <n v="0"/>
    <n v="0"/>
    <n v="0"/>
    <n v="0"/>
    <n v="0"/>
    <n v="0"/>
    <n v="0"/>
  </r>
  <r>
    <n v="2024"/>
    <s v="02"/>
    <s v="02/01/2024"/>
    <x v="25"/>
    <x v="19"/>
    <n v="0"/>
    <n v="0"/>
    <n v="0"/>
    <n v="1019.85677441"/>
    <n v="9.3305000000000003E-3"/>
    <n v="0"/>
    <n v="0"/>
    <n v="0"/>
    <n v="0"/>
    <n v="0"/>
    <n v="0"/>
    <n v="0"/>
    <n v="0"/>
  </r>
  <r>
    <n v="2024"/>
    <s v="02"/>
    <s v="02/01/2024"/>
    <x v="25"/>
    <x v="20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21"/>
    <n v="0"/>
    <n v="0"/>
    <n v="0"/>
    <n v="332.71005400000001"/>
    <n v="0"/>
    <n v="0"/>
    <n v="0"/>
    <n v="0"/>
    <n v="0"/>
    <n v="0"/>
    <n v="24.263349999999999"/>
    <n v="0"/>
    <n v="0"/>
  </r>
  <r>
    <n v="2024"/>
    <s v="02"/>
    <s v="02/01/2024"/>
    <x v="25"/>
    <x v="22"/>
    <n v="0"/>
    <n v="0"/>
    <n v="0"/>
    <n v="7.9999999999999996E-6"/>
    <n v="0"/>
    <n v="0"/>
    <n v="0"/>
    <n v="0"/>
    <n v="0"/>
    <n v="0"/>
    <n v="0"/>
    <n v="0"/>
    <n v="0"/>
  </r>
  <r>
    <n v="2024"/>
    <s v="02"/>
    <s v="02/01/2024"/>
    <x v="25"/>
    <x v="23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24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25"/>
    <n v="0"/>
    <n v="0"/>
    <n v="0"/>
    <n v="15.04840875"/>
    <n v="0.15356987999999999"/>
    <n v="0"/>
    <n v="0"/>
    <n v="0"/>
    <n v="0"/>
    <n v="0"/>
    <n v="0"/>
    <n v="0"/>
    <n v="0"/>
  </r>
  <r>
    <n v="2024"/>
    <s v="02"/>
    <s v="02/01/2024"/>
    <x v="25"/>
    <x v="26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27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28"/>
    <n v="0"/>
    <n v="0"/>
    <n v="0"/>
    <n v="29.476811000000001"/>
    <n v="0"/>
    <n v="0"/>
    <n v="0"/>
    <n v="0"/>
    <n v="0"/>
    <n v="0"/>
    <n v="0"/>
    <n v="0"/>
    <n v="0"/>
  </r>
  <r>
    <n v="2024"/>
    <s v="02"/>
    <s v="02/01/2024"/>
    <x v="25"/>
    <x v="29"/>
    <n v="0"/>
    <n v="0"/>
    <n v="0"/>
    <n v="3.1184E-2"/>
    <n v="0"/>
    <n v="0"/>
    <n v="0"/>
    <n v="0"/>
    <n v="0"/>
    <n v="0"/>
    <n v="0"/>
    <n v="0"/>
    <n v="0"/>
  </r>
  <r>
    <n v="2024"/>
    <s v="02"/>
    <s v="02/01/2024"/>
    <x v="25"/>
    <x v="30"/>
    <n v="2.5612544900000001"/>
    <n v="0.38600514000000002"/>
    <n v="2.1752493500000001"/>
    <n v="2.9516705000000001"/>
    <n v="0.11574717"/>
    <n v="0"/>
    <n v="0"/>
    <n v="0"/>
    <n v="0"/>
    <n v="0"/>
    <n v="3.9301513699999999"/>
    <n v="0.16998778"/>
    <n v="0"/>
  </r>
  <r>
    <n v="2024"/>
    <s v="02"/>
    <s v="02/01/2024"/>
    <x v="25"/>
    <x v="31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32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33"/>
    <n v="0"/>
    <n v="0"/>
    <n v="0"/>
    <n v="5.1401300000000001"/>
    <n v="0"/>
    <n v="0"/>
    <n v="0"/>
    <n v="0"/>
    <n v="0"/>
    <n v="0"/>
    <n v="2.5718999999999999E-2"/>
    <n v="0"/>
    <n v="0"/>
  </r>
  <r>
    <n v="2024"/>
    <s v="02"/>
    <s v="02/01/2024"/>
    <x v="25"/>
    <x v="34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35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36"/>
    <n v="1.2066877"/>
    <n v="1.2066877"/>
    <n v="0"/>
    <n v="0"/>
    <n v="0"/>
    <n v="0"/>
    <n v="0"/>
    <n v="0"/>
    <n v="0"/>
    <n v="0"/>
    <n v="0"/>
    <n v="0"/>
    <n v="0"/>
  </r>
  <r>
    <n v="2024"/>
    <s v="02"/>
    <s v="02/01/2024"/>
    <x v="25"/>
    <x v="37"/>
    <n v="13.867549519999999"/>
    <n v="13.867549519999999"/>
    <n v="0"/>
    <n v="0"/>
    <n v="0"/>
    <n v="0"/>
    <n v="1.0046290000000001E-2"/>
    <n v="1.0046290000000001E-2"/>
    <n v="0"/>
    <n v="0"/>
    <n v="0"/>
    <n v="0"/>
    <n v="0"/>
  </r>
  <r>
    <n v="2024"/>
    <s v="02"/>
    <s v="02/01/2024"/>
    <x v="25"/>
    <x v="38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39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40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41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42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45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43"/>
    <n v="0"/>
    <n v="0"/>
    <n v="0"/>
    <n v="0"/>
    <n v="0"/>
    <n v="0"/>
    <n v="0"/>
    <n v="0"/>
    <n v="0"/>
    <n v="0"/>
    <n v="0"/>
    <n v="0"/>
    <n v="0"/>
  </r>
  <r>
    <n v="2024"/>
    <s v="02"/>
    <s v="02/01/2024"/>
    <x v="25"/>
    <x v="46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0"/>
    <n v="3034.0123611500003"/>
    <n v="3023.0269224399999"/>
    <n v="9.8794492300000005"/>
    <n v="10181.484792409999"/>
    <n v="447.23121073999999"/>
    <n v="38.953546750000001"/>
    <n v="0.18348100000000001"/>
    <n v="0.18348100000000001"/>
    <n v="0"/>
    <n v="0"/>
    <n v="99.364640909999991"/>
    <n v="35.553420430000003"/>
    <n v="0"/>
  </r>
  <r>
    <n v="2024"/>
    <s v="03"/>
    <s v="03/01/2024"/>
    <x v="26"/>
    <x v="1"/>
    <n v="71.154156880000002"/>
    <n v="71.154156880000002"/>
    <n v="0"/>
    <n v="270.13839658999996"/>
    <n v="35.856648880000002"/>
    <n v="38.953546750000001"/>
    <n v="0"/>
    <n v="0"/>
    <n v="0"/>
    <n v="0"/>
    <n v="0"/>
    <n v="0"/>
    <n v="0"/>
  </r>
  <r>
    <n v="2024"/>
    <s v="03"/>
    <s v="03/01/2024"/>
    <x v="26"/>
    <x v="2"/>
    <n v="415.31052786999999"/>
    <n v="414.98172429000005"/>
    <n v="0.26548709999999998"/>
    <n v="3720.8160949399999"/>
    <n v="30.31936936"/>
    <n v="0"/>
    <n v="0"/>
    <n v="0"/>
    <n v="0"/>
    <n v="0"/>
    <n v="0"/>
    <n v="0"/>
    <n v="0"/>
  </r>
  <r>
    <n v="2024"/>
    <s v="03"/>
    <s v="03/01/2024"/>
    <x v="26"/>
    <x v="3"/>
    <n v="740.091498"/>
    <n v="740.091498"/>
    <n v="0"/>
    <n v="2029.38978"/>
    <n v="95.181537000000006"/>
    <n v="0"/>
    <n v="0.110391"/>
    <n v="0.110391"/>
    <n v="0"/>
    <n v="0"/>
    <n v="31.584358999999999"/>
    <n v="5.6756520000000004"/>
    <n v="0"/>
  </r>
  <r>
    <n v="2024"/>
    <s v="03"/>
    <s v="03/01/2024"/>
    <x v="26"/>
    <x v="4"/>
    <n v="454.00895400000002"/>
    <n v="452.96628099999998"/>
    <n v="0"/>
    <n v="889.30512199999998"/>
    <n v="32.939298000000001"/>
    <n v="0"/>
    <n v="0"/>
    <n v="0"/>
    <n v="0"/>
    <n v="0"/>
    <n v="35.823486000000003"/>
    <n v="17.370526999999999"/>
    <n v="0"/>
  </r>
  <r>
    <n v="2024"/>
    <s v="03"/>
    <s v="03/01/2024"/>
    <x v="26"/>
    <x v="5"/>
    <n v="36.761880249999997"/>
    <n v="36.761880249999997"/>
    <n v="0"/>
    <n v="41.902621170000003"/>
    <n v="3.1582614900000001"/>
    <n v="0"/>
    <n v="0"/>
    <n v="0"/>
    <n v="0"/>
    <n v="0"/>
    <n v="0"/>
    <n v="0.45496846999999996"/>
    <n v="0"/>
  </r>
  <r>
    <n v="2024"/>
    <s v="03"/>
    <s v="03/01/2024"/>
    <x v="26"/>
    <x v="6"/>
    <n v="0"/>
    <n v="0"/>
    <n v="0"/>
    <n v="9.2187359999999998"/>
    <n v="1.6670000000000001E-3"/>
    <n v="0"/>
    <n v="0"/>
    <n v="0"/>
    <n v="0"/>
    <n v="0"/>
    <n v="0"/>
    <n v="0"/>
    <n v="0"/>
  </r>
  <r>
    <n v="2024"/>
    <s v="03"/>
    <s v="03/01/2024"/>
    <x v="26"/>
    <x v="7"/>
    <n v="12.975320999999999"/>
    <n v="12.975320999999999"/>
    <n v="0"/>
    <n v="1.4796309999999999"/>
    <n v="0"/>
    <n v="0"/>
    <n v="0"/>
    <n v="0"/>
    <n v="0"/>
    <n v="0"/>
    <n v="0"/>
    <n v="0"/>
    <n v="0"/>
  </r>
  <r>
    <n v="2024"/>
    <s v="03"/>
    <s v="03/01/2024"/>
    <x v="26"/>
    <x v="8"/>
    <n v="0.71143500000000004"/>
    <n v="0.71143500000000004"/>
    <n v="0"/>
    <n v="157.83381900000001"/>
    <n v="22.494160999999998"/>
    <n v="0"/>
    <n v="7.3090000000000002E-2"/>
    <n v="7.3090000000000002E-2"/>
    <n v="0"/>
    <n v="0"/>
    <n v="11.741175999999999"/>
    <n v="12.036047"/>
    <n v="0"/>
  </r>
  <r>
    <n v="2024"/>
    <s v="03"/>
    <s v="03/01/2024"/>
    <x v="26"/>
    <x v="9"/>
    <n v="19.973696780000001"/>
    <n v="19.973696780000001"/>
    <n v="0"/>
    <n v="115.13369440000001"/>
    <n v="0.68116296999999992"/>
    <n v="0"/>
    <n v="0"/>
    <n v="0"/>
    <n v="0"/>
    <n v="0"/>
    <n v="0"/>
    <n v="0"/>
    <n v="0"/>
  </r>
  <r>
    <n v="2024"/>
    <s v="03"/>
    <s v="03/01/2024"/>
    <x v="26"/>
    <x v="10"/>
    <n v="0"/>
    <n v="0"/>
    <n v="0"/>
    <n v="148.40714800000001"/>
    <n v="0"/>
    <n v="0"/>
    <n v="0"/>
    <n v="0"/>
    <n v="0"/>
    <n v="0"/>
    <n v="0"/>
    <n v="0"/>
    <n v="0"/>
  </r>
  <r>
    <n v="2024"/>
    <s v="03"/>
    <s v="03/01/2024"/>
    <x v="26"/>
    <x v="44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11"/>
    <n v="6.7219999999999997E-3"/>
    <n v="6.7219999999999997E-3"/>
    <n v="0"/>
    <n v="85.559607"/>
    <n v="1.5077999999999999E-2"/>
    <n v="0"/>
    <n v="0"/>
    <n v="0"/>
    <n v="0"/>
    <n v="0"/>
    <n v="0"/>
    <n v="0"/>
    <n v="0"/>
  </r>
  <r>
    <n v="2024"/>
    <s v="03"/>
    <s v="03/01/2024"/>
    <x v="26"/>
    <x v="12"/>
    <n v="75.302616610000001"/>
    <n v="75.302616610000001"/>
    <n v="0"/>
    <n v="1347.1370077399999"/>
    <n v="226.18117419999999"/>
    <n v="0"/>
    <n v="0"/>
    <n v="0"/>
    <n v="0"/>
    <n v="0"/>
    <n v="0"/>
    <n v="0"/>
    <n v="0"/>
  </r>
  <r>
    <n v="2024"/>
    <s v="03"/>
    <s v="03/01/2024"/>
    <x v="26"/>
    <x v="13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14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15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16"/>
    <n v="0.12456848"/>
    <n v="0.12375492"/>
    <n v="8.1355999999999996E-4"/>
    <n v="0"/>
    <n v="0"/>
    <n v="0"/>
    <n v="0"/>
    <n v="0"/>
    <n v="0"/>
    <n v="0"/>
    <n v="0"/>
    <n v="0"/>
    <n v="0"/>
  </r>
  <r>
    <n v="2024"/>
    <s v="03"/>
    <s v="03/01/2024"/>
    <x v="26"/>
    <x v="17"/>
    <n v="25.136571"/>
    <n v="25.136571"/>
    <n v="0"/>
    <n v="0"/>
    <n v="0"/>
    <n v="0"/>
    <n v="0"/>
    <n v="0"/>
    <n v="0"/>
    <n v="0"/>
    <n v="0"/>
    <n v="0"/>
    <n v="0"/>
  </r>
  <r>
    <n v="2024"/>
    <s v="03"/>
    <s v="03/01/2024"/>
    <x v="26"/>
    <x v="19"/>
    <n v="0"/>
    <n v="0"/>
    <n v="0"/>
    <n v="947.80158007"/>
    <n v="3.2208239999999999E-2"/>
    <n v="0"/>
    <n v="0"/>
    <n v="0"/>
    <n v="0"/>
    <n v="0"/>
    <n v="0"/>
    <n v="0"/>
    <n v="0"/>
  </r>
  <r>
    <n v="2024"/>
    <s v="03"/>
    <s v="03/01/2024"/>
    <x v="26"/>
    <x v="20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21"/>
    <n v="0"/>
    <n v="0"/>
    <n v="0"/>
    <n v="344.01599499999998"/>
    <n v="0"/>
    <n v="0"/>
    <n v="0"/>
    <n v="0"/>
    <n v="0"/>
    <n v="0"/>
    <n v="14.910985"/>
    <n v="0"/>
    <n v="0"/>
  </r>
  <r>
    <n v="2024"/>
    <s v="03"/>
    <s v="03/01/2024"/>
    <x v="26"/>
    <x v="22"/>
    <n v="1155.2851499999999"/>
    <n v="1155.2851499999999"/>
    <n v="0"/>
    <n v="6.9999999999999999E-6"/>
    <n v="0"/>
    <n v="0"/>
    <n v="0"/>
    <n v="0"/>
    <n v="0"/>
    <n v="0"/>
    <n v="0"/>
    <n v="0"/>
    <n v="0"/>
  </r>
  <r>
    <n v="2024"/>
    <s v="03"/>
    <s v="03/01/2024"/>
    <x v="26"/>
    <x v="23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24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25"/>
    <n v="0"/>
    <n v="0"/>
    <n v="0"/>
    <n v="10.053164900000001"/>
    <n v="0.35120903999999997"/>
    <n v="0"/>
    <n v="0"/>
    <n v="0"/>
    <n v="0"/>
    <n v="0"/>
    <n v="0"/>
    <n v="0"/>
    <n v="0"/>
  </r>
  <r>
    <n v="2024"/>
    <s v="03"/>
    <s v="03/01/2024"/>
    <x v="26"/>
    <x v="26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27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28"/>
    <n v="0"/>
    <n v="0"/>
    <n v="0"/>
    <n v="45.609363999999999"/>
    <n v="0"/>
    <n v="0"/>
    <n v="0"/>
    <n v="0"/>
    <n v="0"/>
    <n v="0"/>
    <n v="0"/>
    <n v="0"/>
    <n v="0"/>
  </r>
  <r>
    <n v="2024"/>
    <s v="03"/>
    <s v="03/01/2024"/>
    <x v="26"/>
    <x v="29"/>
    <n v="0"/>
    <n v="0"/>
    <n v="0"/>
    <n v="13.037756"/>
    <n v="0"/>
    <n v="0"/>
    <n v="0"/>
    <n v="0"/>
    <n v="0"/>
    <n v="0"/>
    <n v="0"/>
    <n v="0"/>
    <n v="0"/>
  </r>
  <r>
    <n v="2024"/>
    <s v="03"/>
    <s v="03/01/2024"/>
    <x v="26"/>
    <x v="30"/>
    <n v="5.0403549500000002"/>
    <n v="4.0362567299999998"/>
    <n v="1.0040982199999999"/>
    <n v="1.6077636000000002"/>
    <n v="1.9435560000000001E-2"/>
    <n v="0"/>
    <n v="0"/>
    <n v="0"/>
    <n v="0"/>
    <n v="0"/>
    <n v="5.28128391"/>
    <n v="1.6225959999999998E-2"/>
    <n v="0"/>
  </r>
  <r>
    <n v="2024"/>
    <s v="03"/>
    <s v="03/01/2024"/>
    <x v="26"/>
    <x v="31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32"/>
    <n v="9.7822823299999992"/>
    <n v="1.17323198"/>
    <n v="8.6090503500000004"/>
    <n v="0"/>
    <n v="0"/>
    <n v="0"/>
    <n v="0"/>
    <n v="0"/>
    <n v="0"/>
    <n v="0"/>
    <n v="0"/>
    <n v="0"/>
    <n v="0"/>
  </r>
  <r>
    <n v="2024"/>
    <s v="03"/>
    <s v="03/01/2024"/>
    <x v="26"/>
    <x v="33"/>
    <n v="0"/>
    <n v="0"/>
    <n v="0"/>
    <n v="3.0375040000000002"/>
    <n v="0"/>
    <n v="0"/>
    <n v="0"/>
    <n v="0"/>
    <n v="0"/>
    <n v="0"/>
    <n v="2.3351E-2"/>
    <n v="0"/>
    <n v="0"/>
  </r>
  <r>
    <n v="2024"/>
    <s v="03"/>
    <s v="03/01/2024"/>
    <x v="26"/>
    <x v="34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35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36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37"/>
    <n v="12.346626000000001"/>
    <n v="12.346626000000001"/>
    <n v="0"/>
    <n v="0"/>
    <n v="0"/>
    <n v="0"/>
    <n v="0"/>
    <n v="0"/>
    <n v="0"/>
    <n v="0"/>
    <n v="0"/>
    <n v="0"/>
    <n v="0"/>
  </r>
  <r>
    <n v="2024"/>
    <s v="03"/>
    <s v="03/01/2024"/>
    <x v="26"/>
    <x v="38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39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40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41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42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45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43"/>
    <n v="0"/>
    <n v="0"/>
    <n v="0"/>
    <n v="0"/>
    <n v="0"/>
    <n v="0"/>
    <n v="0"/>
    <n v="0"/>
    <n v="0"/>
    <n v="0"/>
    <n v="0"/>
    <n v="0"/>
    <n v="0"/>
  </r>
  <r>
    <n v="2024"/>
    <s v="03"/>
    <s v="03/01/2024"/>
    <x v="26"/>
    <x v="46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0"/>
    <n v="956.68022401999997"/>
    <n v="955.49823513000001"/>
    <n v="1.1817814799999999"/>
    <n v="10613.42787827"/>
    <n v="681.53722197000002"/>
    <n v="55.103554289999998"/>
    <n v="8.361118320000001"/>
    <n v="1.7436287399999999"/>
    <n v="6.61748958"/>
    <n v="0"/>
    <n v="125.16485748999999"/>
    <n v="51.573768880000003"/>
    <n v="0"/>
  </r>
  <r>
    <n v="2024"/>
    <s v="04"/>
    <s v="04/01/2024"/>
    <x v="27"/>
    <x v="1"/>
    <n v="222.91342468000002"/>
    <n v="222.91342468000002"/>
    <n v="0"/>
    <n v="445.83783791000002"/>
    <n v="68.496099670000007"/>
    <n v="55.103554289999998"/>
    <n v="0"/>
    <n v="0"/>
    <n v="0"/>
    <n v="0"/>
    <n v="0"/>
    <n v="0"/>
    <n v="0"/>
  </r>
  <r>
    <n v="2024"/>
    <s v="04"/>
    <s v="04/01/2024"/>
    <x v="27"/>
    <x v="2"/>
    <n v="177.16562311000001"/>
    <n v="177.16562311000001"/>
    <n v="0"/>
    <n v="3576.9363550500002"/>
    <n v="251.33150108000001"/>
    <n v="0"/>
    <n v="0"/>
    <n v="0"/>
    <n v="0"/>
    <n v="0"/>
    <n v="0"/>
    <n v="0"/>
    <n v="0"/>
  </r>
  <r>
    <n v="2024"/>
    <s v="04"/>
    <s v="04/01/2024"/>
    <x v="27"/>
    <x v="3"/>
    <n v="274.10614900000002"/>
    <n v="274.10614900000002"/>
    <n v="0"/>
    <n v="2071.6867649999999"/>
    <n v="125.10054"/>
    <n v="0"/>
    <n v="8.4693000000000004E-2"/>
    <n v="8.4693000000000004E-2"/>
    <n v="0"/>
    <n v="0"/>
    <n v="41.224035000000001"/>
    <n v="10.254211"/>
    <n v="0"/>
  </r>
  <r>
    <n v="2024"/>
    <s v="04"/>
    <s v="04/01/2024"/>
    <x v="27"/>
    <x v="4"/>
    <n v="47.585062999999998"/>
    <n v="47.585062999999998"/>
    <n v="0"/>
    <n v="963.17774099999997"/>
    <n v="33.774914000000003"/>
    <n v="0"/>
    <n v="0"/>
    <n v="0"/>
    <n v="0"/>
    <n v="0"/>
    <n v="54.680725000000002"/>
    <n v="17.466248"/>
    <n v="0"/>
  </r>
  <r>
    <n v="2024"/>
    <s v="04"/>
    <s v="04/01/2024"/>
    <x v="27"/>
    <x v="5"/>
    <n v="10.648109679999999"/>
    <n v="10.648109679999999"/>
    <n v="0"/>
    <n v="46.42567339"/>
    <n v="2.0965871799999998"/>
    <n v="0"/>
    <n v="0"/>
    <n v="0"/>
    <n v="0"/>
    <n v="0"/>
    <n v="0"/>
    <n v="0.40428563000000001"/>
    <n v="0"/>
  </r>
  <r>
    <n v="2024"/>
    <s v="04"/>
    <s v="04/01/2024"/>
    <x v="27"/>
    <x v="6"/>
    <n v="0"/>
    <n v="0"/>
    <n v="0"/>
    <n v="8.1512899999999995"/>
    <n v="1.258E-3"/>
    <n v="0"/>
    <n v="0"/>
    <n v="0"/>
    <n v="0"/>
    <n v="0"/>
    <n v="0"/>
    <n v="0"/>
    <n v="0"/>
  </r>
  <r>
    <n v="2024"/>
    <s v="04"/>
    <s v="04/01/2024"/>
    <x v="27"/>
    <x v="7"/>
    <n v="18.013110999999999"/>
    <n v="18.013110999999999"/>
    <n v="0"/>
    <n v="2.3306339999999999"/>
    <n v="0"/>
    <n v="0"/>
    <n v="0"/>
    <n v="0"/>
    <n v="0"/>
    <n v="0"/>
    <n v="0"/>
    <n v="0"/>
    <n v="0"/>
  </r>
  <r>
    <n v="2024"/>
    <s v="04"/>
    <s v="04/01/2024"/>
    <x v="27"/>
    <x v="8"/>
    <n v="0.16904"/>
    <n v="0.16904"/>
    <n v="0"/>
    <n v="235.693016"/>
    <n v="33.437455999999997"/>
    <n v="0"/>
    <n v="2.8349999999999998E-3"/>
    <n v="2.8349999999999998E-3"/>
    <n v="0"/>
    <n v="0"/>
    <n v="15.907197999999999"/>
    <n v="23.024771999999999"/>
    <n v="0"/>
  </r>
  <r>
    <n v="2024"/>
    <s v="04"/>
    <s v="04/01/2024"/>
    <x v="27"/>
    <x v="9"/>
    <n v="30.3630131"/>
    <n v="30.3630131"/>
    <n v="0"/>
    <n v="73.627235670000005"/>
    <n v="0.72238384"/>
    <n v="0"/>
    <n v="0"/>
    <n v="0"/>
    <n v="0"/>
    <n v="0"/>
    <n v="0"/>
    <n v="0"/>
    <n v="0"/>
  </r>
  <r>
    <n v="2024"/>
    <s v="04"/>
    <s v="04/01/2024"/>
    <x v="27"/>
    <x v="10"/>
    <n v="0"/>
    <n v="0"/>
    <n v="0"/>
    <n v="176.337648"/>
    <n v="0"/>
    <n v="0"/>
    <n v="0"/>
    <n v="0"/>
    <n v="0"/>
    <n v="0"/>
    <n v="0"/>
    <n v="0"/>
    <n v="0"/>
  </r>
  <r>
    <n v="2024"/>
    <s v="04"/>
    <s v="04/01/2024"/>
    <x v="27"/>
    <x v="44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11"/>
    <n v="0.43281199999999997"/>
    <n v="0.43281199999999997"/>
    <n v="0"/>
    <n v="89.207902000000004"/>
    <n v="1.9269000000000001E-2"/>
    <n v="0"/>
    <n v="0"/>
    <n v="0"/>
    <n v="0"/>
    <n v="0"/>
    <n v="0"/>
    <n v="0"/>
    <n v="0"/>
  </r>
  <r>
    <n v="2024"/>
    <s v="04"/>
    <s v="04/01/2024"/>
    <x v="27"/>
    <x v="12"/>
    <n v="138.32750862999998"/>
    <n v="138.32730122000001"/>
    <n v="0"/>
    <n v="1361.3140012700001"/>
    <n v="165.94356361000001"/>
    <n v="0"/>
    <n v="0"/>
    <n v="0"/>
    <n v="0"/>
    <n v="0"/>
    <n v="0"/>
    <n v="0"/>
    <n v="0"/>
  </r>
  <r>
    <n v="2024"/>
    <s v="04"/>
    <s v="04/01/2024"/>
    <x v="27"/>
    <x v="13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14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15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16"/>
    <n v="0"/>
    <n v="0"/>
    <n v="0"/>
    <n v="0"/>
    <n v="0"/>
    <n v="0"/>
    <n v="7.3646453699999999"/>
    <n v="0.74715578999999999"/>
    <n v="6.61748958"/>
    <n v="0"/>
    <n v="0"/>
    <n v="0"/>
    <n v="0"/>
  </r>
  <r>
    <n v="2024"/>
    <s v="04"/>
    <s v="04/01/2024"/>
    <x v="27"/>
    <x v="17"/>
    <n v="24.573226999999999"/>
    <n v="24.573226999999999"/>
    <n v="0"/>
    <n v="0"/>
    <n v="0"/>
    <n v="0"/>
    <n v="0"/>
    <n v="0"/>
    <n v="0"/>
    <n v="0"/>
    <n v="0"/>
    <n v="0"/>
    <n v="0"/>
  </r>
  <r>
    <n v="2024"/>
    <s v="04"/>
    <s v="04/01/2024"/>
    <x v="27"/>
    <x v="19"/>
    <n v="0"/>
    <n v="0"/>
    <n v="0"/>
    <n v="1176.83231105"/>
    <n v="5.5009300000000002E-3"/>
    <n v="0"/>
    <n v="0"/>
    <n v="0"/>
    <n v="0"/>
    <n v="0"/>
    <n v="0"/>
    <n v="0"/>
    <n v="0"/>
  </r>
  <r>
    <n v="2024"/>
    <s v="04"/>
    <s v="04/01/2024"/>
    <x v="27"/>
    <x v="20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21"/>
    <n v="0"/>
    <n v="0"/>
    <n v="0"/>
    <n v="325.83137799999997"/>
    <n v="0"/>
    <n v="0"/>
    <n v="0"/>
    <n v="0"/>
    <n v="0"/>
    <n v="0"/>
    <n v="8.1097540000000006"/>
    <n v="0"/>
    <n v="0"/>
  </r>
  <r>
    <n v="2024"/>
    <s v="04"/>
    <s v="04/01/2024"/>
    <x v="27"/>
    <x v="22"/>
    <n v="0.16119700000000001"/>
    <n v="0.16119700000000001"/>
    <n v="0"/>
    <n v="3.9999999999999998E-6"/>
    <n v="0"/>
    <n v="0"/>
    <n v="0"/>
    <n v="0"/>
    <n v="0"/>
    <n v="0"/>
    <n v="0"/>
    <n v="0"/>
    <n v="0"/>
  </r>
  <r>
    <n v="2024"/>
    <s v="04"/>
    <s v="04/01/2024"/>
    <x v="27"/>
    <x v="23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24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25"/>
    <n v="0"/>
    <n v="0"/>
    <n v="0"/>
    <n v="9.967197650000001"/>
    <n v="0.51004459000000002"/>
    <n v="0"/>
    <n v="0"/>
    <n v="0"/>
    <n v="0"/>
    <n v="0"/>
    <n v="0"/>
    <n v="0"/>
    <n v="0"/>
  </r>
  <r>
    <n v="2024"/>
    <s v="04"/>
    <s v="04/01/2024"/>
    <x v="27"/>
    <x v="26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27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28"/>
    <n v="0"/>
    <n v="0"/>
    <n v="0"/>
    <n v="37.672615"/>
    <n v="0"/>
    <n v="0"/>
    <n v="0"/>
    <n v="0"/>
    <n v="0"/>
    <n v="0"/>
    <n v="0"/>
    <n v="0"/>
    <n v="0"/>
  </r>
  <r>
    <n v="2024"/>
    <s v="04"/>
    <s v="04/01/2024"/>
    <x v="27"/>
    <x v="29"/>
    <n v="0"/>
    <n v="0"/>
    <n v="0"/>
    <n v="7.8978000000000007E-2"/>
    <n v="0"/>
    <n v="0"/>
    <n v="0"/>
    <n v="0"/>
    <n v="0"/>
    <n v="0"/>
    <n v="0"/>
    <n v="0"/>
    <n v="0"/>
  </r>
  <r>
    <n v="2024"/>
    <s v="04"/>
    <s v="04/01/2024"/>
    <x v="27"/>
    <x v="30"/>
    <n v="12.22194582"/>
    <n v="11.04016434"/>
    <n v="1.1817814799999999"/>
    <n v="5.9384952800000006"/>
    <n v="9.8104070000000002E-2"/>
    <n v="0"/>
    <n v="0"/>
    <n v="0"/>
    <n v="0"/>
    <n v="0"/>
    <n v="5.2431454899999999"/>
    <n v="0.42425225"/>
    <n v="0"/>
  </r>
  <r>
    <n v="2024"/>
    <s v="04"/>
    <s v="04/01/2024"/>
    <x v="27"/>
    <x v="31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32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33"/>
    <n v="0"/>
    <n v="0"/>
    <n v="0"/>
    <n v="6.3807999999999998"/>
    <n v="0"/>
    <n v="0"/>
    <n v="0"/>
    <n v="0"/>
    <n v="0"/>
    <n v="0"/>
    <n v="0"/>
    <n v="0"/>
    <n v="0"/>
  </r>
  <r>
    <n v="2024"/>
    <s v="04"/>
    <s v="04/01/2024"/>
    <x v="27"/>
    <x v="34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35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36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37"/>
    <n v="0"/>
    <n v="0"/>
    <n v="0"/>
    <n v="0"/>
    <n v="0"/>
    <n v="0"/>
    <n v="0.90894494999999997"/>
    <n v="0.90894494999999997"/>
    <n v="0"/>
    <n v="0"/>
    <n v="0"/>
    <n v="0"/>
    <n v="0"/>
  </r>
  <r>
    <n v="2024"/>
    <s v="04"/>
    <s v="04/01/2024"/>
    <x v="27"/>
    <x v="38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39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40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41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42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45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43"/>
    <n v="0"/>
    <n v="0"/>
    <n v="0"/>
    <n v="0"/>
    <n v="0"/>
    <n v="0"/>
    <n v="0"/>
    <n v="0"/>
    <n v="0"/>
    <n v="0"/>
    <n v="0"/>
    <n v="0"/>
    <n v="0"/>
  </r>
  <r>
    <n v="2024"/>
    <s v="04"/>
    <s v="04/01/2024"/>
    <x v="27"/>
    <x v="46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0"/>
    <n v="847.99709834999999"/>
    <n v="846.48197608999999"/>
    <n v="1.494383"/>
    <n v="9839.8841021799999"/>
    <n v="702.91968544000008"/>
    <n v="46.585197139999998"/>
    <n v="3.9505121700000001"/>
    <n v="3.9212440399999999"/>
    <n v="2.926813E-2"/>
    <n v="0"/>
    <n v="124.72044801999999"/>
    <n v="54.056319710000004"/>
    <n v="0"/>
  </r>
  <r>
    <n v="2024"/>
    <s v="05"/>
    <s v="05/01/2024"/>
    <x v="28"/>
    <x v="1"/>
    <n v="51.288373440000001"/>
    <n v="51.288373440000001"/>
    <n v="0"/>
    <n v="372.23055841000001"/>
    <n v="41.335280170000004"/>
    <n v="46.585197139999998"/>
    <n v="0"/>
    <n v="0"/>
    <n v="0"/>
    <n v="0"/>
    <n v="0"/>
    <n v="0"/>
    <n v="0"/>
  </r>
  <r>
    <n v="2024"/>
    <s v="05"/>
    <s v="05/01/2024"/>
    <x v="28"/>
    <x v="2"/>
    <n v="279.69134148000001"/>
    <n v="279.60714758"/>
    <n v="6.3485639999999996E-2"/>
    <n v="3736.42238112"/>
    <n v="140.58759017"/>
    <n v="0"/>
    <n v="0"/>
    <n v="0"/>
    <n v="0"/>
    <n v="0"/>
    <n v="0"/>
    <n v="0"/>
    <n v="0"/>
  </r>
  <r>
    <n v="2024"/>
    <s v="05"/>
    <s v="05/01/2024"/>
    <x v="28"/>
    <x v="3"/>
    <n v="228.966835"/>
    <n v="228.966835"/>
    <n v="0"/>
    <n v="1687.254514"/>
    <n v="177.704331"/>
    <n v="0"/>
    <n v="0"/>
    <n v="0"/>
    <n v="0"/>
    <n v="0"/>
    <n v="39.816271"/>
    <n v="4.6530129999999996"/>
    <n v="0"/>
  </r>
  <r>
    <n v="2024"/>
    <s v="05"/>
    <s v="05/01/2024"/>
    <x v="28"/>
    <x v="4"/>
    <n v="63.146780999999997"/>
    <n v="63.146749999999997"/>
    <n v="0"/>
    <n v="893.14646900000002"/>
    <n v="40.844470999999999"/>
    <n v="0"/>
    <n v="0"/>
    <n v="0"/>
    <n v="0"/>
    <n v="0"/>
    <n v="56.633844000000003"/>
    <n v="23.980117"/>
    <n v="0"/>
  </r>
  <r>
    <n v="2024"/>
    <s v="05"/>
    <s v="05/01/2024"/>
    <x v="28"/>
    <x v="5"/>
    <n v="11.80816594"/>
    <n v="11.80816594"/>
    <n v="0"/>
    <n v="48.513020009999998"/>
    <n v="0.95310581000000005"/>
    <n v="0"/>
    <n v="0"/>
    <n v="0"/>
    <n v="0"/>
    <n v="0"/>
    <n v="0"/>
    <n v="0.31776031999999999"/>
    <n v="0"/>
  </r>
  <r>
    <n v="2024"/>
    <s v="05"/>
    <s v="05/01/2024"/>
    <x v="28"/>
    <x v="6"/>
    <n v="0"/>
    <n v="0"/>
    <n v="0"/>
    <n v="10.765376"/>
    <n v="1.9919999999999998E-3"/>
    <n v="0"/>
    <n v="0"/>
    <n v="0"/>
    <n v="0"/>
    <n v="0"/>
    <n v="0"/>
    <n v="0"/>
    <n v="0"/>
  </r>
  <r>
    <n v="2024"/>
    <s v="05"/>
    <s v="05/01/2024"/>
    <x v="28"/>
    <x v="7"/>
    <n v="28.259499000000002"/>
    <n v="28.259499000000002"/>
    <n v="0"/>
    <n v="2.0957159999999999"/>
    <n v="1.1596599999999999"/>
    <n v="0"/>
    <n v="0"/>
    <n v="0"/>
    <n v="0"/>
    <n v="0"/>
    <n v="0"/>
    <n v="0"/>
    <n v="0"/>
  </r>
  <r>
    <n v="2024"/>
    <s v="05"/>
    <s v="05/01/2024"/>
    <x v="28"/>
    <x v="8"/>
    <n v="2.520375"/>
    <n v="2.520375"/>
    <n v="0"/>
    <n v="204.81688199999999"/>
    <n v="17.005019999999998"/>
    <n v="0"/>
    <n v="8.3029999999999996E-3"/>
    <n v="8.3029999999999996E-3"/>
    <n v="0"/>
    <n v="0"/>
    <n v="16.159476999999999"/>
    <n v="24.981217000000001"/>
    <n v="0"/>
  </r>
  <r>
    <n v="2024"/>
    <s v="05"/>
    <s v="05/01/2024"/>
    <x v="28"/>
    <x v="9"/>
    <n v="14.931954279999999"/>
    <n v="14.931954279999999"/>
    <n v="0"/>
    <n v="73.443410270000001"/>
    <n v="0.57387765000000002"/>
    <n v="0"/>
    <n v="0"/>
    <n v="0"/>
    <n v="0"/>
    <n v="0"/>
    <n v="0"/>
    <n v="0"/>
    <n v="0"/>
  </r>
  <r>
    <n v="2024"/>
    <s v="05"/>
    <s v="05/01/2024"/>
    <x v="28"/>
    <x v="10"/>
    <n v="0"/>
    <n v="0"/>
    <n v="0"/>
    <n v="173.23462499999999"/>
    <n v="0"/>
    <n v="0"/>
    <n v="0"/>
    <n v="0"/>
    <n v="0"/>
    <n v="0"/>
    <n v="0"/>
    <n v="0"/>
    <n v="0"/>
  </r>
  <r>
    <n v="2024"/>
    <s v="05"/>
    <s v="05/01/2024"/>
    <x v="28"/>
    <x v="44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11"/>
    <n v="2.4077999999999999E-2"/>
    <n v="2.4077999999999999E-2"/>
    <n v="0"/>
    <n v="110.925546"/>
    <n v="1.519E-2"/>
    <n v="0"/>
    <n v="0"/>
    <n v="0"/>
    <n v="0"/>
    <n v="0"/>
    <n v="0"/>
    <n v="0"/>
    <n v="0"/>
  </r>
  <r>
    <n v="2024"/>
    <s v="05"/>
    <s v="05/01/2024"/>
    <x v="28"/>
    <x v="12"/>
    <n v="111.52415659"/>
    <n v="111.52415659"/>
    <n v="0"/>
    <n v="1154.77155831"/>
    <n v="243.57021644999998"/>
    <n v="0"/>
    <n v="0"/>
    <n v="0"/>
    <n v="0"/>
    <n v="0"/>
    <n v="0"/>
    <n v="0"/>
    <n v="0"/>
  </r>
  <r>
    <n v="2024"/>
    <s v="05"/>
    <s v="05/01/2024"/>
    <x v="28"/>
    <x v="13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14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15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16"/>
    <n v="0"/>
    <n v="0"/>
    <n v="0"/>
    <n v="0"/>
    <n v="0"/>
    <n v="0"/>
    <n v="0.60869534999999997"/>
    <n v="0.57942722999999996"/>
    <n v="2.9268119999999998E-2"/>
    <n v="0"/>
    <n v="0"/>
    <n v="0"/>
    <n v="0"/>
  </r>
  <r>
    <n v="2024"/>
    <s v="05"/>
    <s v="05/01/2024"/>
    <x v="28"/>
    <x v="17"/>
    <n v="43.268599999999999"/>
    <n v="43.268599999999999"/>
    <n v="0"/>
    <n v="0"/>
    <n v="0"/>
    <n v="0"/>
    <n v="3.2821630000000002"/>
    <n v="3.2821630000000002"/>
    <n v="0"/>
    <n v="0"/>
    <n v="0"/>
    <n v="0"/>
    <n v="0"/>
  </r>
  <r>
    <n v="2024"/>
    <s v="05"/>
    <s v="05/01/2024"/>
    <x v="28"/>
    <x v="19"/>
    <n v="0"/>
    <n v="0"/>
    <n v="0"/>
    <n v="915.88296777999994"/>
    <n v="6.8750600000000005E-3"/>
    <n v="0"/>
    <n v="0"/>
    <n v="0"/>
    <n v="0"/>
    <n v="0"/>
    <n v="0"/>
    <n v="0"/>
    <n v="0"/>
  </r>
  <r>
    <n v="2024"/>
    <s v="05"/>
    <s v="05/01/2024"/>
    <x v="28"/>
    <x v="20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21"/>
    <n v="0"/>
    <n v="0"/>
    <n v="0"/>
    <n v="393.364687"/>
    <n v="0"/>
    <n v="0"/>
    <n v="0"/>
    <n v="0"/>
    <n v="0"/>
    <n v="0"/>
    <n v="7.7797340000000004"/>
    <n v="0"/>
    <n v="0"/>
  </r>
  <r>
    <n v="2024"/>
    <s v="05"/>
    <s v="05/01/2024"/>
    <x v="28"/>
    <x v="22"/>
    <n v="0"/>
    <n v="0"/>
    <n v="0"/>
    <n v="6.0000000000000002E-6"/>
    <n v="0"/>
    <n v="0"/>
    <n v="0"/>
    <n v="0"/>
    <n v="0"/>
    <n v="0"/>
    <n v="0"/>
    <n v="0"/>
    <n v="0"/>
  </r>
  <r>
    <n v="2024"/>
    <s v="05"/>
    <s v="05/01/2024"/>
    <x v="28"/>
    <x v="23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24"/>
    <n v="2.292697"/>
    <n v="2.292697"/>
    <n v="0"/>
    <n v="0"/>
    <n v="0"/>
    <n v="0"/>
    <n v="0"/>
    <n v="0"/>
    <n v="0"/>
    <n v="0"/>
    <n v="0"/>
    <n v="0"/>
    <n v="0"/>
  </r>
  <r>
    <n v="2024"/>
    <s v="05"/>
    <s v="05/01/2024"/>
    <x v="28"/>
    <x v="25"/>
    <n v="0"/>
    <n v="0"/>
    <n v="0"/>
    <n v="12.595697640000001"/>
    <n v="1.71335302"/>
    <n v="0"/>
    <n v="0"/>
    <n v="0"/>
    <n v="0"/>
    <n v="0"/>
    <n v="0"/>
    <n v="0"/>
    <n v="0"/>
  </r>
  <r>
    <n v="2024"/>
    <s v="05"/>
    <s v="05/01/2024"/>
    <x v="28"/>
    <x v="26"/>
    <n v="0"/>
    <n v="0"/>
    <n v="0"/>
    <n v="1.1624611899999999"/>
    <n v="0"/>
    <n v="0"/>
    <n v="1E-8"/>
    <n v="0"/>
    <n v="1E-8"/>
    <n v="0"/>
    <n v="4.8579E-4"/>
    <n v="0"/>
    <n v="0"/>
  </r>
  <r>
    <n v="2024"/>
    <s v="05"/>
    <s v="05/01/2024"/>
    <x v="28"/>
    <x v="27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28"/>
    <n v="0"/>
    <n v="0"/>
    <n v="0"/>
    <n v="33.82526"/>
    <n v="0"/>
    <n v="0"/>
    <n v="0"/>
    <n v="0"/>
    <n v="0"/>
    <n v="0"/>
    <n v="0"/>
    <n v="0"/>
    <n v="0"/>
  </r>
  <r>
    <n v="2024"/>
    <s v="05"/>
    <s v="05/01/2024"/>
    <x v="28"/>
    <x v="29"/>
    <n v="0"/>
    <n v="0"/>
    <n v="0"/>
    <n v="3.0776000000000001E-2"/>
    <n v="0"/>
    <n v="0"/>
    <n v="0"/>
    <n v="0"/>
    <n v="0"/>
    <n v="0"/>
    <n v="0"/>
    <n v="0"/>
    <n v="0"/>
  </r>
  <r>
    <n v="2024"/>
    <s v="05"/>
    <s v="05/01/2024"/>
    <x v="28"/>
    <x v="30"/>
    <n v="10.27424162"/>
    <n v="8.8433442600000003"/>
    <n v="1.4308973600000001"/>
    <n v="10.982058449999998"/>
    <n v="37.448723109999996"/>
    <n v="0"/>
    <n v="2.3430549999999998E-2"/>
    <n v="2.3430549999999998E-2"/>
    <n v="0"/>
    <n v="0"/>
    <n v="4.3022002300000004"/>
    <n v="0.12421239000000001"/>
    <n v="0"/>
  </r>
  <r>
    <n v="2024"/>
    <s v="05"/>
    <s v="05/01/2024"/>
    <x v="28"/>
    <x v="31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32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33"/>
    <n v="0"/>
    <n v="0"/>
    <n v="0"/>
    <n v="4.4201319999999997"/>
    <n v="0"/>
    <n v="0"/>
    <n v="0"/>
    <n v="0"/>
    <n v="0"/>
    <n v="0"/>
    <n v="2.8435999999999999E-2"/>
    <n v="0"/>
    <n v="0"/>
  </r>
  <r>
    <n v="2024"/>
    <s v="05"/>
    <s v="05/01/2024"/>
    <x v="28"/>
    <x v="34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35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36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37"/>
    <n v="0"/>
    <n v="0"/>
    <n v="0"/>
    <n v="0"/>
    <n v="0"/>
    <n v="0"/>
    <n v="2.7920259999999999E-2"/>
    <n v="2.7920259999999999E-2"/>
    <n v="0"/>
    <n v="0"/>
    <n v="0"/>
    <n v="0"/>
    <n v="0"/>
  </r>
  <r>
    <n v="2024"/>
    <s v="05"/>
    <s v="05/01/2024"/>
    <x v="28"/>
    <x v="38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39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40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41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42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45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43"/>
    <n v="0"/>
    <n v="0"/>
    <n v="0"/>
    <n v="0"/>
    <n v="0"/>
    <n v="0"/>
    <n v="0"/>
    <n v="0"/>
    <n v="0"/>
    <n v="0"/>
    <n v="0"/>
    <n v="0"/>
    <n v="0"/>
  </r>
  <r>
    <n v="2024"/>
    <s v="05"/>
    <s v="05/01/2024"/>
    <x v="28"/>
    <x v="46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0"/>
    <n v="2317.11230935"/>
    <n v="2306.5603198899998"/>
    <n v="10.551989460000001"/>
    <n v="9110.8363631699995"/>
    <n v="453.18031257000001"/>
    <n v="48.667009020000002"/>
    <n v="11.37083266"/>
    <n v="11.37083266"/>
    <n v="0"/>
    <n v="0"/>
    <n v="167.62965324000001"/>
    <n v="64.629718510000004"/>
    <n v="0"/>
  </r>
  <r>
    <n v="2024"/>
    <s v="06"/>
    <s v="06/01/2024"/>
    <x v="29"/>
    <x v="1"/>
    <n v="111.79868526999999"/>
    <n v="111.79868526999999"/>
    <n v="0"/>
    <n v="339.70817031999997"/>
    <n v="52.507083479999999"/>
    <n v="48.667009020000002"/>
    <n v="0"/>
    <n v="0"/>
    <n v="0"/>
    <n v="0"/>
    <n v="0"/>
    <n v="0"/>
    <n v="0"/>
  </r>
  <r>
    <n v="2024"/>
    <s v="06"/>
    <s v="06/01/2024"/>
    <x v="29"/>
    <x v="2"/>
    <n v="293.98101600000001"/>
    <n v="293.98101600000001"/>
    <n v="0"/>
    <n v="3631.3620430000001"/>
    <n v="34.568742"/>
    <n v="0"/>
    <n v="0"/>
    <n v="0"/>
    <n v="0"/>
    <n v="0"/>
    <n v="0"/>
    <n v="0"/>
    <n v="0"/>
  </r>
  <r>
    <n v="2024"/>
    <s v="06"/>
    <s v="06/01/2024"/>
    <x v="29"/>
    <x v="3"/>
    <n v="335.28167400000001"/>
    <n v="335.28167400000001"/>
    <n v="0"/>
    <n v="1503.5641760000001"/>
    <n v="158.886506"/>
    <n v="0"/>
    <n v="1.1212150000000001"/>
    <n v="1.1212150000000001"/>
    <n v="0"/>
    <n v="0"/>
    <n v="28.325109999999999"/>
    <n v="7.9811509999999997"/>
    <n v="0"/>
  </r>
  <r>
    <n v="2024"/>
    <s v="06"/>
    <s v="06/01/2024"/>
    <x v="29"/>
    <x v="4"/>
    <n v="581.42676500000005"/>
    <n v="581.42616599999997"/>
    <n v="5.9900000000000003E-4"/>
    <n v="924.20748400000002"/>
    <n v="35.490093999999999"/>
    <n v="0"/>
    <n v="0"/>
    <n v="0"/>
    <n v="0"/>
    <n v="0"/>
    <n v="46.442847"/>
    <n v="15.300182"/>
    <n v="0"/>
  </r>
  <r>
    <n v="2024"/>
    <s v="06"/>
    <s v="06/01/2024"/>
    <x v="29"/>
    <x v="5"/>
    <n v="415.96654141000005"/>
    <n v="415.96654141000005"/>
    <n v="0"/>
    <n v="52.454007149999995"/>
    <n v="2.9310052599999996"/>
    <n v="0"/>
    <n v="0"/>
    <n v="0"/>
    <n v="0"/>
    <n v="0"/>
    <n v="0"/>
    <n v="0.33415301000000003"/>
    <n v="0"/>
  </r>
  <r>
    <n v="2024"/>
    <s v="06"/>
    <s v="06/01/2024"/>
    <x v="29"/>
    <x v="6"/>
    <n v="0"/>
    <n v="0"/>
    <n v="0"/>
    <n v="9.5590320000000002"/>
    <n v="1.9959999999999999E-3"/>
    <n v="0"/>
    <n v="0"/>
    <n v="0"/>
    <n v="0"/>
    <n v="0"/>
    <n v="0"/>
    <n v="0"/>
    <n v="0"/>
  </r>
  <r>
    <n v="2024"/>
    <s v="06"/>
    <s v="06/01/2024"/>
    <x v="29"/>
    <x v="7"/>
    <n v="39.467444"/>
    <n v="39.467444"/>
    <n v="0"/>
    <n v="1.7998989999999999"/>
    <n v="0"/>
    <n v="0"/>
    <n v="0"/>
    <n v="0"/>
    <n v="0"/>
    <n v="0"/>
    <n v="0"/>
    <n v="0"/>
    <n v="0"/>
  </r>
  <r>
    <n v="2024"/>
    <s v="06"/>
    <s v="06/01/2024"/>
    <x v="29"/>
    <x v="8"/>
    <n v="0.32084800000000002"/>
    <n v="0.32084800000000002"/>
    <n v="0"/>
    <n v="134.18836099999999"/>
    <n v="11.407088"/>
    <n v="0"/>
    <n v="0"/>
    <n v="0"/>
    <n v="0"/>
    <n v="0"/>
    <n v="14.336425999999999"/>
    <n v="28.466277000000002"/>
    <n v="0"/>
  </r>
  <r>
    <n v="2024"/>
    <s v="06"/>
    <s v="06/01/2024"/>
    <x v="29"/>
    <x v="9"/>
    <n v="57.389620030000003"/>
    <n v="57.11876822"/>
    <n v="0.27085180999999997"/>
    <n v="68.816168180000005"/>
    <n v="3.9666782400000002"/>
    <n v="0"/>
    <n v="0"/>
    <n v="0"/>
    <n v="0"/>
    <n v="0"/>
    <n v="0"/>
    <n v="0"/>
    <n v="0"/>
  </r>
  <r>
    <n v="2024"/>
    <s v="06"/>
    <s v="06/01/2024"/>
    <x v="29"/>
    <x v="10"/>
    <n v="0"/>
    <n v="0"/>
    <n v="0"/>
    <n v="156.961412"/>
    <n v="0"/>
    <n v="0"/>
    <n v="0"/>
    <n v="0"/>
    <n v="0"/>
    <n v="0"/>
    <n v="0"/>
    <n v="0"/>
    <n v="0"/>
  </r>
  <r>
    <n v="2024"/>
    <s v="06"/>
    <s v="06/01/2024"/>
    <x v="29"/>
    <x v="44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11"/>
    <n v="1.83E-4"/>
    <n v="1.83E-4"/>
    <n v="0"/>
    <n v="85.190715999999995"/>
    <n v="5.4350999999999997E-2"/>
    <n v="0"/>
    <n v="0"/>
    <n v="0"/>
    <n v="0"/>
    <n v="0"/>
    <n v="0"/>
    <n v="0"/>
    <n v="0"/>
  </r>
  <r>
    <n v="2024"/>
    <s v="06"/>
    <s v="06/01/2024"/>
    <x v="29"/>
    <x v="12"/>
    <n v="61.871041840000004"/>
    <n v="61.871041840000004"/>
    <n v="0"/>
    <n v="1041.8408038"/>
    <n v="147.90525668000001"/>
    <n v="0"/>
    <n v="7.79113831"/>
    <n v="7.79113831"/>
    <n v="0"/>
    <n v="0"/>
    <n v="66.549384469999993"/>
    <n v="12.12521946"/>
    <n v="0"/>
  </r>
  <r>
    <n v="2024"/>
    <s v="06"/>
    <s v="06/01/2024"/>
    <x v="29"/>
    <x v="13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14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15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16"/>
    <n v="0"/>
    <n v="0"/>
    <n v="0"/>
    <n v="0"/>
    <n v="0"/>
    <n v="0"/>
    <n v="2.4584793500000002"/>
    <n v="2.4584793500000002"/>
    <n v="0"/>
    <n v="0"/>
    <n v="0"/>
    <n v="0"/>
    <n v="0"/>
  </r>
  <r>
    <n v="2024"/>
    <s v="06"/>
    <s v="06/01/2024"/>
    <x v="29"/>
    <x v="17"/>
    <n v="22.528182000000001"/>
    <n v="21.526506999999999"/>
    <n v="1.0016750000000001"/>
    <n v="2.3512840000000002"/>
    <n v="0"/>
    <n v="0"/>
    <n v="0"/>
    <n v="0"/>
    <n v="0"/>
    <n v="0"/>
    <n v="0"/>
    <n v="0"/>
    <n v="0"/>
  </r>
  <r>
    <n v="2024"/>
    <s v="06"/>
    <s v="06/01/2024"/>
    <x v="29"/>
    <x v="19"/>
    <n v="0"/>
    <n v="0"/>
    <n v="0"/>
    <n v="739.1687028099999"/>
    <n v="4.7825799999999998E-3"/>
    <n v="0"/>
    <n v="0"/>
    <n v="0"/>
    <n v="0"/>
    <n v="0"/>
    <n v="0"/>
    <n v="0"/>
    <n v="0"/>
  </r>
  <r>
    <n v="2024"/>
    <s v="06"/>
    <s v="06/01/2024"/>
    <x v="29"/>
    <x v="20"/>
    <n v="3.2068634"/>
    <n v="3.2068634"/>
    <n v="0"/>
    <n v="8.2030871699999999"/>
    <n v="4.9707884099999999"/>
    <n v="0"/>
    <n v="0"/>
    <n v="0"/>
    <n v="0"/>
    <n v="0"/>
    <n v="0"/>
    <n v="0"/>
    <n v="0"/>
  </r>
  <r>
    <n v="2024"/>
    <s v="06"/>
    <s v="06/01/2024"/>
    <x v="29"/>
    <x v="21"/>
    <n v="0"/>
    <n v="0"/>
    <n v="0"/>
    <n v="345.10319399999997"/>
    <n v="0"/>
    <n v="0"/>
    <n v="0"/>
    <n v="0"/>
    <n v="0"/>
    <n v="0"/>
    <n v="7.0356240000000003"/>
    <n v="0"/>
    <n v="0"/>
  </r>
  <r>
    <n v="2024"/>
    <s v="06"/>
    <s v="06/01/2024"/>
    <x v="29"/>
    <x v="22"/>
    <n v="0"/>
    <n v="0"/>
    <n v="0"/>
    <n v="5.0000000000000004E-6"/>
    <n v="0"/>
    <n v="0"/>
    <n v="0"/>
    <n v="0"/>
    <n v="0"/>
    <n v="0"/>
    <n v="0"/>
    <n v="0"/>
    <n v="0"/>
  </r>
  <r>
    <n v="2024"/>
    <s v="06"/>
    <s v="06/01/2024"/>
    <x v="29"/>
    <x v="23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24"/>
    <n v="250.87329099999999"/>
    <n v="250.87329099999999"/>
    <n v="0"/>
    <n v="0"/>
    <n v="0"/>
    <n v="0"/>
    <n v="0"/>
    <n v="0"/>
    <n v="0"/>
    <n v="0"/>
    <n v="0"/>
    <n v="0"/>
    <n v="0"/>
  </r>
  <r>
    <n v="2024"/>
    <s v="06"/>
    <s v="06/01/2024"/>
    <x v="29"/>
    <x v="25"/>
    <n v="0"/>
    <n v="0"/>
    <n v="0"/>
    <n v="17.605541980000002"/>
    <n v="0.38247998"/>
    <n v="0"/>
    <n v="0"/>
    <n v="0"/>
    <n v="0"/>
    <n v="0"/>
    <n v="0"/>
    <n v="0"/>
    <n v="0"/>
  </r>
  <r>
    <n v="2024"/>
    <s v="06"/>
    <s v="06/01/2024"/>
    <x v="29"/>
    <x v="26"/>
    <n v="0"/>
    <n v="0"/>
    <n v="0"/>
    <n v="2.0259849999999999"/>
    <n v="0"/>
    <n v="0"/>
    <n v="0"/>
    <n v="0"/>
    <n v="0"/>
    <n v="0"/>
    <n v="0"/>
    <n v="0"/>
    <n v="0"/>
  </r>
  <r>
    <n v="2024"/>
    <s v="06"/>
    <s v="06/01/2024"/>
    <x v="29"/>
    <x v="27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28"/>
    <n v="0"/>
    <n v="0"/>
    <n v="0"/>
    <n v="37.816746000000002"/>
    <n v="0"/>
    <n v="0"/>
    <n v="0"/>
    <n v="0"/>
    <n v="0"/>
    <n v="0"/>
    <n v="0"/>
    <n v="0"/>
    <n v="0"/>
  </r>
  <r>
    <n v="2024"/>
    <s v="06"/>
    <s v="06/01/2024"/>
    <x v="29"/>
    <x v="29"/>
    <n v="0"/>
    <n v="0"/>
    <n v="0"/>
    <n v="3.696E-2"/>
    <n v="0"/>
    <n v="0"/>
    <n v="0"/>
    <n v="0"/>
    <n v="0"/>
    <n v="0"/>
    <n v="0"/>
    <n v="0"/>
    <n v="0"/>
  </r>
  <r>
    <n v="2024"/>
    <s v="06"/>
    <s v="06/01/2024"/>
    <x v="29"/>
    <x v="30"/>
    <n v="5.3126769600000001"/>
    <n v="3.1726357200000002"/>
    <n v="2.1400412400000004"/>
    <n v="2.2364497599999997"/>
    <n v="0.10346094"/>
    <n v="0"/>
    <n v="0"/>
    <n v="0"/>
    <n v="0"/>
    <n v="0"/>
    <n v="4.9366840199999995"/>
    <n v="0.42273603999999998"/>
    <n v="0"/>
  </r>
  <r>
    <n v="2024"/>
    <s v="06"/>
    <s v="06/01/2024"/>
    <x v="29"/>
    <x v="31"/>
    <n v="116.191677"/>
    <n v="116.191677"/>
    <n v="0"/>
    <n v="0"/>
    <n v="0"/>
    <n v="0"/>
    <n v="0"/>
    <n v="0"/>
    <n v="0"/>
    <n v="0"/>
    <n v="0"/>
    <n v="0"/>
    <n v="0"/>
  </r>
  <r>
    <n v="2024"/>
    <s v="06"/>
    <s v="06/01/2024"/>
    <x v="29"/>
    <x v="32"/>
    <n v="7.1388224100000004"/>
    <n v="0"/>
    <n v="7.1388224100000004"/>
    <n v="0"/>
    <n v="0"/>
    <n v="0"/>
    <n v="0"/>
    <n v="0"/>
    <n v="0"/>
    <n v="0"/>
    <n v="0"/>
    <n v="0"/>
    <n v="0"/>
  </r>
  <r>
    <n v="2024"/>
    <s v="06"/>
    <s v="06/01/2024"/>
    <x v="29"/>
    <x v="33"/>
    <n v="0"/>
    <n v="0"/>
    <n v="0"/>
    <n v="6.6361350000000003"/>
    <n v="0"/>
    <n v="0"/>
    <n v="0"/>
    <n v="0"/>
    <n v="0"/>
    <n v="0"/>
    <n v="3.424E-3"/>
    <n v="0"/>
    <n v="0"/>
  </r>
  <r>
    <n v="2024"/>
    <s v="06"/>
    <s v="06/01/2024"/>
    <x v="29"/>
    <x v="34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35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36"/>
    <n v="0.33333343999999998"/>
    <n v="0.33333343999999998"/>
    <n v="0"/>
    <n v="0"/>
    <n v="0"/>
    <n v="0"/>
    <n v="0"/>
    <n v="0"/>
    <n v="0"/>
    <n v="0"/>
    <n v="0"/>
    <n v="0"/>
    <n v="0"/>
  </r>
  <r>
    <n v="2024"/>
    <s v="06"/>
    <s v="06/01/2024"/>
    <x v="29"/>
    <x v="37"/>
    <n v="14.02364459"/>
    <n v="14.02364459"/>
    <n v="0"/>
    <n v="0"/>
    <n v="0"/>
    <n v="0"/>
    <n v="0"/>
    <n v="0"/>
    <n v="0"/>
    <n v="0"/>
    <n v="0"/>
    <n v="0"/>
    <n v="0"/>
  </r>
  <r>
    <n v="2024"/>
    <s v="06"/>
    <s v="06/01/2024"/>
    <x v="29"/>
    <x v="38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39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40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41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42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45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43"/>
    <n v="0"/>
    <n v="0"/>
    <n v="0"/>
    <n v="0"/>
    <n v="0"/>
    <n v="0"/>
    <n v="0"/>
    <n v="0"/>
    <n v="0"/>
    <n v="0"/>
    <n v="0"/>
    <n v="0"/>
    <n v="0"/>
  </r>
  <r>
    <n v="2024"/>
    <s v="06"/>
    <s v="06/01/2024"/>
    <x v="29"/>
    <x v="46"/>
    <n v="0"/>
    <n v="0"/>
    <n v="0"/>
    <n v="0"/>
    <n v="0"/>
    <n v="0"/>
    <n v="0"/>
    <n v="0"/>
    <n v="0"/>
    <n v="0"/>
    <n v="1.5375E-4"/>
    <n v="0"/>
    <n v="0"/>
  </r>
  <r>
    <n v="2024"/>
    <s v="07"/>
    <s v="07/01/2024"/>
    <x v="30"/>
    <x v="0"/>
    <n v="1272.8786710100001"/>
    <n v="1258.8535970400001"/>
    <n v="14.025073970000001"/>
    <n v="9727.824741280001"/>
    <n v="736.44195295000009"/>
    <n v="57.433335310000004"/>
    <n v="39.301570729999995"/>
    <n v="39.300002649999996"/>
    <n v="0"/>
    <n v="1.5680799999999999E-3"/>
    <n v="191.73102678000001"/>
    <n v="63.086667570000003"/>
    <n v="14.51835756"/>
  </r>
  <r>
    <n v="2024"/>
    <s v="07"/>
    <s v="07/01/2024"/>
    <x v="30"/>
    <x v="1"/>
    <n v="88.796010280000004"/>
    <n v="88.796010280000004"/>
    <n v="0"/>
    <n v="415.72060579999999"/>
    <n v="37.303098720000001"/>
    <n v="57.433335310000004"/>
    <n v="0"/>
    <n v="0"/>
    <n v="0"/>
    <n v="0"/>
    <n v="0"/>
    <n v="0"/>
    <n v="0"/>
  </r>
  <r>
    <n v="2024"/>
    <s v="07"/>
    <s v="07/01/2024"/>
    <x v="30"/>
    <x v="2"/>
    <n v="224.66479100000001"/>
    <n v="224.66479100000001"/>
    <n v="0"/>
    <n v="3628.2378749999998"/>
    <n v="279.93607700000001"/>
    <n v="0"/>
    <n v="0"/>
    <n v="0"/>
    <n v="0"/>
    <n v="0"/>
    <n v="0"/>
    <n v="0"/>
    <n v="0"/>
  </r>
  <r>
    <n v="2024"/>
    <s v="07"/>
    <s v="07/01/2024"/>
    <x v="30"/>
    <x v="3"/>
    <n v="441.52829700000001"/>
    <n v="441.52829700000001"/>
    <n v="0"/>
    <n v="1652.8187640000001"/>
    <n v="99.247247000000002"/>
    <n v="0"/>
    <n v="6.5750000000000003E-2"/>
    <n v="6.5750000000000003E-2"/>
    <n v="0"/>
    <n v="0"/>
    <n v="46.807386999999999"/>
    <n v="4.8695089999999999"/>
    <n v="0"/>
  </r>
  <r>
    <n v="2024"/>
    <s v="07"/>
    <s v="07/01/2024"/>
    <x v="30"/>
    <x v="4"/>
    <n v="82.801629000000005"/>
    <n v="82.801625000000001"/>
    <n v="3.9999999999999998E-6"/>
    <n v="998.69809699999996"/>
    <n v="48.724806000000001"/>
    <n v="0"/>
    <n v="0"/>
    <n v="0"/>
    <n v="0"/>
    <n v="0"/>
    <n v="48.530498000000001"/>
    <n v="19.744024"/>
    <n v="0"/>
  </r>
  <r>
    <n v="2024"/>
    <s v="07"/>
    <s v="07/01/2024"/>
    <x v="30"/>
    <x v="5"/>
    <n v="238.28342668000002"/>
    <n v="238.28342668000002"/>
    <n v="0"/>
    <n v="55.211708430000002"/>
    <n v="2.2079117699999999"/>
    <n v="0"/>
    <n v="0"/>
    <n v="0"/>
    <n v="0"/>
    <n v="0"/>
    <n v="0"/>
    <n v="0.31203946000000005"/>
    <n v="0"/>
  </r>
  <r>
    <n v="2024"/>
    <s v="07"/>
    <s v="07/01/2024"/>
    <x v="30"/>
    <x v="6"/>
    <n v="0"/>
    <n v="0"/>
    <n v="0"/>
    <n v="9.8558629999999994"/>
    <n v="9.1100000000000003E-4"/>
    <n v="0"/>
    <n v="0"/>
    <n v="0"/>
    <n v="0"/>
    <n v="0"/>
    <n v="0"/>
    <n v="0"/>
    <n v="0"/>
  </r>
  <r>
    <n v="2024"/>
    <s v="07"/>
    <s v="07/01/2024"/>
    <x v="30"/>
    <x v="7"/>
    <n v="6.3947789999999998"/>
    <n v="6.3947789999999998"/>
    <n v="0"/>
    <n v="0.72242600000000001"/>
    <n v="0"/>
    <n v="0"/>
    <n v="0"/>
    <n v="0"/>
    <n v="0"/>
    <n v="0"/>
    <n v="0"/>
    <n v="0"/>
    <n v="0"/>
  </r>
  <r>
    <n v="2024"/>
    <s v="07"/>
    <s v="07/01/2024"/>
    <x v="30"/>
    <x v="8"/>
    <n v="6.3972000000000001E-2"/>
    <n v="6.3972000000000001E-2"/>
    <n v="0"/>
    <n v="206.28580299999999"/>
    <n v="29.802797999999999"/>
    <n v="0"/>
    <n v="0.35711999999999999"/>
    <n v="0.35711999999999999"/>
    <n v="0"/>
    <n v="0"/>
    <n v="11.645187"/>
    <n v="21.718347999999999"/>
    <n v="0"/>
  </r>
  <r>
    <n v="2024"/>
    <s v="07"/>
    <s v="07/01/2024"/>
    <x v="30"/>
    <x v="9"/>
    <n v="46.433946599999999"/>
    <n v="46.433946599999999"/>
    <n v="0"/>
    <n v="60.577587100000002"/>
    <n v="0.51195880999999999"/>
    <n v="0"/>
    <n v="0"/>
    <n v="0"/>
    <n v="0"/>
    <n v="0"/>
    <n v="0"/>
    <n v="0"/>
    <n v="0"/>
  </r>
  <r>
    <n v="2024"/>
    <s v="07"/>
    <s v="07/01/2024"/>
    <x v="30"/>
    <x v="10"/>
    <n v="0"/>
    <n v="0"/>
    <n v="0"/>
    <n v="191.68056300000001"/>
    <n v="0"/>
    <n v="0"/>
    <n v="10.173848"/>
    <n v="10.173848"/>
    <n v="0"/>
    <n v="0"/>
    <n v="0"/>
    <n v="0"/>
    <n v="0"/>
  </r>
  <r>
    <n v="2024"/>
    <s v="07"/>
    <s v="07/01/2024"/>
    <x v="30"/>
    <x v="44"/>
    <n v="0.56714699999999996"/>
    <n v="0.56714699999999996"/>
    <n v="0"/>
    <n v="0.56714699999999996"/>
    <n v="0"/>
    <n v="0"/>
    <n v="0"/>
    <n v="0"/>
    <n v="0"/>
    <n v="0"/>
    <n v="0"/>
    <n v="0"/>
    <n v="0"/>
  </r>
  <r>
    <n v="2024"/>
    <s v="07"/>
    <s v="07/01/2024"/>
    <x v="30"/>
    <x v="11"/>
    <n v="5.1433E-2"/>
    <n v="5.1433E-2"/>
    <n v="0"/>
    <n v="112.964"/>
    <n v="7.4549000000000004E-2"/>
    <n v="0"/>
    <n v="0"/>
    <n v="0"/>
    <n v="0"/>
    <n v="0"/>
    <n v="0"/>
    <n v="0"/>
    <n v="0"/>
  </r>
  <r>
    <n v="2024"/>
    <s v="07"/>
    <s v="07/01/2024"/>
    <x v="30"/>
    <x v="12"/>
    <n v="104.79038698999999"/>
    <n v="104.79038698999999"/>
    <n v="0"/>
    <n v="1223.87666184"/>
    <n v="238.09057607"/>
    <n v="0"/>
    <n v="23.347267370000001"/>
    <n v="23.347267370000001"/>
    <n v="0"/>
    <n v="0"/>
    <n v="70.617026049999993"/>
    <n v="16.207788439999998"/>
    <n v="0"/>
  </r>
  <r>
    <n v="2024"/>
    <s v="07"/>
    <s v="07/01/2024"/>
    <x v="30"/>
    <x v="13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14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15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16"/>
    <n v="0"/>
    <n v="0"/>
    <n v="0"/>
    <n v="0"/>
    <n v="0"/>
    <n v="0"/>
    <n v="5.3575853600000007"/>
    <n v="5.3560172800000005"/>
    <n v="0"/>
    <n v="1.5680799999999999E-3"/>
    <n v="0"/>
    <n v="0"/>
    <n v="0"/>
  </r>
  <r>
    <n v="2024"/>
    <s v="07"/>
    <s v="07/01/2024"/>
    <x v="30"/>
    <x v="17"/>
    <n v="23.967064000000001"/>
    <n v="9.9751209999999997"/>
    <n v="13.991942999999999"/>
    <n v="1.7970010000000001"/>
    <n v="0"/>
    <n v="0"/>
    <n v="0"/>
    <n v="0"/>
    <n v="0"/>
    <n v="0"/>
    <n v="0"/>
    <n v="0"/>
    <n v="0"/>
  </r>
  <r>
    <n v="2024"/>
    <s v="07"/>
    <s v="07/01/2024"/>
    <x v="30"/>
    <x v="19"/>
    <n v="0"/>
    <n v="0"/>
    <n v="0"/>
    <n v="790.80520789000002"/>
    <n v="0"/>
    <n v="0"/>
    <n v="0"/>
    <n v="0"/>
    <n v="0"/>
    <n v="0"/>
    <n v="0"/>
    <n v="0"/>
    <n v="0"/>
  </r>
  <r>
    <n v="2024"/>
    <s v="07"/>
    <s v="07/01/2024"/>
    <x v="30"/>
    <x v="20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21"/>
    <n v="0"/>
    <n v="0"/>
    <n v="0"/>
    <n v="292.298451"/>
    <n v="0"/>
    <n v="0"/>
    <n v="0"/>
    <n v="0"/>
    <n v="0"/>
    <n v="0"/>
    <n v="9.0696779999999997"/>
    <n v="0"/>
    <n v="0"/>
  </r>
  <r>
    <n v="2024"/>
    <s v="07"/>
    <s v="07/01/2024"/>
    <x v="30"/>
    <x v="22"/>
    <n v="0"/>
    <n v="0"/>
    <n v="0"/>
    <n v="1.9999999999999999E-6"/>
    <n v="0"/>
    <n v="0"/>
    <n v="0"/>
    <n v="0"/>
    <n v="0"/>
    <n v="0"/>
    <n v="0"/>
    <n v="0"/>
    <n v="0"/>
  </r>
  <r>
    <n v="2024"/>
    <s v="07"/>
    <s v="07/01/2024"/>
    <x v="30"/>
    <x v="23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24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25"/>
    <n v="0"/>
    <n v="0"/>
    <n v="0"/>
    <n v="15.201943029999999"/>
    <n v="0.48707111999999997"/>
    <n v="0"/>
    <n v="0"/>
    <n v="0"/>
    <n v="0"/>
    <n v="0"/>
    <n v="0"/>
    <n v="0"/>
    <n v="0"/>
  </r>
  <r>
    <n v="2024"/>
    <s v="07"/>
    <s v="07/01/2024"/>
    <x v="30"/>
    <x v="26"/>
    <n v="0"/>
    <n v="0"/>
    <n v="0"/>
    <n v="8.5294285500000004"/>
    <n v="0"/>
    <n v="0"/>
    <n v="0"/>
    <n v="0"/>
    <n v="0"/>
    <n v="0"/>
    <n v="3.0248999999999999E-4"/>
    <n v="0"/>
    <n v="0"/>
  </r>
  <r>
    <n v="2024"/>
    <s v="07"/>
    <s v="07/01/2024"/>
    <x v="30"/>
    <x v="27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28"/>
    <n v="0"/>
    <n v="0"/>
    <n v="0"/>
    <n v="34.403407999999999"/>
    <n v="0"/>
    <n v="0"/>
    <n v="0"/>
    <n v="0"/>
    <n v="0"/>
    <n v="0"/>
    <n v="0"/>
    <n v="0"/>
    <n v="0"/>
  </r>
  <r>
    <n v="2024"/>
    <s v="07"/>
    <s v="07/01/2024"/>
    <x v="30"/>
    <x v="29"/>
    <n v="0"/>
    <n v="0"/>
    <n v="0"/>
    <n v="16.761958"/>
    <n v="0"/>
    <n v="0"/>
    <n v="0"/>
    <n v="0"/>
    <n v="0"/>
    <n v="0"/>
    <n v="0"/>
    <n v="0"/>
    <n v="0"/>
  </r>
  <r>
    <n v="2024"/>
    <s v="07"/>
    <s v="07/01/2024"/>
    <x v="30"/>
    <x v="30"/>
    <n v="2.2485499799999999"/>
    <n v="2.2154230099999999"/>
    <n v="3.3126969999999999E-2"/>
    <n v="2.7375566400000002"/>
    <n v="5.4948459999999998E-2"/>
    <n v="0"/>
    <n v="0"/>
    <n v="0"/>
    <n v="0"/>
    <n v="0"/>
    <n v="5.0609482400000001"/>
    <n v="0.23495867000000001"/>
    <n v="14.51835756"/>
  </r>
  <r>
    <n v="2024"/>
    <s v="07"/>
    <s v="07/01/2024"/>
    <x v="30"/>
    <x v="31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32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33"/>
    <n v="0"/>
    <n v="0"/>
    <n v="0"/>
    <n v="8.0726840000000006"/>
    <n v="0"/>
    <n v="0"/>
    <n v="0"/>
    <n v="0"/>
    <n v="0"/>
    <n v="0"/>
    <n v="0"/>
    <n v="0"/>
    <n v="0"/>
  </r>
  <r>
    <n v="2024"/>
    <s v="07"/>
    <s v="07/01/2024"/>
    <x v="30"/>
    <x v="34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35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36"/>
    <n v="5.1658106300000002"/>
    <n v="5.1658106300000002"/>
    <n v="0"/>
    <n v="0"/>
    <n v="0"/>
    <n v="0"/>
    <n v="0"/>
    <n v="0"/>
    <n v="0"/>
    <n v="0"/>
    <n v="0"/>
    <n v="0"/>
    <n v="0"/>
  </r>
  <r>
    <n v="2024"/>
    <s v="07"/>
    <s v="07/01/2024"/>
    <x v="30"/>
    <x v="37"/>
    <n v="7.1214278499999999"/>
    <n v="7.1214278499999999"/>
    <n v="0"/>
    <n v="0"/>
    <n v="0"/>
    <n v="0"/>
    <n v="0"/>
    <n v="0"/>
    <n v="0"/>
    <n v="0"/>
    <n v="0"/>
    <n v="0"/>
    <n v="0"/>
  </r>
  <r>
    <n v="2024"/>
    <s v="07"/>
    <s v="07/01/2024"/>
    <x v="30"/>
    <x v="38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39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40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41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42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45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43"/>
    <n v="0"/>
    <n v="0"/>
    <n v="0"/>
    <n v="0"/>
    <n v="0"/>
    <n v="0"/>
    <n v="0"/>
    <n v="0"/>
    <n v="0"/>
    <n v="0"/>
    <n v="0"/>
    <n v="0"/>
    <n v="0"/>
  </r>
  <r>
    <n v="2024"/>
    <s v="07"/>
    <s v="07/01/2024"/>
    <x v="30"/>
    <x v="46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0"/>
    <n v="1089.1838029100002"/>
    <n v="1089.0505693800001"/>
    <n v="0.13323352999999999"/>
    <n v="9776.6395659999998"/>
    <n v="519.28442681000001"/>
    <n v="36.143267090000002"/>
    <n v="161.70953428000001"/>
    <n v="161.69787461000001"/>
    <n v="9.9999999999999995E-7"/>
    <n v="1.1658669999999999E-2"/>
    <n v="180.88436328"/>
    <n v="66.164876849999999"/>
    <n v="0"/>
  </r>
  <r>
    <n v="2024"/>
    <s v="08"/>
    <s v="08/01/2024"/>
    <x v="31"/>
    <x v="1"/>
    <n v="58.691381579999998"/>
    <n v="58.691381579999998"/>
    <n v="0"/>
    <n v="338.05304401000001"/>
    <n v="55.07193607"/>
    <n v="36.143267090000002"/>
    <n v="0"/>
    <n v="0"/>
    <n v="0"/>
    <n v="0"/>
    <n v="0"/>
    <n v="0"/>
    <n v="0"/>
  </r>
  <r>
    <n v="2024"/>
    <s v="08"/>
    <s v="08/01/2024"/>
    <x v="31"/>
    <x v="2"/>
    <n v="181.825425"/>
    <n v="181.825425"/>
    <n v="0"/>
    <n v="3581.5679599999999"/>
    <n v="46.509380999999998"/>
    <n v="0"/>
    <n v="0"/>
    <n v="0"/>
    <n v="0"/>
    <n v="0"/>
    <n v="0"/>
    <n v="0"/>
    <n v="0"/>
  </r>
  <r>
    <n v="2024"/>
    <s v="08"/>
    <s v="08/01/2024"/>
    <x v="31"/>
    <x v="3"/>
    <n v="204.90853799999999"/>
    <n v="204.90853799999999"/>
    <n v="0"/>
    <n v="1851.642501"/>
    <n v="187.61553000000001"/>
    <n v="0"/>
    <n v="7.6132000000000005E-2"/>
    <n v="7.6132000000000005E-2"/>
    <n v="0"/>
    <n v="0"/>
    <n v="39.385185999999997"/>
    <n v="6.5072029999999996"/>
    <n v="0"/>
  </r>
  <r>
    <n v="2024"/>
    <s v="08"/>
    <s v="08/01/2024"/>
    <x v="31"/>
    <x v="4"/>
    <n v="153.16426300000001"/>
    <n v="153.16426300000001"/>
    <n v="0"/>
    <n v="940.26172899999995"/>
    <n v="43.133288"/>
    <n v="0"/>
    <n v="5.9964329999999997"/>
    <n v="5.9964320000000004"/>
    <n v="9.9999999999999995E-7"/>
    <n v="0"/>
    <n v="45.308120000000002"/>
    <n v="18.636126999999998"/>
    <n v="0"/>
  </r>
  <r>
    <n v="2024"/>
    <s v="08"/>
    <s v="08/01/2024"/>
    <x v="31"/>
    <x v="5"/>
    <n v="273.99697691"/>
    <n v="273.99697691"/>
    <n v="0"/>
    <n v="57.426478250000002"/>
    <n v="9.2942953800000012"/>
    <n v="0"/>
    <n v="0"/>
    <n v="0"/>
    <n v="0"/>
    <n v="0"/>
    <n v="0"/>
    <n v="0.29438799999999998"/>
    <n v="0"/>
  </r>
  <r>
    <n v="2024"/>
    <s v="08"/>
    <s v="08/01/2024"/>
    <x v="31"/>
    <x v="6"/>
    <n v="0"/>
    <n v="0"/>
    <n v="0"/>
    <n v="7.3810979999999997"/>
    <n v="2.1232999999999998E-2"/>
    <n v="0"/>
    <n v="0"/>
    <n v="0"/>
    <n v="0"/>
    <n v="0"/>
    <n v="0"/>
    <n v="0"/>
    <n v="0"/>
  </r>
  <r>
    <n v="2024"/>
    <s v="08"/>
    <s v="08/01/2024"/>
    <x v="31"/>
    <x v="7"/>
    <n v="3.6797900000000001"/>
    <n v="3.6797900000000001"/>
    <n v="0"/>
    <n v="1.563806"/>
    <n v="0"/>
    <n v="0"/>
    <n v="0"/>
    <n v="0"/>
    <n v="0"/>
    <n v="0"/>
    <n v="0"/>
    <n v="0"/>
    <n v="0"/>
  </r>
  <r>
    <n v="2024"/>
    <s v="08"/>
    <s v="08/01/2024"/>
    <x v="31"/>
    <x v="8"/>
    <n v="0.39193499999999998"/>
    <n v="0.39193499999999998"/>
    <n v="0"/>
    <n v="211.028651"/>
    <n v="9.4489090000000004"/>
    <n v="0"/>
    <n v="2.988251"/>
    <n v="2.988251"/>
    <n v="0"/>
    <n v="0"/>
    <n v="28.58201"/>
    <n v="30.185531999999998"/>
    <n v="0"/>
  </r>
  <r>
    <n v="2024"/>
    <s v="08"/>
    <s v="08/01/2024"/>
    <x v="31"/>
    <x v="9"/>
    <n v="54.329041100000005"/>
    <n v="54.329041100000005"/>
    <n v="0"/>
    <n v="61.157300030000002"/>
    <n v="0.36236377000000003"/>
    <n v="0"/>
    <n v="0"/>
    <n v="0"/>
    <n v="0"/>
    <n v="0"/>
    <n v="0"/>
    <n v="0"/>
    <n v="0"/>
  </r>
  <r>
    <n v="2024"/>
    <s v="08"/>
    <s v="08/01/2024"/>
    <x v="31"/>
    <x v="10"/>
    <n v="0"/>
    <n v="0"/>
    <n v="0"/>
    <n v="194.03174000000001"/>
    <n v="0"/>
    <n v="0"/>
    <n v="0"/>
    <n v="0"/>
    <n v="0"/>
    <n v="0"/>
    <n v="0"/>
    <n v="0"/>
    <n v="0"/>
  </r>
  <r>
    <n v="2024"/>
    <s v="08"/>
    <s v="08/01/2024"/>
    <x v="31"/>
    <x v="44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11"/>
    <n v="7.5085430000000004"/>
    <n v="7.5085430000000004"/>
    <n v="0"/>
    <n v="117.17300299999999"/>
    <n v="2.5998E-2"/>
    <n v="0"/>
    <n v="0"/>
    <n v="0"/>
    <n v="0"/>
    <n v="0"/>
    <n v="0"/>
    <n v="0"/>
    <n v="0"/>
  </r>
  <r>
    <n v="2024"/>
    <s v="08"/>
    <s v="08/01/2024"/>
    <x v="31"/>
    <x v="12"/>
    <n v="99.097685420000005"/>
    <n v="99.097685420000005"/>
    <n v="0"/>
    <n v="1203.0990882000001"/>
    <n v="166.53517545"/>
    <n v="0"/>
    <n v="0.52397229999999995"/>
    <n v="0.52364701000000002"/>
    <n v="0"/>
    <n v="3.2529E-4"/>
    <n v="57.30892351"/>
    <n v="10.404869919999999"/>
    <n v="0"/>
  </r>
  <r>
    <n v="2024"/>
    <s v="08"/>
    <s v="08/01/2024"/>
    <x v="31"/>
    <x v="13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14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15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16"/>
    <n v="0"/>
    <n v="0"/>
    <n v="0"/>
    <n v="0"/>
    <n v="0"/>
    <n v="0"/>
    <n v="152.08632790999999"/>
    <n v="152.07499453"/>
    <n v="0"/>
    <n v="1.1333379999999999E-2"/>
    <n v="0"/>
    <n v="0"/>
    <n v="0"/>
  </r>
  <r>
    <n v="2024"/>
    <s v="08"/>
    <s v="08/01/2024"/>
    <x v="31"/>
    <x v="17"/>
    <n v="36.545659000000001"/>
    <n v="36.545659000000001"/>
    <n v="0"/>
    <n v="0"/>
    <n v="0"/>
    <n v="0"/>
    <n v="0"/>
    <n v="0"/>
    <n v="0"/>
    <n v="0"/>
    <n v="0"/>
    <n v="0"/>
    <n v="0"/>
  </r>
  <r>
    <n v="2024"/>
    <s v="08"/>
    <s v="08/01/2024"/>
    <x v="31"/>
    <x v="19"/>
    <n v="0"/>
    <n v="0"/>
    <n v="0"/>
    <n v="777.53314953999995"/>
    <n v="0"/>
    <n v="0"/>
    <n v="0"/>
    <n v="0"/>
    <n v="0"/>
    <n v="0"/>
    <n v="0"/>
    <n v="0"/>
    <n v="0"/>
  </r>
  <r>
    <n v="2024"/>
    <s v="08"/>
    <s v="08/01/2024"/>
    <x v="31"/>
    <x v="20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21"/>
    <n v="0"/>
    <n v="0"/>
    <n v="0"/>
    <n v="355.14745599999998"/>
    <n v="0"/>
    <n v="0"/>
    <n v="0"/>
    <n v="0"/>
    <n v="0"/>
    <n v="0"/>
    <n v="7.6329659999999997"/>
    <n v="0"/>
    <n v="0"/>
  </r>
  <r>
    <n v="2024"/>
    <s v="08"/>
    <s v="08/01/2024"/>
    <x v="31"/>
    <x v="22"/>
    <n v="0"/>
    <n v="0"/>
    <n v="0"/>
    <n v="0.71772899999999995"/>
    <n v="0"/>
    <n v="0"/>
    <n v="0"/>
    <n v="0"/>
    <n v="0"/>
    <n v="0"/>
    <n v="0"/>
    <n v="0"/>
    <n v="0"/>
  </r>
  <r>
    <n v="2024"/>
    <s v="08"/>
    <s v="08/01/2024"/>
    <x v="31"/>
    <x v="23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24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25"/>
    <n v="0"/>
    <n v="0"/>
    <n v="0"/>
    <n v="21.48511096"/>
    <n v="1.1318114800000001"/>
    <n v="0"/>
    <n v="0"/>
    <n v="0"/>
    <n v="0"/>
    <n v="0"/>
    <n v="0"/>
    <n v="0"/>
    <n v="0"/>
  </r>
  <r>
    <n v="2024"/>
    <s v="08"/>
    <s v="08/01/2024"/>
    <x v="31"/>
    <x v="26"/>
    <n v="0"/>
    <n v="0"/>
    <n v="0"/>
    <n v="8.3568154200000002"/>
    <n v="0"/>
    <n v="0"/>
    <n v="3.8418069999999999E-2"/>
    <n v="3.8418069999999999E-2"/>
    <n v="0"/>
    <n v="0"/>
    <n v="4.3813000000000001E-4"/>
    <n v="0"/>
    <n v="0"/>
  </r>
  <r>
    <n v="2024"/>
    <s v="08"/>
    <s v="08/01/2024"/>
    <x v="31"/>
    <x v="27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28"/>
    <n v="0"/>
    <n v="0"/>
    <n v="0"/>
    <n v="41.320061000000003"/>
    <n v="0"/>
    <n v="0"/>
    <n v="0"/>
    <n v="0"/>
    <n v="0"/>
    <n v="0"/>
    <n v="0"/>
    <n v="0"/>
    <n v="0"/>
  </r>
  <r>
    <n v="2024"/>
    <s v="08"/>
    <s v="08/01/2024"/>
    <x v="31"/>
    <x v="29"/>
    <n v="0"/>
    <n v="0"/>
    <n v="0"/>
    <n v="4.7981000000000003E-2"/>
    <n v="0"/>
    <n v="0"/>
    <n v="0"/>
    <n v="0"/>
    <n v="0"/>
    <n v="0"/>
    <n v="0"/>
    <n v="0"/>
    <n v="0"/>
  </r>
  <r>
    <n v="2024"/>
    <s v="08"/>
    <s v="08/01/2024"/>
    <x v="31"/>
    <x v="30"/>
    <n v="1.1085918400000001"/>
    <n v="0.97535831000000006"/>
    <n v="0.13323352999999999"/>
    <n v="2.3705819300000002"/>
    <n v="0.13450566"/>
    <n v="0"/>
    <n v="0"/>
    <n v="0"/>
    <n v="0"/>
    <n v="0"/>
    <n v="2.6562796400000002"/>
    <n v="0.13675693"/>
    <n v="0"/>
  </r>
  <r>
    <n v="2024"/>
    <s v="08"/>
    <s v="08/01/2024"/>
    <x v="31"/>
    <x v="31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32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33"/>
    <n v="0"/>
    <n v="0"/>
    <n v="0"/>
    <n v="5.168984"/>
    <n v="0"/>
    <n v="0"/>
    <n v="0"/>
    <n v="0"/>
    <n v="0"/>
    <n v="0"/>
    <n v="1.044E-2"/>
    <n v="0"/>
    <n v="0"/>
  </r>
  <r>
    <n v="2024"/>
    <s v="08"/>
    <s v="08/01/2024"/>
    <x v="31"/>
    <x v="34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35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36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37"/>
    <n v="13.93597306"/>
    <n v="13.93597306"/>
    <n v="0"/>
    <n v="0"/>
    <n v="0"/>
    <n v="0"/>
    <n v="0"/>
    <n v="0"/>
    <n v="0"/>
    <n v="0"/>
    <n v="0"/>
    <n v="0"/>
    <n v="0"/>
  </r>
  <r>
    <n v="2024"/>
    <s v="08"/>
    <s v="08/01/2024"/>
    <x v="31"/>
    <x v="38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39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40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41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42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45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43"/>
    <n v="0"/>
    <n v="0"/>
    <n v="0"/>
    <n v="0"/>
    <n v="0"/>
    <n v="0"/>
    <n v="0"/>
    <n v="0"/>
    <n v="0"/>
    <n v="0"/>
    <n v="0"/>
    <n v="0"/>
    <n v="0"/>
  </r>
  <r>
    <n v="2024"/>
    <s v="08"/>
    <s v="08/01/2024"/>
    <x v="31"/>
    <x v="46"/>
    <n v="0"/>
    <n v="0"/>
    <n v="0"/>
    <n v="0.10529866"/>
    <n v="0"/>
    <n v="0"/>
    <n v="0"/>
    <n v="0"/>
    <n v="0"/>
    <n v="0"/>
    <n v="0"/>
    <n v="0"/>
    <n v="0"/>
  </r>
  <r>
    <n v="2024"/>
    <s v="09"/>
    <s v="09/01/2024"/>
    <x v="32"/>
    <x v="0"/>
    <n v="1734.3910377300001"/>
    <n v="1733.4355773900002"/>
    <n v="0.95398433999999999"/>
    <n v="9412.0351981900003"/>
    <n v="620.61257928999999"/>
    <n v="37.517621119999994"/>
    <n v="54.342838710000002"/>
    <n v="54.342838710000002"/>
    <n v="0"/>
    <n v="0"/>
    <n v="181.43039300000001"/>
    <n v="61.287606150000002"/>
    <n v="0"/>
  </r>
  <r>
    <n v="2024"/>
    <s v="09"/>
    <s v="09/01/2024"/>
    <x v="32"/>
    <x v="1"/>
    <n v="94.685619469999992"/>
    <n v="94.685619469999992"/>
    <n v="0"/>
    <n v="349.75245467000002"/>
    <n v="30.716419579999997"/>
    <n v="37.517621119999994"/>
    <n v="0"/>
    <n v="0"/>
    <n v="0"/>
    <n v="0"/>
    <n v="0"/>
    <n v="0"/>
    <n v="0"/>
  </r>
  <r>
    <n v="2024"/>
    <s v="09"/>
    <s v="09/01/2024"/>
    <x v="32"/>
    <x v="2"/>
    <n v="200.73522600000001"/>
    <n v="200.72763800000001"/>
    <n v="6.1120000000000002E-3"/>
    <n v="3719.6221289999999"/>
    <n v="277.365861"/>
    <n v="0"/>
    <n v="0"/>
    <n v="0"/>
    <n v="0"/>
    <n v="0"/>
    <n v="0"/>
    <n v="0"/>
    <n v="0"/>
  </r>
  <r>
    <n v="2024"/>
    <s v="09"/>
    <s v="09/01/2024"/>
    <x v="32"/>
    <x v="3"/>
    <n v="341.15268900000001"/>
    <n v="341.15268900000001"/>
    <n v="0"/>
    <n v="1426.51358"/>
    <n v="109.082461"/>
    <n v="0"/>
    <n v="20.874981999999999"/>
    <n v="20.874981999999999"/>
    <n v="0"/>
    <n v="0"/>
    <n v="28.511599"/>
    <n v="7.7040220000000001"/>
    <n v="0"/>
  </r>
  <r>
    <n v="2024"/>
    <s v="09"/>
    <s v="09/01/2024"/>
    <x v="32"/>
    <x v="4"/>
    <n v="62.211691000000002"/>
    <n v="62.211691000000002"/>
    <n v="0"/>
    <n v="936.85188700000003"/>
    <n v="21.920373999999999"/>
    <n v="0"/>
    <n v="5.0975149999999996"/>
    <n v="5.0975149999999996"/>
    <n v="0"/>
    <n v="0"/>
    <n v="43.157698000000003"/>
    <n v="20.234334"/>
    <n v="0"/>
  </r>
  <r>
    <n v="2024"/>
    <s v="09"/>
    <s v="09/01/2024"/>
    <x v="32"/>
    <x v="5"/>
    <n v="457.67963981999998"/>
    <n v="457.67963981999998"/>
    <n v="0"/>
    <n v="62.797573319999998"/>
    <n v="4.3033502800000001"/>
    <n v="0"/>
    <n v="0"/>
    <n v="0"/>
    <n v="0"/>
    <n v="0"/>
    <n v="0"/>
    <n v="0.55304495999999992"/>
    <n v="0"/>
  </r>
  <r>
    <n v="2024"/>
    <s v="09"/>
    <s v="09/01/2024"/>
    <x v="32"/>
    <x v="6"/>
    <n v="0"/>
    <n v="0"/>
    <n v="0"/>
    <n v="7.6580389999999996"/>
    <n v="0"/>
    <n v="0"/>
    <n v="0"/>
    <n v="0"/>
    <n v="0"/>
    <n v="0"/>
    <n v="0"/>
    <n v="0"/>
    <n v="0"/>
  </r>
  <r>
    <n v="2024"/>
    <s v="09"/>
    <s v="09/01/2024"/>
    <x v="32"/>
    <x v="7"/>
    <n v="30.705638"/>
    <n v="30.705638"/>
    <n v="0"/>
    <n v="1.9502889999999999"/>
    <n v="0"/>
    <n v="0"/>
    <n v="0"/>
    <n v="0"/>
    <n v="0"/>
    <n v="0"/>
    <n v="0"/>
    <n v="0"/>
    <n v="0"/>
  </r>
  <r>
    <n v="2024"/>
    <s v="09"/>
    <s v="09/01/2024"/>
    <x v="32"/>
    <x v="8"/>
    <n v="0.39425900000000003"/>
    <n v="0.39425900000000003"/>
    <n v="0"/>
    <n v="259.45690000000002"/>
    <n v="15.406145"/>
    <n v="0"/>
    <n v="10.189685000000001"/>
    <n v="10.189685000000001"/>
    <n v="0"/>
    <n v="0"/>
    <n v="28.568016"/>
    <n v="20.305446"/>
    <n v="0"/>
  </r>
  <r>
    <n v="2024"/>
    <s v="09"/>
    <s v="09/01/2024"/>
    <x v="32"/>
    <x v="9"/>
    <n v="68.74483484000001"/>
    <n v="68.74483484000001"/>
    <n v="0"/>
    <n v="163.13679288999998"/>
    <n v="0.73159288"/>
    <n v="0"/>
    <n v="0"/>
    <n v="0"/>
    <n v="0"/>
    <n v="0"/>
    <n v="0"/>
    <n v="0"/>
    <n v="0"/>
  </r>
  <r>
    <n v="2024"/>
    <s v="09"/>
    <s v="09/01/2024"/>
    <x v="32"/>
    <x v="10"/>
    <n v="0"/>
    <n v="0"/>
    <n v="0"/>
    <n v="194.40343999999999"/>
    <n v="0"/>
    <n v="0"/>
    <n v="0"/>
    <n v="0"/>
    <n v="0"/>
    <n v="0"/>
    <n v="0"/>
    <n v="0"/>
    <n v="0"/>
  </r>
  <r>
    <n v="2024"/>
    <s v="09"/>
    <s v="09/01/2024"/>
    <x v="32"/>
    <x v="44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11"/>
    <n v="4.2345759999999997"/>
    <n v="4.2345759999999997"/>
    <n v="0"/>
    <n v="91.718695999999994"/>
    <n v="4.731E-3"/>
    <n v="0"/>
    <n v="0"/>
    <n v="0"/>
    <n v="0"/>
    <n v="0"/>
    <n v="0"/>
    <n v="0"/>
    <n v="0"/>
  </r>
  <r>
    <n v="2024"/>
    <s v="09"/>
    <s v="09/01/2024"/>
    <x v="32"/>
    <x v="12"/>
    <n v="429.31593253"/>
    <n v="429.31593253"/>
    <n v="0"/>
    <n v="1144.19420343"/>
    <n v="151.75113069"/>
    <n v="0"/>
    <n v="9.911566220000001"/>
    <n v="9.911566220000001"/>
    <n v="0"/>
    <n v="0"/>
    <n v="68.385806290000005"/>
    <n v="12.446200660000001"/>
    <n v="0"/>
  </r>
  <r>
    <n v="2024"/>
    <s v="09"/>
    <s v="09/01/2024"/>
    <x v="32"/>
    <x v="13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14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15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16"/>
    <n v="0"/>
    <n v="0"/>
    <n v="0"/>
    <n v="0"/>
    <n v="2.7792300000000002E-3"/>
    <n v="0"/>
    <n v="8.2132144999999994"/>
    <n v="8.2132144999999994"/>
    <n v="0"/>
    <n v="0"/>
    <n v="0"/>
    <n v="0"/>
    <n v="0"/>
  </r>
  <r>
    <n v="2024"/>
    <s v="09"/>
    <s v="09/01/2024"/>
    <x v="32"/>
    <x v="17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19"/>
    <n v="0"/>
    <n v="0"/>
    <n v="0"/>
    <n v="705.47497339999995"/>
    <n v="6.9398000000000003E-3"/>
    <n v="0"/>
    <n v="0"/>
    <n v="0"/>
    <n v="0"/>
    <n v="0"/>
    <n v="0"/>
    <n v="0"/>
    <n v="0"/>
  </r>
  <r>
    <n v="2024"/>
    <s v="09"/>
    <s v="09/01/2024"/>
    <x v="32"/>
    <x v="20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21"/>
    <n v="0"/>
    <n v="0"/>
    <n v="0"/>
    <n v="280.88115800000003"/>
    <n v="0"/>
    <n v="0"/>
    <n v="0"/>
    <n v="0"/>
    <n v="0"/>
    <n v="0"/>
    <n v="8.6126039999999993"/>
    <n v="0"/>
    <n v="0"/>
  </r>
  <r>
    <n v="2024"/>
    <s v="09"/>
    <s v="09/01/2024"/>
    <x v="32"/>
    <x v="22"/>
    <n v="11.698504"/>
    <n v="11.698504"/>
    <n v="0"/>
    <n v="2.7533999999999999E-2"/>
    <n v="0"/>
    <n v="0"/>
    <n v="0"/>
    <n v="0"/>
    <n v="0"/>
    <n v="0"/>
    <n v="0"/>
    <n v="0"/>
    <n v="0"/>
  </r>
  <r>
    <n v="2024"/>
    <s v="09"/>
    <s v="09/01/2024"/>
    <x v="32"/>
    <x v="23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24"/>
    <n v="8.0556339999999995"/>
    <n v="8.0556339999999995"/>
    <n v="0"/>
    <n v="0"/>
    <n v="0"/>
    <n v="0"/>
    <n v="0"/>
    <n v="0"/>
    <n v="0"/>
    <n v="0"/>
    <n v="0"/>
    <n v="0"/>
    <n v="0"/>
  </r>
  <r>
    <n v="2024"/>
    <s v="09"/>
    <s v="09/01/2024"/>
    <x v="32"/>
    <x v="25"/>
    <n v="0"/>
    <n v="0"/>
    <n v="0"/>
    <n v="15.52989316"/>
    <n v="0.86237368000000003"/>
    <n v="0"/>
    <n v="0"/>
    <n v="0"/>
    <n v="0"/>
    <n v="0"/>
    <n v="0"/>
    <n v="0"/>
    <n v="0"/>
  </r>
  <r>
    <n v="2024"/>
    <s v="09"/>
    <s v="09/01/2024"/>
    <x v="32"/>
    <x v="26"/>
    <n v="0"/>
    <n v="0"/>
    <n v="0"/>
    <n v="9.80152"/>
    <n v="0"/>
    <n v="0"/>
    <n v="0"/>
    <n v="0"/>
    <n v="0"/>
    <n v="0"/>
    <n v="0.12810099999999999"/>
    <n v="0"/>
    <n v="0"/>
  </r>
  <r>
    <n v="2024"/>
    <s v="09"/>
    <s v="09/01/2024"/>
    <x v="32"/>
    <x v="27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28"/>
    <n v="0"/>
    <n v="0"/>
    <n v="0"/>
    <n v="33.029311999999997"/>
    <n v="0"/>
    <n v="0"/>
    <n v="0"/>
    <n v="0"/>
    <n v="0"/>
    <n v="0"/>
    <n v="0"/>
    <n v="0"/>
    <n v="0"/>
  </r>
  <r>
    <n v="2024"/>
    <s v="09"/>
    <s v="09/01/2024"/>
    <x v="32"/>
    <x v="29"/>
    <n v="0"/>
    <n v="0"/>
    <n v="0"/>
    <n v="8.4539000000000003E-2"/>
    <n v="0"/>
    <n v="0"/>
    <n v="0"/>
    <n v="0"/>
    <n v="0"/>
    <n v="0"/>
    <n v="0"/>
    <n v="0"/>
    <n v="0"/>
  </r>
  <r>
    <n v="2024"/>
    <s v="09"/>
    <s v="09/01/2024"/>
    <x v="32"/>
    <x v="30"/>
    <n v="3.8025876699999999"/>
    <n v="2.8547153299999999"/>
    <n v="0.94787233999999998"/>
    <n v="4.5159093200000004"/>
    <n v="8.4584211499999995"/>
    <n v="0"/>
    <n v="0"/>
    <n v="0"/>
    <n v="0"/>
    <n v="0"/>
    <n v="4.0665687100000003"/>
    <n v="4.4558529999999999E-2"/>
    <n v="0"/>
  </r>
  <r>
    <n v="2024"/>
    <s v="09"/>
    <s v="09/01/2024"/>
    <x v="32"/>
    <x v="31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32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33"/>
    <n v="0"/>
    <n v="0"/>
    <n v="0"/>
    <n v="4.6343750000000004"/>
    <n v="0"/>
    <n v="0"/>
    <n v="0"/>
    <n v="0"/>
    <n v="0"/>
    <n v="0"/>
    <n v="0"/>
    <n v="0"/>
    <n v="0"/>
  </r>
  <r>
    <n v="2024"/>
    <s v="09"/>
    <s v="09/01/2024"/>
    <x v="32"/>
    <x v="34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35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36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37"/>
    <n v="20.9742064"/>
    <n v="20.9742064"/>
    <n v="0"/>
    <n v="0"/>
    <n v="0"/>
    <n v="0"/>
    <n v="5.587599E-2"/>
    <n v="5.587599E-2"/>
    <n v="0"/>
    <n v="0"/>
    <n v="0"/>
    <n v="0"/>
    <n v="0"/>
  </r>
  <r>
    <n v="2024"/>
    <s v="09"/>
    <s v="09/01/2024"/>
    <x v="32"/>
    <x v="38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39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40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41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42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45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43"/>
    <n v="0"/>
    <n v="0"/>
    <n v="0"/>
    <n v="0"/>
    <n v="0"/>
    <n v="0"/>
    <n v="0"/>
    <n v="0"/>
    <n v="0"/>
    <n v="0"/>
    <n v="0"/>
    <n v="0"/>
    <n v="0"/>
  </r>
  <r>
    <n v="2024"/>
    <s v="09"/>
    <s v="09/01/2024"/>
    <x v="32"/>
    <x v="46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0"/>
    <n v="1368.0353079700001"/>
    <n v="1366.57630191"/>
    <n v="1.4590060600000001"/>
    <n v="10207.261074139999"/>
    <n v="592.30338916999995"/>
    <n v="43.506250049999998"/>
    <n v="139.86182116000001"/>
    <n v="139.86035536000003"/>
    <n v="1.4658E-3"/>
    <n v="0"/>
    <n v="191.24532127000001"/>
    <n v="78.713583290000003"/>
    <n v="0"/>
  </r>
  <r>
    <n v="2024"/>
    <n v="10"/>
    <d v="2024-01-10T00:00:00"/>
    <x v="33"/>
    <x v="1"/>
    <n v="46.747991310000003"/>
    <n v="46.747991310000003"/>
    <n v="0"/>
    <n v="354.93219520999997"/>
    <n v="61.534230790000002"/>
    <n v="43.506250049999998"/>
    <n v="0"/>
    <n v="0"/>
    <n v="0"/>
    <n v="0"/>
    <n v="0"/>
    <n v="0"/>
    <n v="0"/>
  </r>
  <r>
    <n v="2024"/>
    <n v="10"/>
    <d v="2024-01-10T00:00:00"/>
    <x v="33"/>
    <x v="2"/>
    <n v="345.645129"/>
    <n v="345.645129"/>
    <n v="0"/>
    <n v="3935.5063100000002"/>
    <n v="168.55940799999999"/>
    <n v="0"/>
    <n v="0"/>
    <n v="0"/>
    <n v="0"/>
    <n v="0"/>
    <n v="0"/>
    <n v="0"/>
    <n v="0"/>
  </r>
  <r>
    <n v="2024"/>
    <n v="10"/>
    <d v="2024-01-10T00:00:00"/>
    <x v="33"/>
    <x v="3"/>
    <n v="622.86994600000003"/>
    <n v="622.86994600000003"/>
    <n v="0"/>
    <n v="1618.4464069999999"/>
    <n v="129.20767599999999"/>
    <n v="0"/>
    <n v="21.433191999999998"/>
    <n v="21.433191999999998"/>
    <n v="0"/>
    <n v="0"/>
    <n v="32.973441000000001"/>
    <n v="11.372202"/>
    <n v="0"/>
  </r>
  <r>
    <n v="2024"/>
    <n v="10"/>
    <d v="2024-01-10T00:00:00"/>
    <x v="33"/>
    <x v="4"/>
    <n v="118.333258"/>
    <n v="118.332178"/>
    <n v="1.08E-3"/>
    <n v="976.14437699999996"/>
    <n v="38.515272000000003"/>
    <n v="0"/>
    <n v="9.1558679999999999"/>
    <n v="9.1558679999999999"/>
    <n v="0"/>
    <n v="0"/>
    <n v="39.501359000000001"/>
    <n v="27.586465"/>
    <n v="0"/>
  </r>
  <r>
    <n v="2024"/>
    <n v="10"/>
    <d v="2024-01-10T00:00:00"/>
    <x v="33"/>
    <x v="5"/>
    <n v="56.458512409999997"/>
    <n v="56.458512409999997"/>
    <n v="0"/>
    <n v="52.192904579999997"/>
    <n v="7.8310820799999998"/>
    <n v="0"/>
    <n v="0"/>
    <n v="0"/>
    <n v="0"/>
    <n v="0"/>
    <n v="0"/>
    <n v="0.71320746999999995"/>
    <n v="0"/>
  </r>
  <r>
    <n v="2024"/>
    <n v="10"/>
    <d v="2024-01-10T00:00:00"/>
    <x v="33"/>
    <x v="6"/>
    <n v="0"/>
    <n v="0"/>
    <n v="0"/>
    <n v="11.003405000000001"/>
    <n v="3.1799999999999998E-4"/>
    <n v="0"/>
    <n v="0"/>
    <n v="0"/>
    <n v="0"/>
    <n v="0"/>
    <n v="0"/>
    <n v="0"/>
    <n v="0"/>
  </r>
  <r>
    <n v="2024"/>
    <n v="10"/>
    <d v="2024-01-10T00:00:00"/>
    <x v="33"/>
    <x v="7"/>
    <n v="21.383555000000001"/>
    <n v="21.383555000000001"/>
    <n v="0"/>
    <n v="2.3763209999999999"/>
    <n v="0"/>
    <n v="0"/>
    <n v="0"/>
    <n v="0"/>
    <n v="0"/>
    <n v="0"/>
    <n v="0"/>
    <n v="0"/>
    <n v="0"/>
  </r>
  <r>
    <n v="2024"/>
    <n v="10"/>
    <d v="2024-01-10T00:00:00"/>
    <x v="33"/>
    <x v="8"/>
    <n v="1.406358"/>
    <n v="1.406358"/>
    <n v="0"/>
    <n v="218.742895"/>
    <n v="5.9418730000000002"/>
    <n v="0"/>
    <n v="77.628260999999995"/>
    <n v="77.628260999999995"/>
    <n v="0"/>
    <n v="0"/>
    <n v="26.100919000000001"/>
    <n v="27.187488999999999"/>
    <n v="0"/>
  </r>
  <r>
    <n v="2024"/>
    <n v="10"/>
    <d v="2024-01-10T00:00:00"/>
    <x v="33"/>
    <x v="9"/>
    <n v="24.80574794"/>
    <n v="24.80574794"/>
    <n v="0"/>
    <n v="44.155444150000001"/>
    <n v="5.4756432000000004"/>
    <n v="0"/>
    <n v="0"/>
    <n v="0"/>
    <n v="0"/>
    <n v="0"/>
    <n v="0"/>
    <n v="0"/>
    <n v="0"/>
  </r>
  <r>
    <n v="2024"/>
    <n v="10"/>
    <d v="2024-01-10T00:00:00"/>
    <x v="33"/>
    <x v="10"/>
    <n v="0"/>
    <n v="0"/>
    <n v="0"/>
    <n v="204.37579700000001"/>
    <n v="0"/>
    <n v="0"/>
    <n v="0"/>
    <n v="0"/>
    <n v="0"/>
    <n v="0"/>
    <n v="0"/>
    <n v="0"/>
    <n v="0"/>
  </r>
  <r>
    <n v="2024"/>
    <n v="10"/>
    <d v="2024-01-10T00:00:00"/>
    <x v="33"/>
    <x v="44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11"/>
    <n v="1.5839190000000001"/>
    <n v="1.5839190000000001"/>
    <n v="0"/>
    <n v="107.774236"/>
    <n v="3.7997999999999997E-2"/>
    <n v="0"/>
    <n v="0"/>
    <n v="0"/>
    <n v="0"/>
    <n v="0"/>
    <n v="0"/>
    <n v="0"/>
    <n v="0"/>
  </r>
  <r>
    <n v="2024"/>
    <n v="10"/>
    <d v="2024-01-10T00:00:00"/>
    <x v="33"/>
    <x v="12"/>
    <n v="71.899552439999994"/>
    <n v="71.899552439999994"/>
    <n v="0"/>
    <n v="1214.80497089"/>
    <n v="173.66780090999998"/>
    <n v="0"/>
    <n v="30.771960750000002"/>
    <n v="30.771960750000002"/>
    <n v="0"/>
    <n v="0"/>
    <n v="74.724591920000009"/>
    <n v="11.75448192"/>
    <n v="0"/>
  </r>
  <r>
    <n v="2024"/>
    <n v="10"/>
    <d v="2024-01-10T00:00:00"/>
    <x v="33"/>
    <x v="13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14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15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16"/>
    <n v="0.28483536999999998"/>
    <n v="0.28483536999999998"/>
    <n v="0"/>
    <n v="0"/>
    <n v="0.47234590000000004"/>
    <n v="0"/>
    <n v="0.16844314999999999"/>
    <n v="0.16697735"/>
    <n v="1.4658E-3"/>
    <n v="0"/>
    <n v="0"/>
    <n v="0"/>
    <n v="0"/>
  </r>
  <r>
    <n v="2024"/>
    <n v="10"/>
    <d v="2024-01-10T00:00:00"/>
    <x v="33"/>
    <x v="17"/>
    <n v="53.775671000000003"/>
    <n v="53.775671000000003"/>
    <n v="0"/>
    <n v="0"/>
    <n v="0"/>
    <n v="0"/>
    <n v="0.70319799999999999"/>
    <n v="0.70319799999999999"/>
    <n v="0"/>
    <n v="0"/>
    <n v="0"/>
    <n v="0"/>
    <n v="0"/>
  </r>
  <r>
    <n v="2024"/>
    <n v="10"/>
    <d v="2024-01-10T00:00:00"/>
    <x v="33"/>
    <x v="19"/>
    <n v="0"/>
    <n v="0"/>
    <n v="0"/>
    <n v="1022.0802669"/>
    <n v="6.21413E-3"/>
    <n v="0"/>
    <n v="0"/>
    <n v="0"/>
    <n v="0"/>
    <n v="0"/>
    <n v="0"/>
    <n v="0"/>
    <n v="0"/>
  </r>
  <r>
    <n v="2024"/>
    <n v="10"/>
    <d v="2024-01-10T00:00:00"/>
    <x v="33"/>
    <x v="20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21"/>
    <n v="0"/>
    <n v="0"/>
    <n v="0"/>
    <n v="360.67262799999997"/>
    <n v="0"/>
    <n v="0"/>
    <n v="0"/>
    <n v="0"/>
    <n v="0"/>
    <n v="0"/>
    <n v="12.713385000000001"/>
    <n v="0"/>
    <n v="0"/>
  </r>
  <r>
    <n v="2024"/>
    <n v="10"/>
    <d v="2024-01-10T00:00:00"/>
    <x v="33"/>
    <x v="22"/>
    <n v="0"/>
    <n v="0"/>
    <n v="0"/>
    <n v="0.481435"/>
    <n v="0.49581500000000001"/>
    <n v="0"/>
    <n v="0"/>
    <n v="0"/>
    <n v="0"/>
    <n v="0"/>
    <n v="0"/>
    <n v="0"/>
    <n v="0"/>
  </r>
  <r>
    <n v="2024"/>
    <n v="10"/>
    <d v="2024-01-10T00:00:00"/>
    <x v="33"/>
    <x v="23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24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25"/>
    <n v="0"/>
    <n v="0"/>
    <n v="0"/>
    <n v="18.88210716"/>
    <n v="0.50183617999999997"/>
    <n v="0"/>
    <n v="0"/>
    <n v="0"/>
    <n v="0"/>
    <n v="0"/>
    <n v="0"/>
    <n v="0"/>
    <n v="0"/>
  </r>
  <r>
    <n v="2024"/>
    <n v="10"/>
    <d v="2024-01-10T00:00:00"/>
    <x v="33"/>
    <x v="26"/>
    <n v="0"/>
    <n v="0"/>
    <n v="0"/>
    <n v="14.885147999999999"/>
    <n v="0"/>
    <n v="0"/>
    <n v="0"/>
    <n v="0"/>
    <n v="0"/>
    <n v="0"/>
    <n v="1.6233000000000001E-2"/>
    <n v="0"/>
    <n v="0"/>
  </r>
  <r>
    <n v="2024"/>
    <n v="10"/>
    <d v="2024-01-10T00:00:00"/>
    <x v="33"/>
    <x v="27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28"/>
    <n v="0"/>
    <n v="0"/>
    <n v="0"/>
    <n v="42.264325999999997"/>
    <n v="0"/>
    <n v="0"/>
    <n v="0"/>
    <n v="0"/>
    <n v="0"/>
    <n v="0"/>
    <n v="0"/>
    <n v="0"/>
    <n v="0"/>
  </r>
  <r>
    <n v="2024"/>
    <n v="10"/>
    <d v="2024-01-10T00:00:00"/>
    <x v="33"/>
    <x v="29"/>
    <n v="0"/>
    <n v="0"/>
    <n v="0"/>
    <n v="2.418E-3"/>
    <n v="0"/>
    <n v="0"/>
    <n v="0"/>
    <n v="0"/>
    <n v="0"/>
    <n v="0"/>
    <n v="0"/>
    <n v="0"/>
    <n v="0"/>
  </r>
  <r>
    <n v="2024"/>
    <n v="10"/>
    <d v="2024-01-10T00:00:00"/>
    <x v="33"/>
    <x v="30"/>
    <n v="2.8408324999999999"/>
    <n v="1.38290644"/>
    <n v="1.4579260600000001"/>
    <n v="2.9881167400000002"/>
    <n v="5.5875980000000006E-2"/>
    <n v="0"/>
    <n v="0"/>
    <n v="0"/>
    <n v="0"/>
    <n v="0"/>
    <n v="5.1838603499999998"/>
    <n v="9.973789999999999E-2"/>
    <n v="0"/>
  </r>
  <r>
    <n v="2024"/>
    <n v="10"/>
    <d v="2024-01-10T00:00:00"/>
    <x v="33"/>
    <x v="31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32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33"/>
    <n v="0"/>
    <n v="0"/>
    <n v="0"/>
    <n v="4.1372410000000004"/>
    <n v="0"/>
    <n v="0"/>
    <n v="0"/>
    <n v="0"/>
    <n v="0"/>
    <n v="0"/>
    <n v="3.1531999999999998E-2"/>
    <n v="0"/>
    <n v="0"/>
  </r>
  <r>
    <n v="2024"/>
    <n v="10"/>
    <d v="2024-01-10T00:00:00"/>
    <x v="33"/>
    <x v="34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35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36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37"/>
    <n v="0"/>
    <n v="0"/>
    <n v="0"/>
    <n v="0"/>
    <n v="0"/>
    <n v="0"/>
    <n v="8.9826000000000001E-4"/>
    <n v="8.9826000000000001E-4"/>
    <n v="0"/>
    <n v="0"/>
    <n v="0"/>
    <n v="0"/>
    <n v="0"/>
  </r>
  <r>
    <n v="2024"/>
    <n v="10"/>
    <d v="2024-01-10T00:00:00"/>
    <x v="33"/>
    <x v="38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39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40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41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42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45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43"/>
    <n v="0"/>
    <n v="0"/>
    <n v="0"/>
    <n v="0"/>
    <n v="0"/>
    <n v="0"/>
    <n v="0"/>
    <n v="0"/>
    <n v="0"/>
    <n v="0"/>
    <n v="0"/>
    <n v="0"/>
    <n v="0"/>
  </r>
  <r>
    <n v="2024"/>
    <n v="10"/>
    <d v="2024-01-10T00:00:00"/>
    <x v="33"/>
    <x v="46"/>
    <n v="0"/>
    <n v="0"/>
    <n v="0"/>
    <n v="0.41212451"/>
    <n v="0"/>
    <n v="0"/>
    <n v="0"/>
    <n v="0"/>
    <n v="0"/>
    <n v="0"/>
    <n v="0"/>
    <n v="0"/>
    <n v="0"/>
  </r>
  <r>
    <n v="2024"/>
    <n v="11"/>
    <d v="2024-01-11T00:00:00"/>
    <x v="34"/>
    <x v="0"/>
    <n v="1912.12244018"/>
    <n v="1905.04410482"/>
    <n v="3.4503093599999999"/>
    <n v="10313.79472498"/>
    <n v="451.13084583999995"/>
    <n v="43.175379140000004"/>
    <n v="24.694651829999998"/>
    <n v="22.71870633"/>
    <n v="0"/>
    <n v="1.9759454999999999"/>
    <n v="207.87505740999998"/>
    <n v="57.981207229999995"/>
    <n v="0"/>
  </r>
  <r>
    <n v="2024"/>
    <n v="11"/>
    <d v="2024-01-11T00:00:00"/>
    <x v="34"/>
    <x v="1"/>
    <n v="138.42842135000001"/>
    <n v="138.42842135000001"/>
    <n v="0"/>
    <n v="391.90915774000001"/>
    <n v="44.304949810000004"/>
    <n v="43.175379140000004"/>
    <n v="0"/>
    <n v="0"/>
    <n v="0"/>
    <n v="0"/>
    <n v="0"/>
    <n v="0"/>
    <n v="0"/>
  </r>
  <r>
    <n v="2024"/>
    <n v="11"/>
    <d v="2024-01-11T00:00:00"/>
    <x v="34"/>
    <x v="2"/>
    <n v="323.69933300000002"/>
    <n v="323.69933300000002"/>
    <n v="0"/>
    <n v="4104.8339349999997"/>
    <n v="65.314757"/>
    <n v="0"/>
    <n v="0"/>
    <n v="0"/>
    <n v="0"/>
    <n v="0"/>
    <n v="0"/>
    <n v="0"/>
    <n v="0"/>
  </r>
  <r>
    <n v="2024"/>
    <n v="11"/>
    <d v="2024-01-11T00:00:00"/>
    <x v="34"/>
    <x v="3"/>
    <n v="304.76747906000003"/>
    <n v="304.76747906000003"/>
    <n v="0"/>
    <n v="1609.5021380000001"/>
    <n v="74.785197999999994"/>
    <n v="0"/>
    <n v="14.465847"/>
    <n v="14.465847"/>
    <n v="0"/>
    <n v="0"/>
    <n v="27.199655"/>
    <n v="4.5330050000000002"/>
    <n v="0"/>
  </r>
  <r>
    <n v="2024"/>
    <n v="11"/>
    <d v="2024-01-11T00:00:00"/>
    <x v="34"/>
    <x v="4"/>
    <n v="59.265878000000001"/>
    <n v="59.237071"/>
    <n v="2.8806999999999999E-2"/>
    <n v="912.79748199999995"/>
    <n v="29.995705999999998"/>
    <n v="0"/>
    <n v="4.1528039999999997"/>
    <n v="4.1528039999999997"/>
    <n v="0"/>
    <n v="0"/>
    <n v="44.367347000000002"/>
    <n v="18.079401000000001"/>
    <n v="0"/>
  </r>
  <r>
    <n v="2024"/>
    <n v="11"/>
    <d v="2024-01-11T00:00:00"/>
    <x v="34"/>
    <x v="5"/>
    <n v="23.655083910000002"/>
    <n v="23.655083910000002"/>
    <n v="0"/>
    <n v="62.106947499999997"/>
    <n v="2.5822496899999998"/>
    <n v="0"/>
    <n v="0"/>
    <n v="0"/>
    <n v="0"/>
    <n v="0"/>
    <n v="0"/>
    <n v="0.26995418999999998"/>
    <n v="0"/>
  </r>
  <r>
    <n v="2024"/>
    <n v="11"/>
    <d v="2024-01-11T00:00:00"/>
    <x v="34"/>
    <x v="6"/>
    <n v="0"/>
    <n v="0"/>
    <n v="0"/>
    <n v="9.6270260000000007"/>
    <n v="3.6319999999999998E-3"/>
    <n v="0"/>
    <n v="0"/>
    <n v="0"/>
    <n v="0"/>
    <n v="0"/>
    <n v="0"/>
    <n v="0"/>
    <n v="0"/>
  </r>
  <r>
    <n v="2024"/>
    <n v="11"/>
    <d v="2024-01-11T00:00:00"/>
    <x v="34"/>
    <x v="7"/>
    <n v="14.505708"/>
    <n v="14.505708"/>
    <n v="0"/>
    <n v="2.9448500000000002"/>
    <n v="0"/>
    <n v="0"/>
    <n v="0"/>
    <n v="0"/>
    <n v="0"/>
    <n v="0"/>
    <n v="0"/>
    <n v="0"/>
    <n v="0"/>
  </r>
  <r>
    <n v="2024"/>
    <n v="11"/>
    <d v="2024-01-11T00:00:00"/>
    <x v="34"/>
    <x v="8"/>
    <n v="13.041494999999999"/>
    <n v="13.041494999999999"/>
    <n v="0"/>
    <n v="227.83342400000001"/>
    <n v="27.521988"/>
    <n v="0"/>
    <n v="0"/>
    <n v="0"/>
    <n v="0"/>
    <n v="0"/>
    <n v="15.195948"/>
    <n v="22.077895000000002"/>
    <n v="0"/>
  </r>
  <r>
    <n v="2024"/>
    <n v="11"/>
    <d v="2024-01-11T00:00:00"/>
    <x v="34"/>
    <x v="9"/>
    <n v="16.960809559999998"/>
    <n v="16.960809559999998"/>
    <n v="0"/>
    <n v="37.977517290000002"/>
    <n v="1.0721430000000001E-2"/>
    <n v="0"/>
    <n v="0"/>
    <n v="0"/>
    <n v="0"/>
    <n v="0"/>
    <n v="0"/>
    <n v="0"/>
    <n v="0"/>
  </r>
  <r>
    <n v="2024"/>
    <n v="11"/>
    <d v="2024-01-11T00:00:00"/>
    <x v="34"/>
    <x v="10"/>
    <n v="0"/>
    <n v="0"/>
    <n v="0"/>
    <n v="216.533029"/>
    <n v="0"/>
    <n v="0"/>
    <n v="0"/>
    <n v="0"/>
    <n v="0"/>
    <n v="0"/>
    <n v="0"/>
    <n v="0"/>
    <n v="0"/>
  </r>
  <r>
    <n v="2024"/>
    <n v="11"/>
    <d v="2024-01-11T00:00:00"/>
    <x v="34"/>
    <x v="44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11"/>
    <n v="761.88951199999997"/>
    <n v="761.88951199999997"/>
    <n v="0"/>
    <n v="99.593174000000005"/>
    <n v="17.805121"/>
    <n v="0"/>
    <n v="0"/>
    <n v="0"/>
    <n v="0"/>
    <n v="0"/>
    <n v="0"/>
    <n v="0"/>
    <n v="0"/>
  </r>
  <r>
    <n v="2024"/>
    <n v="11"/>
    <d v="2024-01-11T00:00:00"/>
    <x v="34"/>
    <x v="12"/>
    <n v="85.370088349999989"/>
    <n v="85.370088349999989"/>
    <n v="0"/>
    <n v="1225.1272698900002"/>
    <n v="187.79755384000001"/>
    <n v="0"/>
    <n v="2.0923628299999999"/>
    <n v="0.11660255999999999"/>
    <n v="0"/>
    <n v="1.9757602700000001"/>
    <n v="99.555839609999992"/>
    <n v="12.923121980000001"/>
    <n v="0"/>
  </r>
  <r>
    <n v="2024"/>
    <n v="11"/>
    <d v="2024-01-11T00:00:00"/>
    <x v="34"/>
    <x v="13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14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15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16"/>
    <n v="0"/>
    <n v="0"/>
    <n v="0"/>
    <n v="0"/>
    <n v="0.50555874999999995"/>
    <n v="0"/>
    <n v="3.98357625"/>
    <n v="3.98339102"/>
    <n v="0"/>
    <n v="1.8522999999999999E-4"/>
    <n v="0"/>
    <n v="0"/>
    <n v="0"/>
  </r>
  <r>
    <n v="2024"/>
    <n v="11"/>
    <d v="2024-01-11T00:00:00"/>
    <x v="34"/>
    <x v="17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19"/>
    <n v="0"/>
    <n v="0"/>
    <n v="0"/>
    <n v="918.41177228999993"/>
    <n v="5.1032500000000001E-3"/>
    <n v="0"/>
    <n v="0"/>
    <n v="0"/>
    <n v="0"/>
    <n v="0"/>
    <n v="0"/>
    <n v="0"/>
    <n v="0"/>
  </r>
  <r>
    <n v="2024"/>
    <n v="11"/>
    <d v="2024-01-11T00:00:00"/>
    <x v="34"/>
    <x v="20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21"/>
    <n v="0"/>
    <n v="0"/>
    <n v="0"/>
    <n v="382.18962599999998"/>
    <n v="0"/>
    <n v="0"/>
    <n v="0"/>
    <n v="0"/>
    <n v="0"/>
    <n v="0"/>
    <n v="15.609736"/>
    <n v="0"/>
    <n v="0"/>
  </r>
  <r>
    <n v="2024"/>
    <n v="11"/>
    <d v="2024-01-11T00:00:00"/>
    <x v="34"/>
    <x v="22"/>
    <n v="164.99212600000001"/>
    <n v="161.36410000000001"/>
    <n v="0"/>
    <n v="1.9699999999999999E-4"/>
    <n v="0"/>
    <n v="0"/>
    <n v="0"/>
    <n v="0"/>
    <n v="0"/>
    <n v="0"/>
    <n v="0"/>
    <n v="0"/>
    <n v="0"/>
  </r>
  <r>
    <n v="2024"/>
    <n v="11"/>
    <d v="2024-01-11T00:00:00"/>
    <x v="34"/>
    <x v="23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24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25"/>
    <n v="0"/>
    <n v="0"/>
    <n v="0"/>
    <n v="28.203311850000002"/>
    <n v="0.44192414000000002"/>
    <n v="0"/>
    <n v="0"/>
    <n v="0"/>
    <n v="0"/>
    <n v="0"/>
    <n v="0"/>
    <n v="0"/>
    <n v="0"/>
  </r>
  <r>
    <n v="2024"/>
    <n v="11"/>
    <d v="2024-01-11T00:00:00"/>
    <x v="34"/>
    <x v="26"/>
    <n v="0"/>
    <n v="0"/>
    <n v="0"/>
    <n v="14.14609772"/>
    <n v="0"/>
    <n v="0"/>
    <n v="0"/>
    <n v="0"/>
    <n v="0"/>
    <n v="0"/>
    <n v="0"/>
    <n v="0"/>
    <n v="0"/>
  </r>
  <r>
    <n v="2024"/>
    <n v="11"/>
    <d v="2024-01-11T00:00:00"/>
    <x v="34"/>
    <x v="27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28"/>
    <n v="0"/>
    <n v="0"/>
    <n v="0"/>
    <n v="35.668115999999998"/>
    <n v="0"/>
    <n v="0"/>
    <n v="0"/>
    <n v="0"/>
    <n v="0"/>
    <n v="0"/>
    <n v="0"/>
    <n v="0"/>
    <n v="0"/>
  </r>
  <r>
    <n v="2024"/>
    <n v="11"/>
    <d v="2024-01-11T00:00:00"/>
    <x v="34"/>
    <x v="29"/>
    <n v="0"/>
    <n v="0"/>
    <n v="0"/>
    <n v="12.978714999999999"/>
    <n v="0"/>
    <n v="0"/>
    <n v="0"/>
    <n v="0"/>
    <n v="0"/>
    <n v="0"/>
    <n v="0"/>
    <n v="0"/>
    <n v="0"/>
  </r>
  <r>
    <n v="2024"/>
    <n v="11"/>
    <d v="2024-01-11T00:00:00"/>
    <x v="34"/>
    <x v="30"/>
    <n v="5.5465059500000002"/>
    <n v="2.1250035899999999"/>
    <n v="3.4215023599999999"/>
    <n v="16.369161810000001"/>
    <n v="5.6382929999999998E-2"/>
    <n v="0"/>
    <n v="0"/>
    <n v="0"/>
    <n v="0"/>
    <n v="0"/>
    <n v="5.63394993"/>
    <n v="9.7830059999999996E-2"/>
    <n v="0"/>
  </r>
  <r>
    <n v="2024"/>
    <n v="11"/>
    <d v="2024-01-11T00:00:00"/>
    <x v="34"/>
    <x v="31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32"/>
    <n v="0"/>
    <n v="0"/>
    <n v="0"/>
    <n v="0.52841784999999997"/>
    <n v="0"/>
    <n v="0"/>
    <n v="0"/>
    <n v="0"/>
    <n v="0"/>
    <n v="0"/>
    <n v="0"/>
    <n v="0"/>
    <n v="0"/>
  </r>
  <r>
    <n v="2024"/>
    <n v="11"/>
    <d v="2024-01-11T00:00:00"/>
    <x v="34"/>
    <x v="33"/>
    <n v="0"/>
    <n v="0"/>
    <n v="0"/>
    <n v="4.1419790000000001"/>
    <n v="0"/>
    <n v="0"/>
    <n v="0"/>
    <n v="0"/>
    <n v="0"/>
    <n v="0"/>
    <n v="0.12069199999999999"/>
    <n v="0"/>
    <n v="0"/>
  </r>
  <r>
    <n v="2024"/>
    <n v="11"/>
    <d v="2024-01-11T00:00:00"/>
    <x v="34"/>
    <x v="34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35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36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37"/>
    <n v="0"/>
    <n v="0"/>
    <n v="0"/>
    <n v="0"/>
    <n v="0"/>
    <n v="0"/>
    <n v="6.1749999999999997E-5"/>
    <n v="6.1749999999999997E-5"/>
    <n v="0"/>
    <n v="0"/>
    <n v="0"/>
    <n v="0"/>
    <n v="0"/>
  </r>
  <r>
    <n v="2024"/>
    <n v="11"/>
    <d v="2024-01-11T00:00:00"/>
    <x v="34"/>
    <x v="38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39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40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41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42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45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43"/>
    <n v="0"/>
    <n v="0"/>
    <n v="0"/>
    <n v="0"/>
    <n v="0"/>
    <n v="0"/>
    <n v="0"/>
    <n v="0"/>
    <n v="0"/>
    <n v="0"/>
    <n v="0"/>
    <n v="0"/>
    <n v="0"/>
  </r>
  <r>
    <n v="2024"/>
    <n v="11"/>
    <d v="2024-01-11T00:00:00"/>
    <x v="34"/>
    <x v="46"/>
    <n v="0"/>
    <n v="0"/>
    <n v="0"/>
    <n v="0.37138003999999997"/>
    <n v="0"/>
    <n v="0"/>
    <n v="0"/>
    <n v="0"/>
    <n v="0"/>
    <n v="0"/>
    <n v="0.19188986999999999"/>
    <n v="0"/>
    <n v="0"/>
  </r>
  <r>
    <n v="2024"/>
    <n v="12"/>
    <d v="2024-01-12T00:00:00"/>
    <x v="35"/>
    <x v="0"/>
    <n v="2900.24775494"/>
    <n v="2897.9535792500001"/>
    <n v="2.2941756899999999"/>
    <n v="10910.10659519"/>
    <n v="737.95362363000004"/>
    <n v="19.268386370000002"/>
    <n v="182.85462472"/>
    <n v="137.25270631999999"/>
    <n v="45.601918399999995"/>
    <n v="0"/>
    <n v="231.14792130000001"/>
    <n v="61.368623249999999"/>
    <n v="0"/>
  </r>
  <r>
    <n v="2024"/>
    <n v="12"/>
    <d v="2024-01-12T00:00:00"/>
    <x v="35"/>
    <x v="1"/>
    <n v="67.664466489999995"/>
    <n v="67.664466489999995"/>
    <n v="0"/>
    <n v="402.90762745999996"/>
    <n v="57.238859990000002"/>
    <n v="19.268386370000002"/>
    <n v="0"/>
    <n v="0"/>
    <n v="0"/>
    <n v="0"/>
    <n v="0"/>
    <n v="0"/>
    <n v="0"/>
  </r>
  <r>
    <n v="2024"/>
    <n v="12"/>
    <d v="2024-01-12T00:00:00"/>
    <x v="35"/>
    <x v="2"/>
    <n v="457.98680100000001"/>
    <n v="457.98680100000001"/>
    <n v="0"/>
    <n v="4186.9439130000001"/>
    <n v="288.55520799999999"/>
    <n v="0"/>
    <n v="0"/>
    <n v="0"/>
    <n v="0"/>
    <n v="0"/>
    <n v="0"/>
    <n v="0"/>
    <n v="0"/>
  </r>
  <r>
    <n v="2024"/>
    <n v="12"/>
    <d v="2024-01-12T00:00:00"/>
    <x v="35"/>
    <x v="3"/>
    <n v="870.17263500000001"/>
    <n v="870.17263500000001"/>
    <n v="0"/>
    <n v="1881.3919289999999"/>
    <n v="116.297258"/>
    <n v="0"/>
    <n v="85.343742000000006"/>
    <n v="85.343742000000006"/>
    <n v="0"/>
    <n v="0"/>
    <n v="31.571850000000001"/>
    <n v="6.1907360000000002"/>
    <n v="0"/>
  </r>
  <r>
    <n v="2024"/>
    <n v="12"/>
    <d v="2024-01-12T00:00:00"/>
    <x v="35"/>
    <x v="4"/>
    <n v="224.84819400000001"/>
    <n v="222.949681"/>
    <n v="1.8985129999999999"/>
    <n v="957.46179199999995"/>
    <n v="38.174551999999998"/>
    <n v="0"/>
    <n v="15.587453999999999"/>
    <n v="15.587453999999999"/>
    <n v="0"/>
    <n v="0"/>
    <n v="53.390529999999998"/>
    <n v="22.99417"/>
    <n v="0"/>
  </r>
  <r>
    <n v="2024"/>
    <n v="12"/>
    <d v="2024-01-12T00:00:00"/>
    <x v="35"/>
    <x v="5"/>
    <n v="374.40018577999996"/>
    <n v="374.40018577999996"/>
    <n v="0"/>
    <n v="66.756616260000001"/>
    <n v="8.4411948399999996"/>
    <n v="0"/>
    <n v="0"/>
    <n v="0"/>
    <n v="0"/>
    <n v="0"/>
    <n v="0"/>
    <n v="0.23552288000000002"/>
    <n v="0"/>
  </r>
  <r>
    <n v="2024"/>
    <n v="12"/>
    <d v="2024-01-12T00:00:00"/>
    <x v="35"/>
    <x v="6"/>
    <n v="0"/>
    <n v="0"/>
    <n v="0"/>
    <n v="8.6692699999999991"/>
    <n v="1.4803999999999999E-2"/>
    <n v="0"/>
    <n v="0"/>
    <n v="0"/>
    <n v="0"/>
    <n v="0"/>
    <n v="0"/>
    <n v="0"/>
    <n v="0"/>
  </r>
  <r>
    <n v="2024"/>
    <n v="12"/>
    <d v="2024-01-12T00:00:00"/>
    <x v="35"/>
    <x v="7"/>
    <n v="2.5908890000000002"/>
    <n v="2.5908890000000002"/>
    <n v="0"/>
    <n v="2.0017339999999999"/>
    <n v="2.197247"/>
    <n v="0"/>
    <n v="0"/>
    <n v="0"/>
    <n v="0"/>
    <n v="0"/>
    <n v="0"/>
    <n v="0"/>
    <n v="0"/>
  </r>
  <r>
    <n v="2024"/>
    <n v="12"/>
    <d v="2024-01-12T00:00:00"/>
    <x v="35"/>
    <x v="8"/>
    <n v="701.27461600000004"/>
    <n v="701.27461600000004"/>
    <n v="0"/>
    <n v="277.79386399999999"/>
    <n v="32.657862999999999"/>
    <n v="0"/>
    <n v="18.540669999999999"/>
    <n v="18.540669999999999"/>
    <n v="0"/>
    <n v="0"/>
    <n v="19.399277000000001"/>
    <n v="16.009121"/>
    <n v="0"/>
  </r>
  <r>
    <n v="2024"/>
    <n v="12"/>
    <d v="2024-01-12T00:00:00"/>
    <x v="35"/>
    <x v="9"/>
    <n v="74.053127119999999"/>
    <n v="74.04896045000001"/>
    <n v="4.1666699999999999E-3"/>
    <n v="147.37941053"/>
    <n v="0.67665401999999997"/>
    <n v="0"/>
    <n v="0"/>
    <n v="0"/>
    <n v="0"/>
    <n v="0"/>
    <n v="0"/>
    <n v="0"/>
    <n v="0"/>
  </r>
  <r>
    <n v="2024"/>
    <n v="12"/>
    <d v="2024-01-12T00:00:00"/>
    <x v="35"/>
    <x v="10"/>
    <n v="0"/>
    <n v="0"/>
    <n v="0"/>
    <n v="224.18751800000001"/>
    <n v="0"/>
    <n v="0"/>
    <n v="0"/>
    <n v="0"/>
    <n v="0"/>
    <n v="0"/>
    <n v="0"/>
    <n v="0"/>
    <n v="0"/>
  </r>
  <r>
    <n v="2024"/>
    <n v="12"/>
    <d v="2024-01-12T00:00:00"/>
    <x v="35"/>
    <x v="44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11"/>
    <n v="1.1640109999999999"/>
    <n v="1.1640109999999999"/>
    <n v="0"/>
    <n v="128.513048"/>
    <n v="9.3129489999999997"/>
    <n v="0"/>
    <n v="0"/>
    <n v="0"/>
    <n v="0"/>
    <n v="0"/>
    <n v="0"/>
    <n v="0"/>
    <n v="0"/>
  </r>
  <r>
    <n v="2024"/>
    <n v="12"/>
    <d v="2024-01-12T00:00:00"/>
    <x v="35"/>
    <x v="12"/>
    <n v="108.35800157"/>
    <n v="108.35800157"/>
    <n v="0"/>
    <n v="1289.38538382"/>
    <n v="183.80643702"/>
    <n v="0"/>
    <n v="17.661060350000003"/>
    <n v="17.661060350000003"/>
    <n v="0"/>
    <n v="0"/>
    <n v="100.80874109999999"/>
    <n v="15.766049519999999"/>
    <n v="0"/>
  </r>
  <r>
    <n v="2024"/>
    <n v="12"/>
    <d v="2024-01-12T00:00:00"/>
    <x v="35"/>
    <x v="13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14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15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16"/>
    <n v="0"/>
    <n v="0"/>
    <n v="0"/>
    <n v="0"/>
    <n v="3.5726910000000001E-2"/>
    <n v="0"/>
    <n v="0.11977997"/>
    <n v="0.11977997"/>
    <n v="0"/>
    <n v="0"/>
    <n v="0"/>
    <n v="0"/>
    <n v="0"/>
  </r>
  <r>
    <n v="2024"/>
    <n v="12"/>
    <d v="2024-01-12T00:00:00"/>
    <x v="35"/>
    <x v="17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19"/>
    <n v="0"/>
    <n v="0"/>
    <n v="0"/>
    <n v="863.20758896000007"/>
    <n v="1.824914E-2"/>
    <n v="0"/>
    <n v="0"/>
    <n v="0"/>
    <n v="0"/>
    <n v="0"/>
    <n v="0"/>
    <n v="0"/>
    <n v="0"/>
  </r>
  <r>
    <n v="2024"/>
    <n v="12"/>
    <d v="2024-01-12T00:00:00"/>
    <x v="35"/>
    <x v="20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21"/>
    <n v="0"/>
    <n v="0"/>
    <n v="0"/>
    <n v="387.06853899999999"/>
    <n v="0"/>
    <n v="0"/>
    <n v="0"/>
    <n v="0"/>
    <n v="0"/>
    <n v="0"/>
    <n v="19.620578999999999"/>
    <n v="0"/>
    <n v="0"/>
  </r>
  <r>
    <n v="2024"/>
    <n v="12"/>
    <d v="2024-01-12T00:00:00"/>
    <x v="35"/>
    <x v="22"/>
    <n v="0.752888"/>
    <n v="0.752888"/>
    <n v="0"/>
    <n v="1.2E-5"/>
    <n v="0"/>
    <n v="0"/>
    <n v="0"/>
    <n v="0"/>
    <n v="0"/>
    <n v="0"/>
    <n v="0"/>
    <n v="0"/>
    <n v="0"/>
  </r>
  <r>
    <n v="2024"/>
    <n v="12"/>
    <d v="2024-01-12T00:00:00"/>
    <x v="35"/>
    <x v="23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24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25"/>
    <n v="0"/>
    <n v="0"/>
    <n v="0"/>
    <n v="24.344075030000003"/>
    <n v="0.45686885999999999"/>
    <n v="0"/>
    <n v="0"/>
    <n v="0"/>
    <n v="0"/>
    <n v="0"/>
    <n v="0"/>
    <n v="0"/>
    <n v="0"/>
  </r>
  <r>
    <n v="2024"/>
    <n v="12"/>
    <d v="2024-01-12T00:00:00"/>
    <x v="35"/>
    <x v="26"/>
    <n v="0"/>
    <n v="0"/>
    <n v="0"/>
    <n v="16.086207340000001"/>
    <n v="0"/>
    <n v="0"/>
    <n v="0"/>
    <n v="0"/>
    <n v="0"/>
    <n v="0"/>
    <n v="0"/>
    <n v="0"/>
    <n v="0"/>
  </r>
  <r>
    <n v="2024"/>
    <n v="12"/>
    <d v="2024-01-12T00:00:00"/>
    <x v="35"/>
    <x v="27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28"/>
    <n v="0"/>
    <n v="0"/>
    <n v="0"/>
    <n v="35.550671000000001"/>
    <n v="0"/>
    <n v="0"/>
    <n v="0"/>
    <n v="0"/>
    <n v="0"/>
    <n v="0"/>
    <n v="0"/>
    <n v="0"/>
    <n v="0"/>
  </r>
  <r>
    <n v="2024"/>
    <n v="12"/>
    <d v="2024-01-12T00:00:00"/>
    <x v="35"/>
    <x v="29"/>
    <n v="0"/>
    <n v="0"/>
    <n v="0"/>
    <n v="4.8099999999999997E-2"/>
    <n v="0"/>
    <n v="0"/>
    <n v="0"/>
    <n v="0"/>
    <n v="0"/>
    <n v="0"/>
    <n v="0"/>
    <n v="0"/>
    <n v="0"/>
  </r>
  <r>
    <n v="2024"/>
    <n v="12"/>
    <d v="2024-01-12T00:00:00"/>
    <x v="35"/>
    <x v="30"/>
    <n v="8.6986744399999996"/>
    <n v="8.3166119999999992"/>
    <n v="0.38206244"/>
    <n v="2.9657596800000001"/>
    <n v="6.9751850000000004E-2"/>
    <n v="0"/>
    <n v="45.601918399999995"/>
    <n v="0"/>
    <n v="45.601918399999995"/>
    <n v="0"/>
    <n v="6.3277099400000001"/>
    <n v="0.17302385000000001"/>
    <n v="0"/>
  </r>
  <r>
    <n v="2024"/>
    <n v="12"/>
    <d v="2024-01-12T00:00:00"/>
    <x v="35"/>
    <x v="31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32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33"/>
    <n v="0"/>
    <n v="0"/>
    <n v="0"/>
    <n v="5.646312"/>
    <n v="0"/>
    <n v="0"/>
    <n v="0"/>
    <n v="0"/>
    <n v="0"/>
    <n v="0"/>
    <n v="0"/>
    <n v="0"/>
    <n v="0"/>
  </r>
  <r>
    <n v="2024"/>
    <n v="12"/>
    <d v="2024-01-12T00:00:00"/>
    <x v="35"/>
    <x v="34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35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36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37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38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39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40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41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42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45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43"/>
    <n v="0"/>
    <n v="0"/>
    <n v="0"/>
    <n v="0"/>
    <n v="0"/>
    <n v="0"/>
    <n v="0"/>
    <n v="0"/>
    <n v="0"/>
    <n v="0"/>
    <n v="0"/>
    <n v="0"/>
    <n v="0"/>
  </r>
  <r>
    <n v="2024"/>
    <n v="12"/>
    <d v="2024-01-12T00:00:00"/>
    <x v="35"/>
    <x v="46"/>
    <n v="0"/>
    <n v="0"/>
    <n v="0"/>
    <n v="1.7972241100000002"/>
    <n v="0"/>
    <n v="0"/>
    <n v="0"/>
    <n v="0"/>
    <n v="0"/>
    <n v="0"/>
    <n v="2.9234259999999998E-2"/>
    <n v="0"/>
    <n v="0"/>
  </r>
  <r>
    <n v="2025"/>
    <s v="01"/>
    <s v="01/01/2025"/>
    <x v="36"/>
    <x v="0"/>
    <n v="2387.6976909999998"/>
    <n v="11024.484571370002"/>
    <n v="450.87588472000004"/>
    <n v="2387.1720211699999"/>
    <n v="0.49821082999999999"/>
    <n v="285.00021155000002"/>
    <n v="62.187970579999998"/>
    <n v="62.187893469999999"/>
    <n v="213.71285865999999"/>
    <n v="83.07030623"/>
    <n v="62.187893469999999"/>
    <n v="0"/>
    <n v="7.7109999999999999E-5"/>
  </r>
  <r>
    <n v="2025"/>
    <s v="01"/>
    <s v="01/01/2025"/>
    <x v="36"/>
    <x v="1"/>
    <n v="72.100044959999991"/>
    <n v="416.09016502999998"/>
    <n v="54.048974100000002"/>
    <n v="72.100044959999991"/>
    <n v="0"/>
    <n v="285.00021155000002"/>
    <n v="0"/>
    <n v="0"/>
    <n v="0"/>
    <n v="0"/>
    <n v="0"/>
    <n v="0"/>
    <n v="0"/>
  </r>
  <r>
    <n v="2025"/>
    <s v="01"/>
    <s v="01/01/2025"/>
    <x v="36"/>
    <x v="2"/>
    <n v="320.83700900000002"/>
    <n v="4245.507404"/>
    <n v="116.362848"/>
    <n v="320.68379299999998"/>
    <n v="0.12575700000000001"/>
    <n v="0"/>
    <n v="0"/>
    <n v="0"/>
    <n v="0"/>
    <n v="0"/>
    <n v="0"/>
    <n v="0"/>
    <n v="0"/>
  </r>
  <r>
    <n v="2025"/>
    <s v="01"/>
    <s v="01/01/2025"/>
    <x v="36"/>
    <x v="3"/>
    <n v="263.63849699999997"/>
    <n v="1617.4132910000001"/>
    <n v="68.066543999999993"/>
    <n v="263.63849699999997"/>
    <n v="0"/>
    <n v="0"/>
    <n v="11.047093"/>
    <n v="11.047093"/>
    <n v="33.205348999999998"/>
    <n v="14.78875"/>
    <n v="11.047093"/>
    <n v="0"/>
    <n v="0"/>
  </r>
  <r>
    <n v="2025"/>
    <s v="01"/>
    <s v="01/01/2025"/>
    <x v="36"/>
    <x v="4"/>
    <n v="77.270268000000002"/>
    <n v="996.61688200000003"/>
    <n v="29.997869000000001"/>
    <n v="77.270268000000002"/>
    <n v="0"/>
    <n v="0"/>
    <n v="15.147319"/>
    <n v="15.147319"/>
    <n v="49.846539999999997"/>
    <n v="17.743579"/>
    <n v="15.147319"/>
    <n v="0"/>
    <n v="0"/>
  </r>
  <r>
    <n v="2025"/>
    <s v="01"/>
    <s v="01/01/2025"/>
    <x v="36"/>
    <x v="5"/>
    <n v="11.21068526"/>
    <n v="68.202005319999998"/>
    <n v="2.0885538700000001"/>
    <n v="11.21068526"/>
    <n v="0"/>
    <n v="0"/>
    <n v="0"/>
    <n v="0"/>
    <n v="0"/>
    <n v="0.31757099"/>
    <n v="0"/>
    <n v="0"/>
    <n v="0"/>
  </r>
  <r>
    <n v="2025"/>
    <s v="01"/>
    <s v="01/01/2025"/>
    <x v="36"/>
    <x v="6"/>
    <n v="0"/>
    <n v="12.316544"/>
    <n v="1.255E-3"/>
    <n v="0"/>
    <n v="0"/>
    <n v="0"/>
    <n v="0"/>
    <n v="0"/>
    <n v="0"/>
    <n v="0"/>
    <n v="0"/>
    <n v="0"/>
    <n v="0"/>
  </r>
  <r>
    <n v="2025"/>
    <s v="01"/>
    <s v="01/01/2025"/>
    <x v="36"/>
    <x v="7"/>
    <n v="12.339663"/>
    <n v="2.6459239999999999"/>
    <n v="0"/>
    <n v="12.339663"/>
    <n v="0"/>
    <n v="0"/>
    <n v="0"/>
    <n v="0"/>
    <n v="0"/>
    <n v="0"/>
    <n v="0"/>
    <n v="0"/>
    <n v="0"/>
  </r>
  <r>
    <n v="2025"/>
    <s v="01"/>
    <s v="01/01/2025"/>
    <x v="36"/>
    <x v="8"/>
    <n v="1466.644534"/>
    <n v="247.61716999999999"/>
    <n v="26.840927000000001"/>
    <n v="1466.644534"/>
    <n v="0"/>
    <n v="0"/>
    <n v="0.168879"/>
    <n v="0.168879"/>
    <n v="22.948989999999998"/>
    <n v="36.449890000000003"/>
    <n v="0.168879"/>
    <n v="0"/>
    <n v="0"/>
  </r>
  <r>
    <n v="2025"/>
    <s v="01"/>
    <s v="01/01/2025"/>
    <x v="36"/>
    <x v="9"/>
    <n v="58.46484675"/>
    <n v="75.406581489999994"/>
    <n v="0.11510535000000001"/>
    <n v="58.46484675"/>
    <n v="0"/>
    <n v="0"/>
    <n v="0"/>
    <n v="0"/>
    <n v="0"/>
    <n v="0"/>
    <n v="0"/>
    <n v="0"/>
    <n v="0"/>
  </r>
  <r>
    <n v="2025"/>
    <s v="01"/>
    <s v="01/01/2025"/>
    <x v="36"/>
    <x v="10"/>
    <n v="0"/>
    <n v="248.09147400000001"/>
    <n v="0"/>
    <n v="0"/>
    <n v="0"/>
    <n v="0"/>
    <n v="0"/>
    <n v="0"/>
    <n v="0"/>
    <n v="0"/>
    <n v="0"/>
    <n v="0"/>
    <n v="0"/>
  </r>
  <r>
    <n v="2025"/>
    <s v="01"/>
    <s v="01/01/2025"/>
    <x v="36"/>
    <x v="44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11"/>
    <n v="2.560781"/>
    <n v="105.41974"/>
    <n v="2.0879000000000002E-2"/>
    <n v="2.560781"/>
    <n v="0"/>
    <n v="0"/>
    <n v="0"/>
    <n v="0"/>
    <n v="0"/>
    <n v="0"/>
    <n v="0"/>
    <n v="0"/>
    <n v="0"/>
  </r>
  <r>
    <n v="2025"/>
    <s v="01"/>
    <s v="01/01/2025"/>
    <x v="36"/>
    <x v="12"/>
    <n v="96.61122263"/>
    <n v="1314.0147823699999"/>
    <n v="152.23662851"/>
    <n v="96.61122263"/>
    <n v="0"/>
    <n v="0"/>
    <n v="31.888519590000001"/>
    <n v="31.888442480000002"/>
    <n v="79.042434319999998"/>
    <n v="13.72007675"/>
    <n v="31.888442480000002"/>
    <n v="0"/>
    <n v="7.7109999999999999E-5"/>
  </r>
  <r>
    <n v="2025"/>
    <s v="01"/>
    <s v="01/01/2025"/>
    <x v="36"/>
    <x v="13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14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15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16"/>
    <n v="0.41878729999999997"/>
    <n v="0"/>
    <n v="7.2175199999999995E-2"/>
    <n v="0.41878729999999997"/>
    <n v="0"/>
    <n v="0"/>
    <n v="1.28905801"/>
    <n v="1.28905801"/>
    <n v="0"/>
    <n v="0"/>
    <n v="1.28905801"/>
    <n v="0"/>
    <n v="0"/>
  </r>
  <r>
    <n v="2025"/>
    <s v="01"/>
    <s v="01/01/2025"/>
    <x v="36"/>
    <x v="17"/>
    <n v="3.5460210000000001"/>
    <n v="0"/>
    <n v="0"/>
    <n v="3.5460210000000001"/>
    <n v="0"/>
    <n v="0"/>
    <n v="0"/>
    <n v="0"/>
    <n v="0"/>
    <n v="0"/>
    <n v="0"/>
    <n v="0"/>
    <n v="0"/>
  </r>
  <r>
    <n v="2025"/>
    <s v="01"/>
    <s v="01/01/2025"/>
    <x v="36"/>
    <x v="19"/>
    <n v="0"/>
    <n v="1073.6265673"/>
    <n v="9.0042300000000002E-3"/>
    <n v="0"/>
    <n v="0"/>
    <n v="0"/>
    <n v="0"/>
    <n v="0"/>
    <n v="0"/>
    <n v="0"/>
    <n v="0"/>
    <n v="0"/>
    <n v="0"/>
  </r>
  <r>
    <n v="2025"/>
    <s v="01"/>
    <s v="01/01/2025"/>
    <x v="36"/>
    <x v="20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21"/>
    <n v="0"/>
    <n v="524.15214100000003"/>
    <n v="0"/>
    <n v="0"/>
    <n v="0"/>
    <n v="0"/>
    <n v="0"/>
    <n v="0"/>
    <n v="20.827542999999999"/>
    <n v="0"/>
    <n v="0"/>
    <n v="0"/>
    <n v="0"/>
  </r>
  <r>
    <n v="2025"/>
    <s v="01"/>
    <s v="01/01/2025"/>
    <x v="36"/>
    <x v="22"/>
    <n v="0"/>
    <n v="1.5E-5"/>
    <n v="0"/>
    <n v="0"/>
    <n v="0"/>
    <n v="0"/>
    <n v="0"/>
    <n v="0"/>
    <n v="0"/>
    <n v="0"/>
    <n v="0"/>
    <n v="0"/>
    <n v="0"/>
  </r>
  <r>
    <n v="2025"/>
    <s v="01"/>
    <s v="01/01/2025"/>
    <x v="36"/>
    <x v="23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24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25"/>
    <n v="0"/>
    <n v="18.466318749999999"/>
    <n v="0.98009413000000001"/>
    <n v="0"/>
    <n v="0"/>
    <n v="0"/>
    <n v="0"/>
    <n v="0"/>
    <n v="0"/>
    <n v="0"/>
    <n v="0"/>
    <n v="0"/>
    <n v="0"/>
  </r>
  <r>
    <n v="2025"/>
    <s v="01"/>
    <s v="01/01/2025"/>
    <x v="36"/>
    <x v="26"/>
    <n v="0"/>
    <n v="15.14673923"/>
    <n v="0"/>
    <n v="0"/>
    <n v="0"/>
    <n v="0"/>
    <n v="0"/>
    <n v="0"/>
    <n v="0"/>
    <n v="0"/>
    <n v="0"/>
    <n v="0"/>
    <n v="0"/>
  </r>
  <r>
    <n v="2025"/>
    <s v="01"/>
    <s v="01/01/2025"/>
    <x v="36"/>
    <x v="27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28"/>
    <n v="0"/>
    <n v="33.914867000000001"/>
    <n v="0"/>
    <n v="0"/>
    <n v="0"/>
    <n v="0"/>
    <n v="0"/>
    <n v="0"/>
    <n v="0"/>
    <n v="0"/>
    <n v="0"/>
    <n v="0"/>
    <n v="0"/>
  </r>
  <r>
    <n v="2025"/>
    <s v="01"/>
    <s v="01/01/2025"/>
    <x v="36"/>
    <x v="29"/>
    <n v="0"/>
    <n v="0.18623400000000001"/>
    <n v="0"/>
    <n v="0"/>
    <n v="0"/>
    <n v="0"/>
    <n v="0"/>
    <n v="0"/>
    <n v="0"/>
    <n v="0"/>
    <n v="0"/>
    <n v="0"/>
    <n v="0"/>
  </r>
  <r>
    <n v="2025"/>
    <s v="01"/>
    <s v="01/01/2025"/>
    <x v="36"/>
    <x v="30"/>
    <n v="2.0553311000000001"/>
    <n v="2.66240977"/>
    <n v="3.5027330000000002E-2"/>
    <n v="1.6828772700000001"/>
    <n v="0.37245383000000004"/>
    <n v="0"/>
    <n v="0"/>
    <n v="0"/>
    <n v="7.8152778099999995"/>
    <n v="5.0439489999999997E-2"/>
    <n v="0"/>
    <n v="0"/>
    <n v="0"/>
  </r>
  <r>
    <n v="2025"/>
    <s v="01"/>
    <s v="01/01/2025"/>
    <x v="36"/>
    <x v="31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32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33"/>
    <n v="0"/>
    <n v="4.5671609999999996"/>
    <n v="0"/>
    <n v="0"/>
    <n v="0"/>
    <n v="0"/>
    <n v="0"/>
    <n v="0"/>
    <n v="0"/>
    <n v="0"/>
    <n v="0"/>
    <n v="0"/>
    <n v="0"/>
  </r>
  <r>
    <n v="2025"/>
    <s v="01"/>
    <s v="01/01/2025"/>
    <x v="36"/>
    <x v="34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35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36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37"/>
    <n v="0"/>
    <n v="0"/>
    <n v="0"/>
    <n v="0"/>
    <n v="0"/>
    <n v="0"/>
    <n v="2.64710198"/>
    <n v="2.64710198"/>
    <n v="0"/>
    <n v="0"/>
    <n v="2.64710198"/>
    <n v="0"/>
    <n v="0"/>
  </r>
  <r>
    <n v="2025"/>
    <s v="01"/>
    <s v="01/01/2025"/>
    <x v="36"/>
    <x v="38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39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40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41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42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45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43"/>
    <n v="0"/>
    <n v="0"/>
    <n v="0"/>
    <n v="0"/>
    <n v="0"/>
    <n v="0"/>
    <n v="0"/>
    <n v="0"/>
    <n v="0"/>
    <n v="0"/>
    <n v="0"/>
    <n v="0"/>
    <n v="0"/>
  </r>
  <r>
    <n v="2025"/>
    <s v="01"/>
    <s v="01/01/2025"/>
    <x v="36"/>
    <x v="46"/>
    <n v="0"/>
    <n v="0"/>
    <n v="0"/>
    <n v="0"/>
    <n v="0"/>
    <n v="0"/>
    <n v="0"/>
    <n v="0"/>
    <n v="2.672453E-2"/>
    <n v="0"/>
    <n v="0"/>
    <n v="0"/>
    <n v="0"/>
  </r>
  <r>
    <n v="2025"/>
    <s v="02"/>
    <s v="02/01/2025"/>
    <x v="37"/>
    <x v="0"/>
    <n v="1103.39406745"/>
    <n v="1101.88747302"/>
    <n v="1.49138343"/>
    <n v="10587.606741760001"/>
    <n v="527.35011066000004"/>
    <n v="136.81122567"/>
    <n v="0"/>
    <n v="23.60984375"/>
    <n v="23.60973057"/>
    <n v="0"/>
    <n v="23.60984375"/>
    <n v="181.98144044999998"/>
    <n v="88.991283379999999"/>
  </r>
  <r>
    <n v="2025"/>
    <s v="02"/>
    <s v="02/01/2025"/>
    <x v="37"/>
    <x v="1"/>
    <n v="95.288954910000001"/>
    <n v="95.288954910000001"/>
    <n v="0"/>
    <n v="317.18193933999999"/>
    <n v="27.995957000000001"/>
    <n v="136.81122567"/>
    <n v="0"/>
    <n v="0"/>
    <n v="0"/>
    <n v="0"/>
    <n v="0"/>
    <n v="0"/>
    <n v="0"/>
  </r>
  <r>
    <n v="2025"/>
    <s v="02"/>
    <s v="02/01/2025"/>
    <x v="37"/>
    <x v="2"/>
    <n v="254.367987"/>
    <n v="254.265139"/>
    <n v="8.7637000000000007E-2"/>
    <n v="4360.4456419999997"/>
    <n v="148.01707500000001"/>
    <n v="0"/>
    <n v="0"/>
    <n v="0"/>
    <n v="0"/>
    <n v="0"/>
    <n v="0"/>
    <n v="0"/>
    <n v="0"/>
  </r>
  <r>
    <n v="2025"/>
    <s v="02"/>
    <s v="02/01/2025"/>
    <x v="37"/>
    <x v="3"/>
    <n v="208.379278"/>
    <n v="208.379278"/>
    <n v="0"/>
    <n v="1507.643669"/>
    <n v="146.35636"/>
    <n v="0"/>
    <n v="0"/>
    <n v="5.0715519999999996"/>
    <n v="5.0715519999999996"/>
    <n v="0"/>
    <n v="5.0715519999999996"/>
    <n v="27.862517"/>
    <n v="10.861704"/>
  </r>
  <r>
    <n v="2025"/>
    <s v="02"/>
    <s v="02/01/2025"/>
    <x v="37"/>
    <x v="4"/>
    <n v="89.442272000000003"/>
    <n v="88.109172999999998"/>
    <n v="1.333099"/>
    <n v="1014.235015"/>
    <n v="38.481631"/>
    <n v="0"/>
    <n v="0"/>
    <n v="11.225360999999999"/>
    <n v="11.225360999999999"/>
    <n v="0"/>
    <n v="11.225360999999999"/>
    <n v="43.032280999999998"/>
    <n v="29.302517999999999"/>
  </r>
  <r>
    <n v="2025"/>
    <s v="02"/>
    <s v="02/01/2025"/>
    <x v="37"/>
    <x v="5"/>
    <n v="168.19064114"/>
    <n v="168.19064114"/>
    <n v="0"/>
    <n v="66.282605349999997"/>
    <n v="2.61008679"/>
    <n v="0"/>
    <n v="0"/>
    <n v="0"/>
    <n v="0"/>
    <n v="0"/>
    <n v="0"/>
    <n v="0"/>
    <n v="0.33331008000000001"/>
  </r>
  <r>
    <n v="2025"/>
    <s v="02"/>
    <s v="02/01/2025"/>
    <x v="37"/>
    <x v="6"/>
    <n v="0"/>
    <n v="0"/>
    <n v="0"/>
    <n v="10.674568000000001"/>
    <n v="1.5125E-2"/>
    <n v="0"/>
    <n v="0"/>
    <n v="0"/>
    <n v="0"/>
    <n v="0"/>
    <n v="0"/>
    <n v="0"/>
    <n v="0"/>
  </r>
  <r>
    <n v="2025"/>
    <s v="02"/>
    <s v="02/01/2025"/>
    <x v="37"/>
    <x v="7"/>
    <n v="9.4821390000000001"/>
    <n v="9.4821390000000001"/>
    <n v="0"/>
    <n v="0.45052399999999998"/>
    <n v="0"/>
    <n v="0"/>
    <n v="0"/>
    <n v="0"/>
    <n v="0"/>
    <n v="0"/>
    <n v="0"/>
    <n v="0"/>
    <n v="0"/>
  </r>
  <r>
    <n v="2025"/>
    <s v="02"/>
    <s v="02/01/2025"/>
    <x v="37"/>
    <x v="8"/>
    <n v="0.163859"/>
    <n v="0.163859"/>
    <n v="0"/>
    <n v="173.11343199999999"/>
    <n v="36.837721999999999"/>
    <n v="0"/>
    <n v="0"/>
    <n v="0"/>
    <n v="0"/>
    <n v="0"/>
    <n v="0"/>
    <n v="12.385680000000001"/>
    <n v="34.739655999999997"/>
  </r>
  <r>
    <n v="2025"/>
    <s v="02"/>
    <s v="02/01/2025"/>
    <x v="37"/>
    <x v="9"/>
    <n v="30.469520410000001"/>
    <n v="30.469520410000001"/>
    <n v="0"/>
    <n v="35.20419725"/>
    <n v="1.4796002500000001"/>
    <n v="0"/>
    <n v="0"/>
    <n v="0"/>
    <n v="0"/>
    <n v="0"/>
    <n v="0"/>
    <n v="0"/>
    <n v="0"/>
  </r>
  <r>
    <n v="2025"/>
    <s v="02"/>
    <s v="02/01/2025"/>
    <x v="37"/>
    <x v="10"/>
    <n v="0"/>
    <n v="0"/>
    <n v="0"/>
    <n v="266.89748800000001"/>
    <n v="0"/>
    <n v="0"/>
    <n v="0"/>
    <n v="0"/>
    <n v="0"/>
    <n v="0"/>
    <n v="0"/>
    <n v="0"/>
    <n v="0"/>
  </r>
  <r>
    <n v="2025"/>
    <s v="02"/>
    <s v="02/01/2025"/>
    <x v="37"/>
    <x v="44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11"/>
    <n v="5.805606"/>
    <n v="5.805606"/>
    <n v="0"/>
    <n v="75.348663999999999"/>
    <n v="1.064E-2"/>
    <n v="0"/>
    <n v="0"/>
    <n v="0"/>
    <n v="0"/>
    <n v="0"/>
    <n v="0"/>
    <n v="0"/>
    <n v="0"/>
  </r>
  <r>
    <n v="2025"/>
    <s v="02"/>
    <s v="02/01/2025"/>
    <x v="37"/>
    <x v="12"/>
    <n v="234.36910112999999"/>
    <n v="234.36910112999999"/>
    <n v="0"/>
    <n v="1255.50416946"/>
    <n v="123.84570653"/>
    <n v="0"/>
    <n v="0"/>
    <n v="6.0725734100000004"/>
    <n v="6.0724602300000008"/>
    <n v="0"/>
    <n v="6.0725734100000004"/>
    <n v="77.969574690000002"/>
    <n v="13.29864216"/>
  </r>
  <r>
    <n v="2025"/>
    <s v="02"/>
    <s v="02/01/2025"/>
    <x v="37"/>
    <x v="13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14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15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16"/>
    <n v="0"/>
    <n v="0"/>
    <n v="0"/>
    <n v="0"/>
    <n v="0.15782142999999998"/>
    <n v="0"/>
    <n v="0"/>
    <n v="0.49040223999999999"/>
    <n v="0.49040223999999999"/>
    <n v="0"/>
    <n v="0.49040223999999999"/>
    <n v="0"/>
    <n v="0"/>
  </r>
  <r>
    <n v="2025"/>
    <s v="02"/>
    <s v="02/01/2025"/>
    <x v="37"/>
    <x v="17"/>
    <n v="0"/>
    <n v="0"/>
    <n v="0"/>
    <n v="0"/>
    <n v="0"/>
    <n v="0"/>
    <n v="0"/>
    <n v="3.1026999999999999E-2"/>
    <n v="3.1026999999999999E-2"/>
    <n v="0"/>
    <n v="3.1026999999999999E-2"/>
    <n v="0"/>
    <n v="0"/>
  </r>
  <r>
    <n v="2025"/>
    <s v="02"/>
    <s v="02/01/2025"/>
    <x v="37"/>
    <x v="19"/>
    <n v="0"/>
    <n v="0"/>
    <n v="0"/>
    <n v="972.01968578999993"/>
    <n v="5.3447689999999999E-2"/>
    <n v="0"/>
    <n v="0"/>
    <n v="0"/>
    <n v="0"/>
    <n v="0"/>
    <n v="0"/>
    <n v="0"/>
    <n v="0"/>
  </r>
  <r>
    <n v="2025"/>
    <s v="02"/>
    <s v="02/01/2025"/>
    <x v="37"/>
    <x v="20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21"/>
    <n v="0"/>
    <n v="0"/>
    <n v="0"/>
    <n v="456.84439600000002"/>
    <n v="0"/>
    <n v="0"/>
    <n v="0"/>
    <n v="0"/>
    <n v="0"/>
    <n v="0"/>
    <n v="0"/>
    <n v="15.866028999999999"/>
    <n v="0"/>
  </r>
  <r>
    <n v="2025"/>
    <s v="02"/>
    <s v="02/01/2025"/>
    <x v="37"/>
    <x v="22"/>
    <n v="0"/>
    <n v="0"/>
    <n v="0"/>
    <n v="13.083909999999999"/>
    <n v="0"/>
    <n v="0"/>
    <n v="0"/>
    <n v="0"/>
    <n v="0"/>
    <n v="0"/>
    <n v="0"/>
    <n v="0"/>
    <n v="0"/>
  </r>
  <r>
    <n v="2025"/>
    <s v="02"/>
    <s v="02/01/2025"/>
    <x v="37"/>
    <x v="23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24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25"/>
    <n v="0"/>
    <n v="0"/>
    <n v="0"/>
    <n v="17.282294010000001"/>
    <n v="1.38768745"/>
    <n v="0"/>
    <n v="0"/>
    <n v="0"/>
    <n v="0"/>
    <n v="0"/>
    <n v="0"/>
    <n v="0"/>
    <n v="0"/>
  </r>
  <r>
    <n v="2025"/>
    <s v="02"/>
    <s v="02/01/2025"/>
    <x v="37"/>
    <x v="26"/>
    <n v="2.0886356799999999"/>
    <n v="2.0886356799999999"/>
    <n v="0"/>
    <n v="13.82365467"/>
    <n v="0"/>
    <n v="0"/>
    <n v="0"/>
    <n v="0"/>
    <n v="0"/>
    <n v="0"/>
    <n v="0"/>
    <n v="0"/>
    <n v="0"/>
  </r>
  <r>
    <n v="2025"/>
    <s v="02"/>
    <s v="02/01/2025"/>
    <x v="37"/>
    <x v="27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28"/>
    <n v="0"/>
    <n v="0"/>
    <n v="0"/>
    <n v="17.171139"/>
    <n v="0"/>
    <n v="0"/>
    <n v="0"/>
    <n v="0"/>
    <n v="0"/>
    <n v="0"/>
    <n v="0"/>
    <n v="0"/>
    <n v="0"/>
  </r>
  <r>
    <n v="2025"/>
    <s v="02"/>
    <s v="02/01/2025"/>
    <x v="37"/>
    <x v="29"/>
    <n v="0"/>
    <n v="0"/>
    <n v="0"/>
    <n v="0.20211499999999999"/>
    <n v="0"/>
    <n v="0"/>
    <n v="0"/>
    <n v="0"/>
    <n v="0"/>
    <n v="0"/>
    <n v="0"/>
    <n v="0"/>
    <n v="0"/>
  </r>
  <r>
    <n v="2025"/>
    <s v="02"/>
    <s v="02/01/2025"/>
    <x v="37"/>
    <x v="30"/>
    <n v="1.49165236"/>
    <n v="1.4210049299999998"/>
    <n v="7.0647429999999997E-2"/>
    <n v="5.2240043600000003"/>
    <n v="0.10125052000000001"/>
    <n v="0"/>
    <n v="0"/>
    <n v="0"/>
    <n v="0"/>
    <n v="0"/>
    <n v="0"/>
    <n v="4.8447714400000006"/>
    <n v="0.45545314000000003"/>
  </r>
  <r>
    <n v="2025"/>
    <s v="02"/>
    <s v="02/01/2025"/>
    <x v="37"/>
    <x v="31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32"/>
    <n v="0"/>
    <n v="0"/>
    <n v="0"/>
    <n v="0.11457050000000001"/>
    <n v="0"/>
    <n v="0"/>
    <n v="0"/>
    <n v="0"/>
    <n v="0"/>
    <n v="0"/>
    <n v="0"/>
    <n v="0"/>
    <n v="0"/>
  </r>
  <r>
    <n v="2025"/>
    <s v="02"/>
    <s v="02/01/2025"/>
    <x v="37"/>
    <x v="33"/>
    <n v="0"/>
    <n v="0"/>
    <n v="0"/>
    <n v="5.3158899999999996"/>
    <n v="0"/>
    <n v="0"/>
    <n v="0"/>
    <n v="0"/>
    <n v="0"/>
    <n v="0"/>
    <n v="0"/>
    <n v="8.9779999999999999E-3"/>
    <n v="0"/>
  </r>
  <r>
    <n v="2025"/>
    <s v="02"/>
    <s v="02/01/2025"/>
    <x v="37"/>
    <x v="34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35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36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37"/>
    <n v="3.8544207999999998"/>
    <n v="3.8544207999999998"/>
    <n v="0"/>
    <n v="0"/>
    <n v="0"/>
    <n v="0"/>
    <n v="0"/>
    <n v="0.71892809999999996"/>
    <n v="0.71892809999999996"/>
    <n v="0"/>
    <n v="0.71892809999999996"/>
    <n v="0"/>
    <n v="0"/>
  </r>
  <r>
    <n v="2025"/>
    <s v="02"/>
    <s v="02/01/2025"/>
    <x v="37"/>
    <x v="38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39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40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41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42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45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43"/>
    <n v="0"/>
    <n v="0"/>
    <n v="0"/>
    <n v="0"/>
    <n v="0"/>
    <n v="0"/>
    <n v="0"/>
    <n v="0"/>
    <n v="0"/>
    <n v="0"/>
    <n v="0"/>
    <n v="0"/>
    <n v="0"/>
  </r>
  <r>
    <n v="2025"/>
    <s v="02"/>
    <s v="02/01/2025"/>
    <x v="37"/>
    <x v="46"/>
    <n v="0"/>
    <n v="0"/>
    <n v="0"/>
    <n v="3.5431690299999996"/>
    <n v="0"/>
    <n v="0"/>
    <n v="0"/>
    <n v="0"/>
    <n v="0"/>
    <n v="0"/>
    <n v="0"/>
    <n v="1.1609319999999999E-2"/>
    <n v="0"/>
  </r>
  <r>
    <n v="2025"/>
    <s v="03"/>
    <s v="03/01/2025"/>
    <x v="38"/>
    <x v="0"/>
    <n v="1030.70810706"/>
    <n v="13116.772697280001"/>
    <n v="616.22191054999996"/>
    <n v="1030.2345328399999"/>
    <n v="0.45727621999999996"/>
    <n v="5.4932799999999997E-3"/>
    <n v="2.671E-5"/>
    <n v="0"/>
    <n v="59.658492409999994"/>
    <n v="178.18470650999998"/>
    <n v="0"/>
    <n v="59.658465700000001"/>
    <n v="0"/>
  </r>
  <r>
    <n v="2025"/>
    <s v="03"/>
    <s v="03/01/2025"/>
    <x v="38"/>
    <x v="1"/>
    <n v="58.853310840000006"/>
    <n v="369.77268631999999"/>
    <n v="52.616416139999998"/>
    <n v="58.853310840000006"/>
    <n v="0"/>
    <n v="5.4932799999999997E-3"/>
    <n v="0"/>
    <n v="0"/>
    <n v="0"/>
    <n v="0"/>
    <n v="0"/>
    <n v="0"/>
    <n v="0"/>
  </r>
  <r>
    <n v="2025"/>
    <s v="03"/>
    <s v="03/01/2025"/>
    <x v="38"/>
    <x v="2"/>
    <n v="255.49334400000001"/>
    <n v="6103.180359"/>
    <n v="214.187265"/>
    <n v="255.39416600000001"/>
    <n v="8.2879999999999995E-2"/>
    <n v="0"/>
    <n v="0"/>
    <n v="0"/>
    <n v="0"/>
    <n v="0"/>
    <n v="0"/>
    <n v="0"/>
    <n v="0"/>
  </r>
  <r>
    <n v="2025"/>
    <s v="03"/>
    <s v="03/01/2025"/>
    <x v="38"/>
    <x v="3"/>
    <n v="273.87384100000003"/>
    <n v="1769.1864430000001"/>
    <n v="109.179233"/>
    <n v="273.87384100000003"/>
    <n v="0"/>
    <n v="0"/>
    <n v="0"/>
    <n v="0"/>
    <n v="12.033821"/>
    <n v="29.301089999999999"/>
    <n v="0"/>
    <n v="12.033821"/>
    <n v="0"/>
  </r>
  <r>
    <n v="2025"/>
    <s v="03"/>
    <s v="03/01/2025"/>
    <x v="38"/>
    <x v="4"/>
    <n v="85.223957999999996"/>
    <n v="997.18435899999997"/>
    <n v="20.879104000000002"/>
    <n v="85.223957999999996"/>
    <n v="0"/>
    <n v="0"/>
    <n v="1.2999999999999999E-5"/>
    <n v="0"/>
    <n v="8.1362469999999991"/>
    <n v="41.115805000000002"/>
    <n v="0"/>
    <n v="8.136234"/>
    <n v="0"/>
  </r>
  <r>
    <n v="2025"/>
    <s v="03"/>
    <s v="03/01/2025"/>
    <x v="38"/>
    <x v="5"/>
    <n v="91.712315379999993"/>
    <n v="63.046755210000001"/>
    <n v="1.6305002900000001"/>
    <n v="91.712315379999993"/>
    <n v="0"/>
    <n v="0"/>
    <n v="0"/>
    <n v="0"/>
    <n v="0"/>
    <n v="0"/>
    <n v="0"/>
    <n v="0"/>
    <n v="0"/>
  </r>
  <r>
    <n v="2025"/>
    <s v="03"/>
    <s v="03/01/2025"/>
    <x v="38"/>
    <x v="6"/>
    <n v="0"/>
    <n v="12.461596"/>
    <n v="4.0410000000000003E-3"/>
    <n v="0"/>
    <n v="0"/>
    <n v="0"/>
    <n v="0"/>
    <n v="0"/>
    <n v="0"/>
    <n v="0"/>
    <n v="0"/>
    <n v="0"/>
    <n v="0"/>
  </r>
  <r>
    <n v="2025"/>
    <s v="03"/>
    <s v="03/01/2025"/>
    <x v="38"/>
    <x v="7"/>
    <n v="15.512409"/>
    <n v="4.4663190000000004"/>
    <n v="0.80495099999999997"/>
    <n v="15.512409"/>
    <n v="0"/>
    <n v="0"/>
    <n v="0"/>
    <n v="0"/>
    <n v="0"/>
    <n v="0"/>
    <n v="0"/>
    <n v="0"/>
    <n v="0"/>
  </r>
  <r>
    <n v="2025"/>
    <s v="03"/>
    <s v="03/01/2025"/>
    <x v="38"/>
    <x v="8"/>
    <n v="16.337388000000001"/>
    <n v="283.97896400000002"/>
    <n v="13.798902999999999"/>
    <n v="16.337388000000001"/>
    <n v="0"/>
    <n v="0"/>
    <n v="0"/>
    <n v="0"/>
    <n v="25.625354999999999"/>
    <n v="11.38776"/>
    <n v="0"/>
    <n v="25.625354999999999"/>
    <n v="0"/>
  </r>
  <r>
    <n v="2025"/>
    <s v="03"/>
    <s v="03/01/2025"/>
    <x v="38"/>
    <x v="9"/>
    <n v="132.61582122999999"/>
    <n v="35.428181500000001"/>
    <n v="0.94346403000000001"/>
    <n v="132.61582122999999"/>
    <n v="0"/>
    <n v="0"/>
    <n v="0"/>
    <n v="0"/>
    <n v="0"/>
    <n v="0"/>
    <n v="0"/>
    <n v="0"/>
    <n v="0"/>
  </r>
  <r>
    <n v="2025"/>
    <s v="03"/>
    <s v="03/01/2025"/>
    <x v="38"/>
    <x v="10"/>
    <n v="0"/>
    <n v="305.56928599999998"/>
    <n v="0"/>
    <n v="0"/>
    <n v="0"/>
    <n v="0"/>
    <n v="0"/>
    <n v="0"/>
    <n v="0"/>
    <n v="0"/>
    <n v="0"/>
    <n v="0"/>
    <n v="0"/>
  </r>
  <r>
    <n v="2025"/>
    <s v="03"/>
    <s v="03/01/2025"/>
    <x v="38"/>
    <x v="44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11"/>
    <n v="0.79854800000000004"/>
    <n v="97.765540999999999"/>
    <n v="7.5799999999999999E-3"/>
    <n v="0.79854800000000004"/>
    <n v="0"/>
    <n v="0"/>
    <n v="0"/>
    <n v="0"/>
    <n v="0"/>
    <n v="0"/>
    <n v="0"/>
    <n v="0"/>
    <n v="0"/>
  </r>
  <r>
    <n v="2025"/>
    <s v="03"/>
    <s v="03/01/2025"/>
    <x v="38"/>
    <x v="12"/>
    <n v="96.104827680000014"/>
    <n v="1357.4043406600001"/>
    <n v="198.58858058000001"/>
    <n v="96.104827680000014"/>
    <n v="0"/>
    <n v="0"/>
    <n v="1.3710000000000001E-5"/>
    <n v="0"/>
    <n v="12.087204419999999"/>
    <n v="80.39215784999999"/>
    <n v="0"/>
    <n v="12.087190710000002"/>
    <n v="0"/>
  </r>
  <r>
    <n v="2025"/>
    <s v="03"/>
    <s v="03/01/2025"/>
    <x v="38"/>
    <x v="13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14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15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16"/>
    <n v="0.60062081"/>
    <n v="0"/>
    <n v="8.474778999999999E-2"/>
    <n v="0.60062081"/>
    <n v="0"/>
    <n v="0"/>
    <n v="0"/>
    <n v="0"/>
    <n v="1.71709026"/>
    <n v="0"/>
    <n v="0"/>
    <n v="1.71709026"/>
    <n v="0"/>
  </r>
  <r>
    <n v="2025"/>
    <s v="03"/>
    <s v="03/01/2025"/>
    <x v="38"/>
    <x v="17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19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20"/>
    <n v="0"/>
    <n v="1137.7142447000001"/>
    <n v="0"/>
    <n v="0"/>
    <n v="0"/>
    <n v="0"/>
    <n v="0"/>
    <n v="0"/>
    <n v="0"/>
    <n v="0"/>
    <n v="0"/>
    <n v="0"/>
    <n v="0"/>
  </r>
  <r>
    <n v="2025"/>
    <s v="03"/>
    <s v="03/01/2025"/>
    <x v="38"/>
    <x v="21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22"/>
    <n v="0"/>
    <n v="459.061577"/>
    <n v="0"/>
    <n v="0"/>
    <n v="0"/>
    <n v="0"/>
    <n v="0"/>
    <n v="0"/>
    <n v="0"/>
    <n v="11.93614"/>
    <n v="0"/>
    <n v="0"/>
    <n v="0"/>
  </r>
  <r>
    <n v="2025"/>
    <s v="03"/>
    <s v="03/01/2025"/>
    <x v="38"/>
    <x v="23"/>
    <n v="1.624627"/>
    <n v="1.0000000000000001E-5"/>
    <n v="0"/>
    <n v="1.624627"/>
    <n v="0"/>
    <n v="0"/>
    <n v="0"/>
    <n v="0"/>
    <n v="0"/>
    <n v="0"/>
    <n v="0"/>
    <n v="0"/>
    <n v="0"/>
  </r>
  <r>
    <n v="2025"/>
    <s v="03"/>
    <s v="03/01/2025"/>
    <x v="38"/>
    <x v="24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25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26"/>
    <n v="0"/>
    <n v="15.354588789999999"/>
    <n v="1.6750956100000001"/>
    <n v="0"/>
    <n v="0"/>
    <n v="0"/>
    <n v="0"/>
    <n v="0"/>
    <n v="0"/>
    <n v="0"/>
    <n v="0"/>
    <n v="0"/>
    <n v="0"/>
  </r>
  <r>
    <n v="2025"/>
    <s v="03"/>
    <s v="03/01/2025"/>
    <x v="38"/>
    <x v="27"/>
    <n v="0"/>
    <n v="15.852627640000001"/>
    <n v="0"/>
    <n v="0"/>
    <n v="0"/>
    <n v="0"/>
    <n v="0"/>
    <n v="0"/>
    <n v="0"/>
    <n v="0"/>
    <n v="0"/>
    <n v="0"/>
    <n v="0"/>
  </r>
  <r>
    <n v="2025"/>
    <s v="03"/>
    <s v="03/01/2025"/>
    <x v="38"/>
    <x v="28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29"/>
    <n v="0"/>
    <n v="65.661416000000003"/>
    <n v="0"/>
    <n v="0"/>
    <n v="0"/>
    <n v="0"/>
    <n v="0"/>
    <n v="0"/>
    <n v="0"/>
    <n v="0"/>
    <n v="0"/>
    <n v="0"/>
    <n v="0"/>
  </r>
  <r>
    <n v="2025"/>
    <s v="03"/>
    <s v="03/01/2025"/>
    <x v="38"/>
    <x v="30"/>
    <n v="0"/>
    <n v="8.4402030000000003"/>
    <n v="0"/>
    <n v="0"/>
    <n v="0"/>
    <n v="0"/>
    <n v="0"/>
    <n v="0"/>
    <n v="0"/>
    <n v="0"/>
    <n v="0"/>
    <n v="0"/>
    <n v="0"/>
  </r>
  <r>
    <n v="2025"/>
    <s v="03"/>
    <s v="03/01/2025"/>
    <x v="38"/>
    <x v="31"/>
    <n v="1.9570961200000001"/>
    <n v="4.3727977100000004"/>
    <n v="1.8220291100000001"/>
    <n v="1.5826998999999999"/>
    <n v="0.37439621999999995"/>
    <n v="0"/>
    <n v="0"/>
    <n v="0"/>
    <n v="0"/>
    <n v="4.0179869200000002"/>
    <n v="0"/>
    <n v="0"/>
    <n v="0"/>
  </r>
  <r>
    <n v="2025"/>
    <s v="03"/>
    <s v="03/01/2025"/>
    <x v="38"/>
    <x v="32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33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34"/>
    <n v="0"/>
    <n v="6.9697199999999997"/>
    <n v="0"/>
    <n v="0"/>
    <n v="0"/>
    <n v="0"/>
    <n v="0"/>
    <n v="0"/>
    <n v="0"/>
    <n v="1.098E-2"/>
    <n v="0"/>
    <n v="0"/>
    <n v="0"/>
  </r>
  <r>
    <n v="2025"/>
    <s v="03"/>
    <s v="03/01/2025"/>
    <x v="38"/>
    <x v="35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36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37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38"/>
    <n v="0"/>
    <n v="0"/>
    <n v="0"/>
    <n v="0"/>
    <n v="0"/>
    <n v="0"/>
    <n v="0"/>
    <n v="0"/>
    <n v="5.8774730000000004E-2"/>
    <n v="0"/>
    <n v="0"/>
    <n v="5.8774730000000004E-2"/>
    <n v="0"/>
  </r>
  <r>
    <n v="2025"/>
    <s v="03"/>
    <s v="03/01/2025"/>
    <x v="38"/>
    <x v="39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40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41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42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45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43"/>
    <n v="0"/>
    <n v="0"/>
    <n v="0"/>
    <n v="0"/>
    <n v="0"/>
    <n v="0"/>
    <n v="0"/>
    <n v="0"/>
    <n v="0"/>
    <n v="0"/>
    <n v="0"/>
    <n v="0"/>
    <n v="0"/>
  </r>
  <r>
    <n v="2025"/>
    <s v="03"/>
    <s v="03/01/2025"/>
    <x v="38"/>
    <x v="46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0"/>
    <n v="1186.7193420999999"/>
    <n v="1186.7193420999999"/>
    <n v="28.580386899999997"/>
    <n v="9507.4346267800011"/>
    <n v="503.80940231"/>
    <n v="187.62778738999998"/>
    <n v="397.56234017000003"/>
    <n v="397.56232217000002"/>
    <n v="0"/>
    <n v="1.8E-5"/>
    <n v="211.31997981999999"/>
    <n v="73.888264090000007"/>
    <n v="0"/>
  </r>
  <r>
    <n v="2025"/>
    <s v="04"/>
    <s v="04/01/2025"/>
    <x v="39"/>
    <x v="1"/>
    <n v="36.660949359999996"/>
    <n v="36.660949359999996"/>
    <n v="0"/>
    <n v="397.18830143000002"/>
    <n v="41.684273140000002"/>
    <n v="187.62778738999998"/>
    <n v="0"/>
    <n v="0"/>
    <n v="0"/>
    <n v="0"/>
    <n v="0"/>
    <n v="0"/>
    <n v="0"/>
  </r>
  <r>
    <n v="2025"/>
    <s v="04"/>
    <s v="04/01/2025"/>
    <x v="39"/>
    <x v="2"/>
    <n v="295.51575100000002"/>
    <n v="294.17557499999998"/>
    <n v="1.1451549999999999"/>
    <n v="2411.004273"/>
    <n v="166.48360099999999"/>
    <n v="0"/>
    <n v="0"/>
    <n v="0"/>
    <n v="0"/>
    <n v="0"/>
    <n v="0"/>
    <n v="0"/>
    <n v="0"/>
  </r>
  <r>
    <n v="2025"/>
    <s v="04"/>
    <s v="04/01/2025"/>
    <x v="39"/>
    <x v="3"/>
    <n v="514.98058500000002"/>
    <n v="489.32339400000001"/>
    <n v="25.657191000000001"/>
    <n v="1689.710517"/>
    <n v="114.507682"/>
    <n v="0"/>
    <n v="14.439177000000001"/>
    <n v="14.439177000000001"/>
    <n v="0"/>
    <n v="0"/>
    <n v="26.994485999999998"/>
    <n v="19.838591999999998"/>
    <n v="0"/>
  </r>
  <r>
    <n v="2025"/>
    <s v="04"/>
    <s v="04/01/2025"/>
    <x v="39"/>
    <x v="4"/>
    <n v="79.531530000000004"/>
    <n v="79.531530000000004"/>
    <n v="0"/>
    <n v="978.64556000000005"/>
    <n v="23.060995999999999"/>
    <n v="0"/>
    <n v="374.70112699999999"/>
    <n v="374.70110899999997"/>
    <n v="0"/>
    <n v="1.8E-5"/>
    <n v="47.074452999999998"/>
    <n v="15.763311"/>
    <n v="0"/>
  </r>
  <r>
    <n v="2025"/>
    <s v="04"/>
    <s v="04/01/2025"/>
    <x v="39"/>
    <x v="5"/>
    <n v="27.347296710000002"/>
    <n v="27.347296710000002"/>
    <n v="0"/>
    <n v="71.758264749999995"/>
    <n v="4.9091575599999997"/>
    <n v="0"/>
    <n v="0"/>
    <n v="0"/>
    <n v="0"/>
    <n v="0"/>
    <n v="0"/>
    <n v="0.33999248999999998"/>
    <n v="0"/>
  </r>
  <r>
    <n v="2025"/>
    <s v="04"/>
    <s v="04/01/2025"/>
    <x v="39"/>
    <x v="6"/>
    <n v="0"/>
    <n v="0"/>
    <n v="0"/>
    <n v="12.715451"/>
    <n v="6.4999999999999997E-3"/>
    <n v="0"/>
    <n v="0"/>
    <n v="0"/>
    <n v="0"/>
    <n v="0"/>
    <n v="0"/>
    <n v="0"/>
    <n v="0"/>
  </r>
  <r>
    <n v="2025"/>
    <s v="04"/>
    <s v="04/01/2025"/>
    <x v="39"/>
    <x v="7"/>
    <n v="0"/>
    <n v="0"/>
    <n v="0"/>
    <n v="19.966663"/>
    <n v="0"/>
    <n v="0"/>
    <n v="0"/>
    <n v="0"/>
    <n v="0"/>
    <n v="0"/>
    <n v="0"/>
    <n v="0"/>
    <n v="0"/>
  </r>
  <r>
    <n v="2025"/>
    <s v="04"/>
    <s v="04/01/2025"/>
    <x v="39"/>
    <x v="8"/>
    <n v="5.3453410000000003"/>
    <n v="5.3453410000000003"/>
    <n v="0"/>
    <n v="254.243368"/>
    <n v="15.653416999999999"/>
    <n v="0"/>
    <n v="0"/>
    <n v="0"/>
    <n v="0"/>
    <n v="0"/>
    <n v="30.019068000000001"/>
    <n v="23.839389000000001"/>
    <n v="0"/>
  </r>
  <r>
    <n v="2025"/>
    <s v="04"/>
    <s v="04/01/2025"/>
    <x v="39"/>
    <x v="9"/>
    <n v="22.157071850000001"/>
    <n v="22.157071850000001"/>
    <n v="0"/>
    <n v="49.780474599999998"/>
    <n v="0.17385528"/>
    <n v="0"/>
    <n v="0"/>
    <n v="0"/>
    <n v="0"/>
    <n v="0"/>
    <n v="0"/>
    <n v="0"/>
    <n v="0"/>
  </r>
  <r>
    <n v="2025"/>
    <s v="04"/>
    <s v="04/01/2025"/>
    <x v="39"/>
    <x v="10"/>
    <n v="106.259276"/>
    <n v="106.259276"/>
    <n v="0"/>
    <n v="309.97352899999998"/>
    <n v="0"/>
    <n v="0"/>
    <n v="0"/>
    <n v="0"/>
    <n v="0"/>
    <n v="0"/>
    <n v="0"/>
    <n v="0"/>
    <n v="0"/>
  </r>
  <r>
    <n v="2025"/>
    <s v="04"/>
    <s v="04/01/2025"/>
    <x v="39"/>
    <x v="44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11"/>
    <n v="3.7882169999999999"/>
    <n v="3.7882169999999999"/>
    <n v="0"/>
    <n v="104.171581"/>
    <n v="2.0702000000000002E-2"/>
    <n v="0"/>
    <n v="0"/>
    <n v="0"/>
    <n v="0"/>
    <n v="0"/>
    <n v="0"/>
    <n v="0"/>
    <n v="0"/>
  </r>
  <r>
    <n v="2025"/>
    <s v="04"/>
    <s v="04/01/2025"/>
    <x v="39"/>
    <x v="12"/>
    <n v="91.178079189999991"/>
    <n v="91.178079189999991"/>
    <n v="0"/>
    <n v="1381.84428437"/>
    <n v="136.08202498"/>
    <n v="0"/>
    <n v="7.4412982899999998"/>
    <n v="7.4412982899999998"/>
    <n v="0"/>
    <n v="0"/>
    <n v="88.306900580000004"/>
    <n v="13.797651220000001"/>
    <n v="0"/>
  </r>
  <r>
    <n v="2025"/>
    <s v="04"/>
    <s v="04/01/2025"/>
    <x v="39"/>
    <x v="13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14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15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16"/>
    <n v="0.60282795"/>
    <n v="0.60282795"/>
    <n v="0"/>
    <n v="0"/>
    <n v="5.4150100000000005E-3"/>
    <n v="0"/>
    <n v="0.95638401000000006"/>
    <n v="0.95638401000000006"/>
    <n v="0"/>
    <n v="0"/>
    <n v="0"/>
    <n v="0"/>
    <n v="0"/>
  </r>
  <r>
    <n v="2025"/>
    <s v="04"/>
    <s v="04/01/2025"/>
    <x v="39"/>
    <x v="17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19"/>
    <n v="0"/>
    <n v="0"/>
    <n v="0"/>
    <n v="1130.29109722"/>
    <n v="2.77013E-3"/>
    <n v="0"/>
    <n v="0"/>
    <n v="0"/>
    <n v="0"/>
    <n v="0"/>
    <n v="0"/>
    <n v="0"/>
    <n v="0"/>
  </r>
  <r>
    <n v="2025"/>
    <s v="04"/>
    <s v="04/01/2025"/>
    <x v="39"/>
    <x v="20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21"/>
    <n v="0"/>
    <n v="0"/>
    <n v="0"/>
    <n v="627.86686799999995"/>
    <n v="0"/>
    <n v="0"/>
    <n v="0"/>
    <n v="0"/>
    <n v="0"/>
    <n v="0"/>
    <n v="12.933937999999999"/>
    <n v="0"/>
    <n v="0"/>
  </r>
  <r>
    <n v="2025"/>
    <s v="04"/>
    <s v="04/01/2025"/>
    <x v="39"/>
    <x v="22"/>
    <n v="6.0140000000000002E-3"/>
    <n v="6.0140000000000002E-3"/>
    <n v="0"/>
    <n v="3.0000000000000001E-6"/>
    <n v="0"/>
    <n v="0"/>
    <n v="0"/>
    <n v="0"/>
    <n v="0"/>
    <n v="0"/>
    <n v="0"/>
    <n v="0"/>
    <n v="0"/>
  </r>
  <r>
    <n v="2025"/>
    <s v="04"/>
    <s v="04/01/2025"/>
    <x v="39"/>
    <x v="23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24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25"/>
    <n v="0"/>
    <n v="0"/>
    <n v="0"/>
    <n v="13.40934047"/>
    <n v="1.11969359"/>
    <n v="0"/>
    <n v="0"/>
    <n v="0"/>
    <n v="0"/>
    <n v="0"/>
    <n v="0"/>
    <n v="0"/>
    <n v="0"/>
  </r>
  <r>
    <n v="2025"/>
    <s v="04"/>
    <s v="04/01/2025"/>
    <x v="39"/>
    <x v="26"/>
    <n v="0"/>
    <n v="0"/>
    <n v="0"/>
    <n v="15.064519789999999"/>
    <n v="0"/>
    <n v="0"/>
    <n v="0"/>
    <n v="0"/>
    <n v="0"/>
    <n v="0"/>
    <n v="0"/>
    <n v="0"/>
    <n v="0"/>
  </r>
  <r>
    <n v="2025"/>
    <s v="04"/>
    <s v="04/01/2025"/>
    <x v="39"/>
    <x v="27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28"/>
    <n v="0"/>
    <n v="0"/>
    <n v="0"/>
    <n v="25.159312"/>
    <n v="0"/>
    <n v="0"/>
    <n v="0"/>
    <n v="0"/>
    <n v="0"/>
    <n v="0"/>
    <n v="0"/>
    <n v="0"/>
    <n v="0"/>
  </r>
  <r>
    <n v="2025"/>
    <s v="04"/>
    <s v="04/01/2025"/>
    <x v="39"/>
    <x v="29"/>
    <n v="0"/>
    <n v="0"/>
    <n v="0"/>
    <n v="0.41771799999999998"/>
    <n v="0"/>
    <n v="0"/>
    <n v="0"/>
    <n v="0"/>
    <n v="0"/>
    <n v="0"/>
    <n v="0"/>
    <n v="0"/>
    <n v="0"/>
  </r>
  <r>
    <n v="2025"/>
    <s v="04"/>
    <s v="04/01/2025"/>
    <x v="39"/>
    <x v="30"/>
    <n v="3.3464030400000002"/>
    <n v="1.5683621399999998"/>
    <n v="1.7780408999999999"/>
    <n v="3.3456345299999999"/>
    <n v="9.9314619999999992E-2"/>
    <n v="0"/>
    <n v="0"/>
    <n v="0"/>
    <n v="0"/>
    <n v="0"/>
    <n v="5.9276264599999999"/>
    <n v="0.30932838000000001"/>
    <n v="0"/>
  </r>
  <r>
    <n v="2025"/>
    <s v="04"/>
    <s v="04/01/2025"/>
    <x v="39"/>
    <x v="31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32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33"/>
    <n v="0"/>
    <n v="0"/>
    <n v="0"/>
    <n v="7.0502570000000002"/>
    <n v="0"/>
    <n v="0"/>
    <n v="0"/>
    <n v="0"/>
    <n v="0"/>
    <n v="0"/>
    <n v="1.34E-3"/>
    <n v="0"/>
    <n v="0"/>
  </r>
  <r>
    <n v="2025"/>
    <s v="04"/>
    <s v="04/01/2025"/>
    <x v="39"/>
    <x v="34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35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36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37"/>
    <n v="0"/>
    <n v="0"/>
    <n v="0"/>
    <n v="0"/>
    <n v="0"/>
    <n v="0"/>
    <n v="2.435387E-2"/>
    <n v="2.435387E-2"/>
    <n v="0"/>
    <n v="0"/>
    <n v="0"/>
    <n v="0"/>
    <n v="0"/>
  </r>
  <r>
    <n v="2025"/>
    <s v="04"/>
    <s v="04/01/2025"/>
    <x v="39"/>
    <x v="38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39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40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41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42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45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43"/>
    <n v="0"/>
    <n v="0"/>
    <n v="0"/>
    <n v="0"/>
    <n v="0"/>
    <n v="0"/>
    <n v="0"/>
    <n v="0"/>
    <n v="0"/>
    <n v="0"/>
    <n v="0"/>
    <n v="0"/>
    <n v="0"/>
  </r>
  <r>
    <n v="2025"/>
    <s v="04"/>
    <s v="04/01/2025"/>
    <x v="39"/>
    <x v="46"/>
    <n v="0"/>
    <n v="0"/>
    <n v="0"/>
    <n v="3.82760962"/>
    <n v="0"/>
    <n v="0"/>
    <n v="0"/>
    <n v="0"/>
    <n v="0"/>
    <n v="0"/>
    <n v="6.2167779999999999E-2"/>
    <n v="0"/>
    <n v="0"/>
  </r>
  <r>
    <n v="2025"/>
    <s v="05"/>
    <s v="05/01/2025"/>
    <x v="40"/>
    <x v="0"/>
    <n v="1358.4923508699999"/>
    <n v="1352.09876502"/>
    <n v="5.3439838499999999"/>
    <n v="11096.113896370001"/>
    <n v="462.83687405000001"/>
    <n v="54.414056719999998"/>
    <n v="244.30652003999998"/>
    <n v="244.30649203999999"/>
    <n v="0"/>
    <n v="2.8E-5"/>
    <n v="212.52843812"/>
    <n v="80.930733419999996"/>
    <n v="0"/>
  </r>
  <r>
    <n v="2025"/>
    <s v="05"/>
    <s v="05/01/2025"/>
    <x v="40"/>
    <x v="1"/>
    <n v="67.147661139999997"/>
    <n v="67.147661139999997"/>
    <n v="0"/>
    <n v="442.59332405000004"/>
    <n v="39.774585639999998"/>
    <n v="54.414056719999998"/>
    <n v="0"/>
    <n v="0"/>
    <n v="0"/>
    <n v="0"/>
    <n v="0"/>
    <n v="0"/>
    <n v="0"/>
  </r>
  <r>
    <n v="2025"/>
    <s v="05"/>
    <s v="05/01/2025"/>
    <x v="40"/>
    <x v="2"/>
    <n v="263.06931500000002"/>
    <n v="261.65682299999997"/>
    <n v="0.36288999999999999"/>
    <n v="4177.2051700000002"/>
    <n v="68.875769000000005"/>
    <n v="0"/>
    <n v="0"/>
    <n v="0"/>
    <n v="0"/>
    <n v="0"/>
    <n v="0"/>
    <n v="0"/>
    <n v="0"/>
  </r>
  <r>
    <n v="2025"/>
    <s v="05"/>
    <s v="05/01/2025"/>
    <x v="40"/>
    <x v="3"/>
    <n v="593.80550600000004"/>
    <n v="593.80550600000004"/>
    <n v="0"/>
    <n v="1691.717155"/>
    <n v="101.65319100000001"/>
    <n v="0"/>
    <n v="23.647839000000001"/>
    <n v="23.647839000000001"/>
    <n v="0"/>
    <n v="0"/>
    <n v="25.702511000000001"/>
    <n v="14.547593000000001"/>
    <n v="0"/>
  </r>
  <r>
    <n v="2025"/>
    <s v="05"/>
    <s v="05/01/2025"/>
    <x v="40"/>
    <x v="4"/>
    <n v="65.987590999999995"/>
    <n v="65.987590999999995"/>
    <n v="0"/>
    <n v="958.07315200000005"/>
    <n v="26.415955"/>
    <n v="0"/>
    <n v="23.090534000000002"/>
    <n v="23.090506000000001"/>
    <n v="0"/>
    <n v="2.8E-5"/>
    <n v="58.701462999999997"/>
    <n v="22.020073"/>
    <n v="0"/>
  </r>
  <r>
    <n v="2025"/>
    <s v="05"/>
    <s v="05/01/2025"/>
    <x v="40"/>
    <x v="5"/>
    <n v="175.71850199000002"/>
    <n v="175.71850199000002"/>
    <n v="0"/>
    <n v="63.829043679999998"/>
    <n v="2.92961443"/>
    <n v="0"/>
    <n v="0"/>
    <n v="0"/>
    <n v="0"/>
    <n v="0"/>
    <n v="0"/>
    <n v="0.37607306000000001"/>
    <n v="0"/>
  </r>
  <r>
    <n v="2025"/>
    <s v="05"/>
    <s v="05/01/2025"/>
    <x v="40"/>
    <x v="6"/>
    <n v="0"/>
    <n v="0"/>
    <n v="0"/>
    <n v="12.707136999999999"/>
    <n v="0"/>
    <n v="0"/>
    <n v="0"/>
    <n v="0"/>
    <n v="0"/>
    <n v="0"/>
    <n v="0"/>
    <n v="0"/>
    <n v="0"/>
  </r>
  <r>
    <n v="2025"/>
    <s v="05"/>
    <s v="05/01/2025"/>
    <x v="40"/>
    <x v="7"/>
    <n v="68.200642000000002"/>
    <n v="68.200642000000002"/>
    <n v="0"/>
    <n v="0.70203899999999997"/>
    <n v="0"/>
    <n v="0"/>
    <n v="0"/>
    <n v="0"/>
    <n v="0"/>
    <n v="0"/>
    <n v="0"/>
    <n v="0"/>
    <n v="0"/>
  </r>
  <r>
    <n v="2025"/>
    <s v="05"/>
    <s v="05/01/2025"/>
    <x v="40"/>
    <x v="8"/>
    <n v="0.95557899999999996"/>
    <n v="0.95557899999999996"/>
    <n v="0"/>
    <n v="275.39671199999998"/>
    <n v="22.240773999999998"/>
    <n v="0"/>
    <n v="176.56325799999999"/>
    <n v="176.56325799999999"/>
    <n v="0"/>
    <n v="0"/>
    <n v="19.993922000000001"/>
    <n v="31.283089"/>
    <n v="0"/>
  </r>
  <r>
    <n v="2025"/>
    <s v="05"/>
    <s v="05/01/2025"/>
    <x v="40"/>
    <x v="9"/>
    <n v="18.212561129999997"/>
    <n v="18.212561129999997"/>
    <n v="0"/>
    <n v="76.558580079999999"/>
    <n v="6.577725999999999E-2"/>
    <n v="0"/>
    <n v="0"/>
    <n v="0"/>
    <n v="0"/>
    <n v="0"/>
    <n v="0"/>
    <n v="0"/>
    <n v="0"/>
  </r>
  <r>
    <n v="2025"/>
    <s v="05"/>
    <s v="05/01/2025"/>
    <x v="40"/>
    <x v="10"/>
    <n v="0"/>
    <n v="0"/>
    <n v="0"/>
    <n v="253.463843"/>
    <n v="0"/>
    <n v="0"/>
    <n v="0"/>
    <n v="0"/>
    <n v="0"/>
    <n v="0"/>
    <n v="0"/>
    <n v="0"/>
    <n v="0"/>
  </r>
  <r>
    <n v="2025"/>
    <s v="05"/>
    <s v="05/01/2025"/>
    <x v="40"/>
    <x v="44"/>
    <n v="0"/>
    <n v="0"/>
    <n v="0"/>
    <n v="3.7236999999999999E-2"/>
    <n v="0"/>
    <n v="0"/>
    <n v="0"/>
    <n v="0"/>
    <n v="0"/>
    <n v="0"/>
    <n v="0"/>
    <n v="0"/>
    <n v="0"/>
  </r>
  <r>
    <n v="2025"/>
    <s v="05"/>
    <s v="05/01/2025"/>
    <x v="40"/>
    <x v="11"/>
    <n v="4.6487829999999999"/>
    <n v="4.6487829999999999"/>
    <n v="0"/>
    <n v="94.435177999999993"/>
    <n v="0.28067599999999998"/>
    <n v="0"/>
    <n v="0"/>
    <n v="0"/>
    <n v="0"/>
    <n v="0"/>
    <n v="0"/>
    <n v="0"/>
    <n v="0"/>
  </r>
  <r>
    <n v="2025"/>
    <s v="05"/>
    <s v="05/01/2025"/>
    <x v="40"/>
    <x v="12"/>
    <n v="77.080653220000002"/>
    <n v="77.080653220000002"/>
    <n v="0"/>
    <n v="1323.1874954300001"/>
    <n v="195.19206409"/>
    <n v="0"/>
    <n v="20.561849769999998"/>
    <n v="20.561849769999998"/>
    <n v="0"/>
    <n v="0"/>
    <n v="84.00725159000001"/>
    <n v="12.433718279999999"/>
    <n v="0"/>
  </r>
  <r>
    <n v="2025"/>
    <s v="05"/>
    <s v="05/01/2025"/>
    <x v="40"/>
    <x v="13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14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15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16"/>
    <n v="0"/>
    <n v="0"/>
    <n v="0"/>
    <n v="0"/>
    <n v="4.4034000899999999"/>
    <n v="0"/>
    <n v="0.18505005999999999"/>
    <n v="0.18505005999999999"/>
    <n v="0"/>
    <n v="0"/>
    <n v="0"/>
    <n v="0"/>
    <n v="0"/>
  </r>
  <r>
    <n v="2025"/>
    <s v="05"/>
    <s v="05/01/2025"/>
    <x v="40"/>
    <x v="17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19"/>
    <n v="0"/>
    <n v="0"/>
    <n v="0"/>
    <n v="1081.1024755999999"/>
    <n v="6.6796599999999996E-3"/>
    <n v="0"/>
    <n v="0"/>
    <n v="0"/>
    <n v="0"/>
    <n v="0"/>
    <n v="0"/>
    <n v="0"/>
    <n v="0"/>
  </r>
  <r>
    <n v="2025"/>
    <s v="05"/>
    <s v="05/01/2025"/>
    <x v="40"/>
    <x v="20"/>
    <n v="13.460065999999999"/>
    <n v="13.460065999999999"/>
    <n v="0"/>
    <n v="1.28933974"/>
    <n v="0"/>
    <n v="0"/>
    <n v="0"/>
    <n v="0"/>
    <n v="0"/>
    <n v="0"/>
    <n v="0"/>
    <n v="0"/>
    <n v="0"/>
  </r>
  <r>
    <n v="2025"/>
    <s v="05"/>
    <s v="05/01/2025"/>
    <x v="40"/>
    <x v="21"/>
    <n v="0"/>
    <n v="0"/>
    <n v="0"/>
    <n v="529.20811100000003"/>
    <n v="0"/>
    <n v="0"/>
    <n v="0"/>
    <n v="0"/>
    <n v="0"/>
    <n v="0"/>
    <n v="15.787478999999999"/>
    <n v="0"/>
    <n v="0"/>
  </r>
  <r>
    <n v="2025"/>
    <s v="05"/>
    <s v="05/01/2025"/>
    <x v="40"/>
    <x v="22"/>
    <n v="0"/>
    <n v="0"/>
    <n v="0"/>
    <n v="1.6295790000000001"/>
    <n v="0"/>
    <n v="0"/>
    <n v="0"/>
    <n v="0"/>
    <n v="0"/>
    <n v="0"/>
    <n v="0"/>
    <n v="0"/>
    <n v="0"/>
  </r>
  <r>
    <n v="2025"/>
    <s v="05"/>
    <s v="05/01/2025"/>
    <x v="40"/>
    <x v="23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24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25"/>
    <n v="0"/>
    <n v="0"/>
    <n v="0"/>
    <n v="17.729813289999999"/>
    <n v="0.9330766800000001"/>
    <n v="0"/>
    <n v="0"/>
    <n v="0"/>
    <n v="0"/>
    <n v="0"/>
    <n v="0"/>
    <n v="0"/>
    <n v="0"/>
  </r>
  <r>
    <n v="2025"/>
    <s v="05"/>
    <s v="05/01/2025"/>
    <x v="40"/>
    <x v="26"/>
    <n v="0"/>
    <n v="0"/>
    <n v="0"/>
    <n v="14.531916000000001"/>
    <n v="0"/>
    <n v="0"/>
    <n v="0"/>
    <n v="0"/>
    <n v="0"/>
    <n v="0"/>
    <n v="0"/>
    <n v="0"/>
    <n v="0"/>
  </r>
  <r>
    <n v="2025"/>
    <s v="05"/>
    <s v="05/01/2025"/>
    <x v="40"/>
    <x v="27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28"/>
    <n v="0"/>
    <n v="0"/>
    <n v="0"/>
    <n v="60.570532999999998"/>
    <n v="0"/>
    <n v="0"/>
    <n v="0"/>
    <n v="0"/>
    <n v="0"/>
    <n v="0"/>
    <n v="0"/>
    <n v="0"/>
    <n v="0"/>
  </r>
  <r>
    <n v="2025"/>
    <s v="05"/>
    <s v="05/01/2025"/>
    <x v="40"/>
    <x v="29"/>
    <n v="0"/>
    <n v="0"/>
    <n v="0"/>
    <n v="0.15228800000000001"/>
    <n v="0"/>
    <n v="0"/>
    <n v="0"/>
    <n v="0"/>
    <n v="0"/>
    <n v="0"/>
    <n v="0"/>
    <n v="0"/>
    <n v="0"/>
  </r>
  <r>
    <n v="2025"/>
    <s v="05"/>
    <s v="05/01/2025"/>
    <x v="40"/>
    <x v="30"/>
    <n v="10.205491390000001"/>
    <n v="5.22439754"/>
    <n v="4.9810938499999997"/>
    <n v="7.6493842499999998"/>
    <n v="6.53112E-2"/>
    <n v="0"/>
    <n v="0"/>
    <n v="0"/>
    <n v="0"/>
    <n v="0"/>
    <n v="8.3348665799999999"/>
    <n v="0.27018708000000002"/>
    <n v="0"/>
  </r>
  <r>
    <n v="2025"/>
    <s v="05"/>
    <s v="05/01/2025"/>
    <x v="40"/>
    <x v="31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32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33"/>
    <n v="0"/>
    <n v="0"/>
    <n v="0"/>
    <n v="9.3293529999999993"/>
    <n v="0"/>
    <n v="0"/>
    <n v="0"/>
    <n v="0"/>
    <n v="0"/>
    <n v="0"/>
    <n v="0"/>
    <n v="0"/>
    <n v="0"/>
  </r>
  <r>
    <n v="2025"/>
    <s v="05"/>
    <s v="05/01/2025"/>
    <x v="40"/>
    <x v="34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35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36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37"/>
    <n v="0"/>
    <n v="0"/>
    <n v="0"/>
    <n v="0"/>
    <n v="0"/>
    <n v="0"/>
    <n v="0.25798920999999997"/>
    <n v="0.25798920999999997"/>
    <n v="0"/>
    <n v="0"/>
    <n v="0"/>
    <n v="0"/>
    <n v="0"/>
  </r>
  <r>
    <n v="2025"/>
    <s v="05"/>
    <s v="05/01/2025"/>
    <x v="40"/>
    <x v="38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39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40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41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42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45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43"/>
    <n v="0"/>
    <n v="0"/>
    <n v="0"/>
    <n v="0"/>
    <n v="0"/>
    <n v="0"/>
    <n v="0"/>
    <n v="0"/>
    <n v="0"/>
    <n v="0"/>
    <n v="0"/>
    <n v="0"/>
    <n v="0"/>
  </r>
  <r>
    <n v="2025"/>
    <s v="05"/>
    <s v="05/01/2025"/>
    <x v="40"/>
    <x v="46"/>
    <n v="0"/>
    <n v="0"/>
    <n v="0"/>
    <n v="3.0150372499999998"/>
    <n v="0"/>
    <n v="0"/>
    <n v="0"/>
    <n v="0"/>
    <n v="9.4495000000000007E-4"/>
    <n v="0"/>
    <n v="0"/>
    <n v="0"/>
    <n v="0"/>
  </r>
  <r>
    <n v="2025"/>
    <s v="06"/>
    <s v="06/01/2025"/>
    <x v="41"/>
    <x v="0"/>
    <n v="1804.9657071199999"/>
    <n v="1800.7063719800001"/>
    <n v="1.2197561399999999"/>
    <n v="10690.78770481"/>
    <n v="1023.29104827"/>
    <n v="64.444781509999999"/>
    <n v="77.274940879999988"/>
    <n v="55.914953270000005"/>
    <n v="21.359987610000001"/>
    <n v="0"/>
    <n v="203.28061368000002"/>
    <n v="94.926883349999997"/>
    <n v="0"/>
  </r>
  <r>
    <n v="2025"/>
    <s v="06"/>
    <s v="06/01/2025"/>
    <x v="41"/>
    <x v="1"/>
    <n v="85.343324340000009"/>
    <n v="85.343324340000009"/>
    <n v="0"/>
    <n v="548.53250333000005"/>
    <n v="38.652912069999999"/>
    <n v="64.444781509999999"/>
    <n v="0"/>
    <n v="0"/>
    <n v="0"/>
    <n v="0"/>
    <n v="0"/>
    <n v="0"/>
    <n v="0"/>
  </r>
  <r>
    <n v="2025"/>
    <s v="06"/>
    <s v="06/01/2025"/>
    <x v="41"/>
    <x v="2"/>
    <n v="332.66243500000002"/>
    <n v="328.55787500000002"/>
    <n v="1.064981"/>
    <n v="4027.314437"/>
    <n v="348.68978800000002"/>
    <n v="0"/>
    <n v="0"/>
    <n v="0"/>
    <n v="0"/>
    <n v="0"/>
    <n v="0"/>
    <n v="0"/>
    <n v="0"/>
  </r>
  <r>
    <n v="2025"/>
    <s v="06"/>
    <s v="06/01/2025"/>
    <x v="41"/>
    <x v="3"/>
    <n v="466.24125299999997"/>
    <n v="466.24125299999997"/>
    <n v="0"/>
    <n v="1528.2335290000001"/>
    <n v="132.00827799999999"/>
    <n v="0"/>
    <n v="8.0818949999999994"/>
    <n v="8.0818949999999994"/>
    <n v="0"/>
    <n v="0"/>
    <n v="32.616675000000001"/>
    <n v="20.976247999999998"/>
    <n v="0"/>
  </r>
  <r>
    <n v="2025"/>
    <s v="06"/>
    <s v="06/01/2025"/>
    <x v="41"/>
    <x v="4"/>
    <n v="77.931314"/>
    <n v="77.931314"/>
    <n v="0"/>
    <n v="1047.8013080000001"/>
    <n v="40.388322000000002"/>
    <n v="0"/>
    <n v="7.407076"/>
    <n v="7.407076"/>
    <n v="0"/>
    <n v="0"/>
    <n v="53.552658000000001"/>
    <n v="18.530574000000001"/>
    <n v="0"/>
  </r>
  <r>
    <n v="2025"/>
    <s v="06"/>
    <s v="06/01/2025"/>
    <x v="41"/>
    <x v="5"/>
    <n v="90.676913659999997"/>
    <n v="90.676913659999997"/>
    <n v="0"/>
    <n v="67.322729900000013"/>
    <n v="7.1088351599999999"/>
    <n v="0"/>
    <n v="0"/>
    <n v="0"/>
    <n v="0"/>
    <n v="0"/>
    <n v="0"/>
    <n v="0.33667437"/>
    <n v="0"/>
  </r>
  <r>
    <n v="2025"/>
    <s v="06"/>
    <s v="06/01/2025"/>
    <x v="41"/>
    <x v="6"/>
    <n v="551.31041400000004"/>
    <n v="551.31041400000004"/>
    <n v="0"/>
    <n v="13.632663000000001"/>
    <n v="292.35781300000002"/>
    <n v="0"/>
    <n v="0"/>
    <n v="0"/>
    <n v="0"/>
    <n v="0"/>
    <n v="0"/>
    <n v="0"/>
    <n v="0"/>
  </r>
  <r>
    <n v="2025"/>
    <s v="06"/>
    <s v="06/01/2025"/>
    <x v="41"/>
    <x v="7"/>
    <n v="63.855728999999997"/>
    <n v="63.855728999999997"/>
    <n v="0"/>
    <n v="4.866422"/>
    <n v="0"/>
    <n v="0"/>
    <n v="0"/>
    <n v="0"/>
    <n v="0"/>
    <n v="0"/>
    <n v="0"/>
    <n v="0"/>
    <n v="0"/>
  </r>
  <r>
    <n v="2025"/>
    <s v="06"/>
    <s v="06/01/2025"/>
    <x v="41"/>
    <x v="8"/>
    <n v="9.1999999999999998E-3"/>
    <n v="9.1999999999999998E-3"/>
    <n v="0"/>
    <n v="271.61345399999999"/>
    <n v="19.750792000000001"/>
    <n v="0"/>
    <n v="0"/>
    <n v="0"/>
    <n v="0"/>
    <n v="0"/>
    <n v="20.65991"/>
    <n v="41.384430999999999"/>
    <n v="0"/>
  </r>
  <r>
    <n v="2025"/>
    <s v="06"/>
    <s v="06/01/2025"/>
    <x v="41"/>
    <x v="9"/>
    <n v="24.42215002"/>
    <n v="24.42215002"/>
    <n v="0"/>
    <n v="64.905324329999999"/>
    <n v="0.62204443000000009"/>
    <n v="0"/>
    <n v="0"/>
    <n v="0"/>
    <n v="0"/>
    <n v="0"/>
    <n v="0"/>
    <n v="0"/>
    <n v="0"/>
  </r>
  <r>
    <n v="2025"/>
    <s v="06"/>
    <s v="06/01/2025"/>
    <x v="41"/>
    <x v="10"/>
    <n v="0"/>
    <n v="0"/>
    <n v="0"/>
    <n v="273.72756700000002"/>
    <n v="0"/>
    <n v="0"/>
    <n v="0"/>
    <n v="0"/>
    <n v="0"/>
    <n v="0"/>
    <n v="0"/>
    <n v="0"/>
    <n v="0"/>
  </r>
  <r>
    <n v="2025"/>
    <s v="06"/>
    <s v="06/01/2025"/>
    <x v="41"/>
    <x v="44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11"/>
    <n v="3.317879"/>
    <n v="3.317879"/>
    <n v="0"/>
    <n v="106.31018299999999"/>
    <n v="1.5237000000000001E-2"/>
    <n v="0"/>
    <n v="0"/>
    <n v="0"/>
    <n v="0"/>
    <n v="0"/>
    <n v="0"/>
    <n v="0"/>
    <n v="0"/>
  </r>
  <r>
    <n v="2025"/>
    <s v="06"/>
    <s v="06/01/2025"/>
    <x v="41"/>
    <x v="12"/>
    <n v="70.641013170000008"/>
    <n v="70.641013170000008"/>
    <n v="0"/>
    <n v="1201.86515882"/>
    <n v="142.51053569999999"/>
    <n v="0"/>
    <n v="12.00720881"/>
    <n v="12.00720881"/>
    <n v="0"/>
    <n v="0"/>
    <n v="69.303592469999998"/>
    <n v="13.69185002"/>
    <n v="0"/>
  </r>
  <r>
    <n v="2025"/>
    <s v="06"/>
    <s v="06/01/2025"/>
    <x v="41"/>
    <x v="13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14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15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16"/>
    <n v="15.22416572"/>
    <n v="15.22416572"/>
    <n v="0"/>
    <n v="0"/>
    <n v="0"/>
    <n v="0"/>
    <n v="1.7750988999999999"/>
    <n v="1.7750988999999999"/>
    <n v="0"/>
    <n v="0"/>
    <n v="0"/>
    <n v="0"/>
    <n v="0"/>
  </r>
  <r>
    <n v="2025"/>
    <s v="06"/>
    <s v="06/01/2025"/>
    <x v="41"/>
    <x v="17"/>
    <n v="0"/>
    <n v="0"/>
    <n v="0"/>
    <n v="0"/>
    <n v="0"/>
    <n v="0"/>
    <n v="5.7951430000000004"/>
    <n v="5.7951430000000004"/>
    <n v="0"/>
    <n v="0"/>
    <n v="0"/>
    <n v="7.0930000000000003E-3"/>
    <n v="0"/>
  </r>
  <r>
    <n v="2025"/>
    <s v="06"/>
    <s v="06/01/2025"/>
    <x v="41"/>
    <x v="19"/>
    <n v="0"/>
    <n v="0"/>
    <n v="0"/>
    <n v="1027.94911131"/>
    <n v="0"/>
    <n v="0"/>
    <n v="0"/>
    <n v="0"/>
    <n v="0"/>
    <n v="0"/>
    <n v="0"/>
    <n v="0"/>
    <n v="0"/>
  </r>
  <r>
    <n v="2025"/>
    <s v="06"/>
    <s v="06/01/2025"/>
    <x v="41"/>
    <x v="20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21"/>
    <n v="0"/>
    <n v="0"/>
    <n v="0"/>
    <n v="444.643957"/>
    <n v="0"/>
    <n v="0"/>
    <n v="0"/>
    <n v="0"/>
    <n v="0"/>
    <n v="0"/>
    <n v="16.448315000000001"/>
    <n v="0"/>
    <n v="0"/>
  </r>
  <r>
    <n v="2025"/>
    <s v="06"/>
    <s v="06/01/2025"/>
    <x v="41"/>
    <x v="22"/>
    <n v="20.650123000000001"/>
    <n v="20.650123000000001"/>
    <n v="0"/>
    <n v="2.2350859999999999"/>
    <n v="0"/>
    <n v="0"/>
    <n v="0"/>
    <n v="0"/>
    <n v="0"/>
    <n v="0"/>
    <n v="0"/>
    <n v="0"/>
    <n v="0"/>
  </r>
  <r>
    <n v="2025"/>
    <s v="06"/>
    <s v="06/01/2025"/>
    <x v="41"/>
    <x v="23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24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25"/>
    <n v="0"/>
    <n v="0"/>
    <n v="0"/>
    <n v="7.2754393099999994"/>
    <n v="0.86777243999999998"/>
    <n v="0"/>
    <n v="0"/>
    <n v="0"/>
    <n v="0"/>
    <n v="0"/>
    <n v="0"/>
    <n v="0"/>
    <n v="0"/>
  </r>
  <r>
    <n v="2025"/>
    <s v="06"/>
    <s v="06/01/2025"/>
    <x v="41"/>
    <x v="26"/>
    <n v="0"/>
    <n v="0"/>
    <n v="0"/>
    <n v="11.925132"/>
    <n v="0"/>
    <n v="0"/>
    <n v="0"/>
    <n v="0"/>
    <n v="0"/>
    <n v="0"/>
    <n v="0"/>
    <n v="0"/>
    <n v="0"/>
  </r>
  <r>
    <n v="2025"/>
    <s v="06"/>
    <s v="06/01/2025"/>
    <x v="41"/>
    <x v="27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28"/>
    <n v="0"/>
    <n v="0"/>
    <n v="0"/>
    <n v="23.139029000000001"/>
    <n v="0"/>
    <n v="0"/>
    <n v="0"/>
    <n v="0"/>
    <n v="0"/>
    <n v="0"/>
    <n v="0"/>
    <n v="0"/>
    <n v="0"/>
  </r>
  <r>
    <n v="2025"/>
    <s v="06"/>
    <s v="06/01/2025"/>
    <x v="41"/>
    <x v="29"/>
    <n v="0"/>
    <n v="0"/>
    <n v="0"/>
    <n v="0.101605"/>
    <n v="0"/>
    <n v="0"/>
    <n v="0"/>
    <n v="0"/>
    <n v="0"/>
    <n v="0"/>
    <n v="0"/>
    <n v="0"/>
    <n v="0"/>
  </r>
  <r>
    <n v="2025"/>
    <s v="06"/>
    <s v="06/01/2025"/>
    <x v="41"/>
    <x v="30"/>
    <n v="2.6797932100000001"/>
    <n v="2.5250180699999998"/>
    <n v="0.15477514000000001"/>
    <n v="7.2586547000000001"/>
    <n v="0.31871846999999998"/>
    <n v="0"/>
    <n v="41.84175639"/>
    <n v="20.481768779999999"/>
    <n v="21.359987610000001"/>
    <n v="0"/>
    <n v="10.58818602"/>
    <n v="1.2960000000000001E-5"/>
    <n v="0"/>
  </r>
  <r>
    <n v="2025"/>
    <s v="06"/>
    <s v="06/01/2025"/>
    <x v="41"/>
    <x v="31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32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33"/>
    <n v="0"/>
    <n v="0"/>
    <n v="0"/>
    <n v="7.9493099999999997"/>
    <n v="0"/>
    <n v="0"/>
    <n v="0"/>
    <n v="0"/>
    <n v="0"/>
    <n v="0"/>
    <n v="9.8875000000000005E-2"/>
    <n v="0"/>
    <n v="0"/>
  </r>
  <r>
    <n v="2025"/>
    <s v="06"/>
    <s v="06/01/2025"/>
    <x v="41"/>
    <x v="34"/>
    <n v="0"/>
    <n v="0"/>
    <n v="0"/>
    <n v="0"/>
    <n v="0"/>
    <n v="0"/>
    <n v="2.0935799999999998E-3"/>
    <n v="2.0935799999999998E-3"/>
    <n v="0"/>
    <n v="0"/>
    <n v="0"/>
    <n v="0"/>
    <n v="0"/>
  </r>
  <r>
    <n v="2025"/>
    <s v="06"/>
    <s v="06/01/2025"/>
    <x v="41"/>
    <x v="35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36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37"/>
    <n v="0"/>
    <n v="0"/>
    <n v="0"/>
    <n v="0"/>
    <n v="0"/>
    <n v="0"/>
    <n v="0.36466920000000003"/>
    <n v="0.36466920000000003"/>
    <n v="0"/>
    <n v="0"/>
    <n v="0"/>
    <n v="0"/>
    <n v="0"/>
  </r>
  <r>
    <n v="2025"/>
    <s v="06"/>
    <s v="06/01/2025"/>
    <x v="41"/>
    <x v="38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39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40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41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42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45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43"/>
    <n v="0"/>
    <n v="0"/>
    <n v="0"/>
    <n v="0"/>
    <n v="0"/>
    <n v="0"/>
    <n v="0"/>
    <n v="0"/>
    <n v="0"/>
    <n v="0"/>
    <n v="0"/>
    <n v="0"/>
    <n v="0"/>
  </r>
  <r>
    <n v="2025"/>
    <s v="06"/>
    <s v="06/01/2025"/>
    <x v="41"/>
    <x v="46"/>
    <n v="0"/>
    <n v="0"/>
    <n v="0"/>
    <n v="2.1851011099999997"/>
    <n v="0"/>
    <n v="0"/>
    <n v="0"/>
    <n v="0"/>
    <n v="0"/>
    <n v="0"/>
    <n v="1.240219E-2"/>
    <n v="0"/>
    <n v="0"/>
  </r>
  <r>
    <n v="2025"/>
    <s v="07"/>
    <s v="07/01/2025"/>
    <x v="42"/>
    <x v="0"/>
    <n v="1085.37813164"/>
    <n v="1078.72182625"/>
    <n v="5.7409163899999998"/>
    <n v="11444.575652540001"/>
    <n v="699.07825620000006"/>
    <n v="51.144296600000004"/>
    <n v="72.996402900000007"/>
    <n v="72.82426298"/>
    <n v="0"/>
    <n v="0.17213992"/>
    <n v="246.98405065"/>
    <n v="92.535329750000002"/>
    <n v="0"/>
  </r>
  <r>
    <n v="2025"/>
    <s v="07"/>
    <s v="07/01/2025"/>
    <x v="42"/>
    <x v="1"/>
    <n v="90.007331900000011"/>
    <n v="90.007331900000011"/>
    <n v="0"/>
    <n v="464.26950425999996"/>
    <n v="60.752623729999996"/>
    <n v="51.144296600000004"/>
    <n v="0"/>
    <n v="0"/>
    <n v="0"/>
    <n v="0"/>
    <n v="0"/>
    <n v="0"/>
    <n v="0"/>
  </r>
  <r>
    <n v="2025"/>
    <s v="07"/>
    <s v="07/01/2025"/>
    <x v="42"/>
    <x v="2"/>
    <n v="343.83680800000002"/>
    <n v="343.83680800000002"/>
    <n v="0"/>
    <n v="4258.2067100000004"/>
    <n v="162.97780499999999"/>
    <n v="0"/>
    <n v="0"/>
    <n v="0"/>
    <n v="0"/>
    <n v="0"/>
    <n v="0"/>
    <n v="0"/>
    <n v="0"/>
  </r>
  <r>
    <n v="2025"/>
    <s v="07"/>
    <s v="07/01/2025"/>
    <x v="42"/>
    <x v="3"/>
    <n v="361.359781"/>
    <n v="361.359781"/>
    <n v="0"/>
    <n v="1803.22883"/>
    <n v="104.942268"/>
    <n v="0"/>
    <n v="33.28463"/>
    <n v="33.28463"/>
    <n v="0"/>
    <n v="0"/>
    <n v="41.334667000000003"/>
    <n v="17.474626000000001"/>
    <n v="0"/>
  </r>
  <r>
    <n v="2025"/>
    <s v="07"/>
    <s v="07/01/2025"/>
    <x v="42"/>
    <x v="4"/>
    <n v="57.14714"/>
    <n v="54.540961000000003"/>
    <n v="2.606179"/>
    <n v="1065.544091"/>
    <n v="32.482725000000002"/>
    <n v="0"/>
    <n v="6.8564629999999998"/>
    <n v="6.8564629999999998"/>
    <n v="0"/>
    <n v="0"/>
    <n v="61.792127999999998"/>
    <n v="20.131584"/>
    <n v="0"/>
  </r>
  <r>
    <n v="2025"/>
    <s v="07"/>
    <s v="07/01/2025"/>
    <x v="42"/>
    <x v="5"/>
    <n v="35.615244189999999"/>
    <n v="35.615244189999999"/>
    <n v="0"/>
    <n v="72.968361329999993"/>
    <n v="3.0440953099999999"/>
    <n v="0"/>
    <n v="0"/>
    <n v="0"/>
    <n v="0"/>
    <n v="0"/>
    <n v="0"/>
    <n v="0.22178376999999999"/>
    <n v="0"/>
  </r>
  <r>
    <n v="2025"/>
    <s v="07"/>
    <s v="07/01/2025"/>
    <x v="42"/>
    <x v="6"/>
    <n v="0"/>
    <n v="0"/>
    <n v="0"/>
    <n v="10.948793"/>
    <n v="7.9410000000000001E-3"/>
    <n v="0"/>
    <n v="0"/>
    <n v="0"/>
    <n v="0"/>
    <n v="0"/>
    <n v="0"/>
    <n v="0"/>
    <n v="0"/>
  </r>
  <r>
    <n v="2025"/>
    <s v="07"/>
    <s v="07/01/2025"/>
    <x v="42"/>
    <x v="7"/>
    <n v="51.481850999999999"/>
    <n v="51.481850999999999"/>
    <n v="0"/>
    <n v="0.77430299999999996"/>
    <n v="0"/>
    <n v="0"/>
    <n v="0"/>
    <n v="0"/>
    <n v="0"/>
    <n v="0"/>
    <n v="0"/>
    <n v="0"/>
    <n v="0"/>
  </r>
  <r>
    <n v="2025"/>
    <s v="07"/>
    <s v="07/01/2025"/>
    <x v="42"/>
    <x v="8"/>
    <n v="1.8124000000000001E-2"/>
    <n v="1.8124000000000001E-2"/>
    <n v="0"/>
    <n v="273.382497"/>
    <n v="163.845901"/>
    <n v="0"/>
    <n v="0"/>
    <n v="0"/>
    <n v="0"/>
    <n v="0"/>
    <n v="36.090460999999998"/>
    <n v="37.510523999999997"/>
    <n v="0"/>
  </r>
  <r>
    <n v="2025"/>
    <s v="07"/>
    <s v="07/01/2025"/>
    <x v="42"/>
    <x v="9"/>
    <n v="7.5882482400000004"/>
    <n v="7.5882482400000004"/>
    <n v="0"/>
    <n v="70.675035319999992"/>
    <n v="1.5553417199999999"/>
    <n v="0"/>
    <n v="0"/>
    <n v="0"/>
    <n v="0"/>
    <n v="0"/>
    <n v="0"/>
    <n v="0"/>
    <n v="0"/>
  </r>
  <r>
    <n v="2025"/>
    <s v="07"/>
    <s v="07/01/2025"/>
    <x v="42"/>
    <x v="10"/>
    <n v="0"/>
    <n v="0"/>
    <n v="0"/>
    <n v="347.133895"/>
    <n v="0"/>
    <n v="0"/>
    <n v="0"/>
    <n v="0"/>
    <n v="0"/>
    <n v="0"/>
    <n v="0"/>
    <n v="0"/>
    <n v="0"/>
  </r>
  <r>
    <n v="2025"/>
    <s v="07"/>
    <s v="07/01/2025"/>
    <x v="42"/>
    <x v="44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11"/>
    <n v="1.270365"/>
    <n v="1.270365"/>
    <n v="0"/>
    <n v="139.10426699999999"/>
    <n v="6.3668000000000002E-2"/>
    <n v="0"/>
    <n v="0"/>
    <n v="0"/>
    <n v="0"/>
    <n v="0"/>
    <n v="0"/>
    <n v="0"/>
    <n v="0"/>
  </r>
  <r>
    <n v="2025"/>
    <s v="07"/>
    <s v="07/01/2025"/>
    <x v="42"/>
    <x v="12"/>
    <n v="124.24409803"/>
    <n v="124.24409803"/>
    <n v="0"/>
    <n v="1358.3127719500001"/>
    <n v="165.43170527000001"/>
    <n v="0"/>
    <n v="14.77891236"/>
    <n v="14.778784060000001"/>
    <n v="0"/>
    <n v="1.283E-4"/>
    <n v="85.033479540000002"/>
    <n v="17.06877252"/>
    <n v="0"/>
  </r>
  <r>
    <n v="2025"/>
    <s v="07"/>
    <s v="07/01/2025"/>
    <x v="42"/>
    <x v="13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14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15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16"/>
    <n v="0.33131948999999999"/>
    <n v="0.33131948999999999"/>
    <n v="0"/>
    <n v="0"/>
    <n v="0"/>
    <n v="0"/>
    <n v="0.55548392000000002"/>
    <n v="0.38347229999999999"/>
    <n v="0"/>
    <n v="0.17201162"/>
    <n v="0"/>
    <n v="0"/>
    <n v="0"/>
  </r>
  <r>
    <n v="2025"/>
    <s v="07"/>
    <s v="07/01/2025"/>
    <x v="42"/>
    <x v="17"/>
    <n v="0"/>
    <n v="0"/>
    <n v="0"/>
    <n v="0"/>
    <n v="1.1900379999999999"/>
    <n v="0"/>
    <n v="3.5999999999999997E-2"/>
    <n v="3.5999999999999997E-2"/>
    <n v="0"/>
    <n v="0"/>
    <n v="0"/>
    <n v="0.12803899999999999"/>
    <n v="0"/>
  </r>
  <r>
    <n v="2025"/>
    <s v="07"/>
    <s v="07/01/2025"/>
    <x v="42"/>
    <x v="19"/>
    <n v="0"/>
    <n v="0"/>
    <n v="0"/>
    <n v="987.23470021000003"/>
    <n v="2.2155999999999999E-3"/>
    <n v="0"/>
    <n v="0"/>
    <n v="0"/>
    <n v="0"/>
    <n v="0"/>
    <n v="0"/>
    <n v="0"/>
    <n v="0"/>
  </r>
  <r>
    <n v="2025"/>
    <s v="07"/>
    <s v="07/01/2025"/>
    <x v="42"/>
    <x v="20"/>
    <n v="0"/>
    <n v="0"/>
    <n v="0"/>
    <n v="5.4233061900000008"/>
    <n v="0"/>
    <n v="0"/>
    <n v="0"/>
    <n v="0"/>
    <n v="0"/>
    <n v="0"/>
    <n v="0"/>
    <n v="0"/>
    <n v="0"/>
  </r>
  <r>
    <n v="2025"/>
    <s v="07"/>
    <s v="07/01/2025"/>
    <x v="42"/>
    <x v="21"/>
    <n v="0"/>
    <n v="0"/>
    <n v="0"/>
    <n v="477.11250200000001"/>
    <n v="0"/>
    <n v="0"/>
    <n v="0"/>
    <n v="0"/>
    <n v="0"/>
    <n v="0"/>
    <n v="17.262924000000002"/>
    <n v="0"/>
    <n v="0"/>
  </r>
  <r>
    <n v="2025"/>
    <s v="07"/>
    <s v="07/01/2025"/>
    <x v="42"/>
    <x v="22"/>
    <n v="4.3683870000000002"/>
    <n v="4.3683870000000002"/>
    <n v="0"/>
    <n v="1.9000000000000001E-5"/>
    <n v="0"/>
    <n v="0"/>
    <n v="0"/>
    <n v="0"/>
    <n v="0"/>
    <n v="0"/>
    <n v="0"/>
    <n v="0"/>
    <n v="0"/>
  </r>
  <r>
    <n v="2025"/>
    <s v="07"/>
    <s v="07/01/2025"/>
    <x v="42"/>
    <x v="23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24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25"/>
    <n v="0"/>
    <n v="0"/>
    <n v="0"/>
    <n v="15.550975189999999"/>
    <n v="1.84065937"/>
    <n v="0"/>
    <n v="0"/>
    <n v="0"/>
    <n v="0"/>
    <n v="0"/>
    <n v="0"/>
    <n v="0"/>
    <n v="0"/>
  </r>
  <r>
    <n v="2025"/>
    <s v="07"/>
    <s v="07/01/2025"/>
    <x v="42"/>
    <x v="26"/>
    <n v="0"/>
    <n v="0"/>
    <n v="0"/>
    <n v="14.228571000000001"/>
    <n v="0"/>
    <n v="0"/>
    <n v="0"/>
    <n v="0"/>
    <n v="0"/>
    <n v="0"/>
    <n v="0.30593599999999999"/>
    <n v="0"/>
    <n v="0"/>
  </r>
  <r>
    <n v="2025"/>
    <s v="07"/>
    <s v="07/01/2025"/>
    <x v="42"/>
    <x v="27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28"/>
    <n v="0"/>
    <n v="0"/>
    <n v="0"/>
    <n v="44.451484999999998"/>
    <n v="0"/>
    <n v="0"/>
    <n v="0"/>
    <n v="0"/>
    <n v="0"/>
    <n v="0"/>
    <n v="0"/>
    <n v="0"/>
    <n v="0"/>
  </r>
  <r>
    <n v="2025"/>
    <s v="07"/>
    <s v="07/01/2025"/>
    <x v="42"/>
    <x v="29"/>
    <n v="0"/>
    <n v="0"/>
    <n v="0"/>
    <n v="17.491655999999999"/>
    <n v="0"/>
    <n v="0"/>
    <n v="0"/>
    <n v="0"/>
    <n v="0"/>
    <n v="0"/>
    <n v="0"/>
    <n v="0"/>
    <n v="0"/>
  </r>
  <r>
    <n v="2025"/>
    <s v="07"/>
    <s v="07/01/2025"/>
    <x v="42"/>
    <x v="30"/>
    <n v="8.1094337900000006"/>
    <n v="4.0593073999999998"/>
    <n v="3.1347373900000002"/>
    <n v="4.4282549699999993"/>
    <n v="0.94126919999999992"/>
    <n v="0"/>
    <n v="0"/>
    <n v="0"/>
    <n v="0"/>
    <n v="0"/>
    <n v="4.8773303399999994"/>
    <n v="4.6000000000000004E-7"/>
    <n v="0"/>
  </r>
  <r>
    <n v="2025"/>
    <s v="07"/>
    <s v="07/01/2025"/>
    <x v="42"/>
    <x v="31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32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33"/>
    <n v="0"/>
    <n v="0"/>
    <n v="0"/>
    <n v="11.204670999999999"/>
    <n v="0"/>
    <n v="0"/>
    <n v="0"/>
    <n v="0"/>
    <n v="0"/>
    <n v="0"/>
    <n v="2.4680000000000001E-3"/>
    <n v="0"/>
    <n v="0"/>
  </r>
  <r>
    <n v="2025"/>
    <s v="07"/>
    <s v="07/01/2025"/>
    <x v="42"/>
    <x v="34"/>
    <n v="0"/>
    <n v="0"/>
    <n v="0"/>
    <n v="0"/>
    <n v="0"/>
    <n v="0"/>
    <n v="17.028224820000002"/>
    <n v="17.028224820000002"/>
    <n v="0"/>
    <n v="0"/>
    <n v="0"/>
    <n v="0"/>
    <n v="0"/>
  </r>
  <r>
    <n v="2025"/>
    <s v="07"/>
    <s v="07/01/2025"/>
    <x v="42"/>
    <x v="35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36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37"/>
    <n v="0"/>
    <n v="0"/>
    <n v="0"/>
    <n v="0"/>
    <n v="0"/>
    <n v="0"/>
    <n v="0.45668880000000001"/>
    <n v="0.45668880000000001"/>
    <n v="0"/>
    <n v="0"/>
    <n v="0"/>
    <n v="0"/>
    <n v="0"/>
  </r>
  <r>
    <n v="2025"/>
    <s v="07"/>
    <s v="07/01/2025"/>
    <x v="42"/>
    <x v="38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39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40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41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42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45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43"/>
    <n v="0"/>
    <n v="0"/>
    <n v="0"/>
    <n v="0"/>
    <n v="0"/>
    <n v="0"/>
    <n v="0"/>
    <n v="0"/>
    <n v="0"/>
    <n v="0"/>
    <n v="0"/>
    <n v="0"/>
    <n v="0"/>
  </r>
  <r>
    <n v="2025"/>
    <s v="07"/>
    <s v="07/01/2025"/>
    <x v="42"/>
    <x v="46"/>
    <n v="0"/>
    <n v="0"/>
    <n v="0"/>
    <n v="2.9004531200000003"/>
    <n v="0"/>
    <n v="0"/>
    <n v="0"/>
    <n v="0"/>
    <n v="0"/>
    <n v="0"/>
    <n v="0.28465677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841A9-C52E-4F72-ACCC-9326B004727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M51" firstHeaderRow="1" firstDataRow="2" firstDataCol="2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x="4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44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5"/>
        <item sd="0" x="43"/>
        <item sd="0" x="46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LIB_CASTIGOS_COMERC" fld="5" baseField="0" baseItem="0"/>
    <dataField name="Sum of LIB_CASTIGOS_ACT_EMP" fld="6" baseField="0" baseItem="0"/>
    <dataField name="Sum of LIB_CASTIGOS_ENT_FIN" fld="7" baseField="0" baseItem="0"/>
    <dataField name="Sum of LIB_CASTIGOS_CONSUMO" fld="8" baseField="0" baseItem="0"/>
    <dataField name="Sum of LIB_CASTIGOS_VIVIENDA" fld="9" baseField="0" baseItem="0"/>
    <dataField name="Sum of QUITAS_COMER" fld="11" baseField="0" baseItem="0"/>
    <dataField name="Sum of QUITAS_ACT_EM" fld="12" baseField="0" baseItem="0"/>
    <dataField name="Sum of QUITAS_ENT_FIN" fld="13" baseField="0" baseItem="0"/>
    <dataField name="Sum of QUITAS_ENT_GUB" fld="14" baseField="0" baseItem="0"/>
    <dataField name="Sum of QUITAS_CONSUMO" fld="15" baseField="0" baseItem="0"/>
    <dataField name="Sum of QUITAS_VIVIENDA" fld="16" baseField="0" baseItem="0"/>
  </dataFields>
  <formats count="3">
    <format dxfId="7">
      <pivotArea collapsedLevelsAreSubtotals="1" fieldPosition="0">
        <references count="3">
          <reference field="4294967294" count="1" selected="0">
            <x v="0"/>
          </reference>
          <reference field="3" count="0"/>
          <reference field="4" count="1" selected="0">
            <x v="1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1"/>
          </reference>
          <reference field="3" count="1">
            <x v="11"/>
          </reference>
          <reference field="4" count="1" selected="0">
            <x v="1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3"/>
          </reference>
          <reference field="3" count="1">
            <x v="11"/>
          </reference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CF558-50C3-4DC7-8C8A-AED48CAD2D06}" name="PivotTable19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S11" firstHeaderRow="1" firstDataRow="2" firstDataCol="1"/>
  <pivotFields count="18">
    <pivotField showAll="0"/>
    <pivotField showAll="0"/>
    <pivotField showAll="0"/>
    <pivotField axis="axisCol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3"/>
  </colFields>
  <col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colItems>
  <dataFields count="7">
    <dataField name="Sum of LIB_CASTIGOS_COMERC" fld="5" baseField="0" baseItem="0"/>
    <dataField name="Sum of LIB_CASTIGOS_ACT_EMP" fld="6" baseField="0" baseItem="0"/>
    <dataField name="Sum of LIB_CASTIGOS_ENT_FIN" fld="7" baseField="0" baseItem="0"/>
    <dataField name="Sum of LIB_CASTIGOS_CONSUMO" fld="8" baseField="0" baseItem="0"/>
    <dataField name="Sum of LIB_CASTIGOS_VIVIENDA" fld="9" baseField="0" baseItem="0"/>
    <dataField name="Sum of LIB_OTROS_CASTIGOS" fld="10" baseField="0" baseItem="0"/>
    <dataField name="Sum of QUITAS_COMER" fld="11" baseField="0" baseItem="0"/>
  </dataFields>
  <formats count="1">
    <format dxfId="4">
      <pivotArea collapsedLevelsAreSubtotals="1" fieldPosition="0">
        <references count="2">
          <reference field="4294967294" count="1">
            <x v="6"/>
          </reference>
          <reference field="3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06AF6-8FD8-4971-8638-E793540674C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011" firstHeaderRow="0" firstDataRow="1" firstDataCol="1"/>
  <pivotFields count="18">
    <pivotField showAll="0"/>
    <pivotField showAll="0"/>
    <pivotField showAll="0"/>
    <pivotField axis="axisRow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4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5"/>
        <item x="43"/>
        <item x="4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4"/>
    <field x="3"/>
  </rowFields>
  <rowItems count="200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1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</i>
    <i r="1">
      <x/>
    </i>
    <i r="1">
      <x v="1"/>
    </i>
    <i r="1">
      <x v="2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44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46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LIB_CASTIGOS_COMERC" fld="5" baseField="0" baseItem="0"/>
    <dataField name="Sum of LIB_CASTIGOS_ACT_EMP" fld="6" baseField="0" baseItem="0"/>
    <dataField name="Sum of LIB_CASTIGOS_ENT_FIN" fld="7" baseField="0" baseItem="0"/>
    <dataField name="Sum of LIB_CASTIGOS_CONSUMO" fld="8" baseField="0" baseItem="0"/>
    <dataField name="Sum of LIB_CASTIGOS_VIVIENDA" fld="9" baseField="0" baseItem="0"/>
    <dataField name="Sum of QUITAS_COMER" fld="11" baseField="0" baseItem="0"/>
    <dataField name="Sum of QUITAS_ACT_EM" fld="12" baseField="0" baseItem="0"/>
    <dataField name="Sum of QUITAS_ENT_FIN" fld="13" baseField="0" baseItem="0"/>
    <dataField name="Sum of QUITAS_ENT_GUB" fld="14" baseField="0" baseItem="0"/>
    <dataField name="Sum of QUITAS_CONSUMO" fld="15" baseField="0" baseItem="0"/>
    <dataField name="Sum of QUITAS_VIVIENDA" fld="16" baseField="0" baseItem="0"/>
  </dataFields>
  <formats count="4">
    <format dxfId="3">
      <pivotArea collapsedLevelsAreSubtotals="1" fieldPosition="0">
        <references count="3">
          <reference field="4294967294" count="1" selected="0">
            <x v="0"/>
          </reference>
          <reference field="3" count="0"/>
          <reference field="4" count="1" selected="0">
            <x v="1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3" count="1">
            <x v="11"/>
          </reference>
          <reference field="4" count="1" selected="0">
            <x v="1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3"/>
          </reference>
          <reference field="3" count="1">
            <x v="11"/>
          </reference>
          <reference field="4" count="1" selected="0">
            <x v="1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2"/>
          </reference>
          <reference field="3" count="3">
            <x v="9"/>
            <x v="10"/>
            <x v="11"/>
          </reference>
          <reference field="4" count="1" selected="0">
            <x v="4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5B1B-065A-1343-AB5F-ECEA7D4F8EB1}">
  <dimension ref="A3:M51"/>
  <sheetViews>
    <sheetView tabSelected="1" topLeftCell="A34" workbookViewId="0">
      <selection activeCell="C5" sqref="C5:C50"/>
    </sheetView>
  </sheetViews>
  <sheetFormatPr baseColWidth="10" defaultColWidth="10.58203125" defaultRowHeight="15.5" x14ac:dyDescent="0.35"/>
  <cols>
    <col min="1" max="1" width="16.58203125" bestFit="1" customWidth="1"/>
    <col min="2" max="2" width="9.4140625" bestFit="1" customWidth="1"/>
    <col min="3" max="3" width="27.33203125" bestFit="1" customWidth="1"/>
    <col min="4" max="4" width="28.08203125" bestFit="1" customWidth="1"/>
    <col min="5" max="5" width="27" bestFit="1" customWidth="1"/>
    <col min="6" max="6" width="29" bestFit="1" customWidth="1"/>
    <col min="7" max="7" width="28.08203125" bestFit="1" customWidth="1"/>
    <col min="8" max="8" width="20.75" bestFit="1" customWidth="1"/>
    <col min="9" max="10" width="21.58203125" bestFit="1" customWidth="1"/>
    <col min="11" max="11" width="22.5" bestFit="1" customWidth="1"/>
    <col min="12" max="12" width="23.58203125" bestFit="1" customWidth="1"/>
    <col min="13" max="13" width="22.6640625" bestFit="1" customWidth="1"/>
  </cols>
  <sheetData>
    <row r="3" spans="1:13" x14ac:dyDescent="0.35">
      <c r="C3" s="1" t="s">
        <v>66</v>
      </c>
    </row>
    <row r="4" spans="1:13" x14ac:dyDescent="0.35">
      <c r="A4" s="1" t="s">
        <v>4</v>
      </c>
      <c r="B4" s="1" t="s">
        <v>3</v>
      </c>
      <c r="C4" t="s">
        <v>64</v>
      </c>
      <c r="D4" t="s">
        <v>65</v>
      </c>
      <c r="E4" t="s">
        <v>67</v>
      </c>
      <c r="F4" t="s">
        <v>68</v>
      </c>
      <c r="G4" t="s">
        <v>69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</row>
    <row r="5" spans="1:13" x14ac:dyDescent="0.35">
      <c r="A5">
        <v>5</v>
      </c>
      <c r="C5" s="16">
        <v>1085.37813164</v>
      </c>
      <c r="D5" s="16">
        <v>1078.72182625</v>
      </c>
      <c r="E5" s="16">
        <v>5.7409163899999998</v>
      </c>
      <c r="F5" s="16">
        <v>11444.575652540001</v>
      </c>
      <c r="G5" s="16">
        <v>699.07825620000006</v>
      </c>
      <c r="H5" s="16">
        <v>72.996402900000007</v>
      </c>
      <c r="I5" s="16">
        <v>72.82426298</v>
      </c>
      <c r="J5" s="16">
        <v>0</v>
      </c>
      <c r="K5" s="16">
        <v>0.17213992</v>
      </c>
      <c r="L5" s="16">
        <v>246.98405065</v>
      </c>
      <c r="M5" s="16">
        <v>92.535329750000002</v>
      </c>
    </row>
    <row r="6" spans="1:13" x14ac:dyDescent="0.35">
      <c r="A6" t="s">
        <v>19</v>
      </c>
      <c r="C6" s="16">
        <v>90.007331900000011</v>
      </c>
      <c r="D6" s="16">
        <v>90.007331900000011</v>
      </c>
      <c r="E6" s="16">
        <v>0</v>
      </c>
      <c r="F6" s="16">
        <v>464.26950425999996</v>
      </c>
      <c r="G6" s="16">
        <v>60.752623729999996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</row>
    <row r="7" spans="1:13" x14ac:dyDescent="0.35">
      <c r="A7" t="s">
        <v>20</v>
      </c>
      <c r="C7" s="16">
        <v>343.83680800000002</v>
      </c>
      <c r="D7" s="16">
        <v>343.83680800000002</v>
      </c>
      <c r="E7" s="16">
        <v>0</v>
      </c>
      <c r="F7" s="16">
        <v>4258.2067100000004</v>
      </c>
      <c r="G7" s="16">
        <v>162.97780499999999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</row>
    <row r="8" spans="1:13" x14ac:dyDescent="0.35">
      <c r="A8" t="s">
        <v>21</v>
      </c>
      <c r="C8" s="16">
        <v>361.359781</v>
      </c>
      <c r="D8" s="16">
        <v>361.359781</v>
      </c>
      <c r="E8" s="16">
        <v>0</v>
      </c>
      <c r="F8" s="16">
        <v>1803.22883</v>
      </c>
      <c r="G8" s="16">
        <v>104.942268</v>
      </c>
      <c r="H8" s="16">
        <v>33.28463</v>
      </c>
      <c r="I8" s="16">
        <v>33.28463</v>
      </c>
      <c r="J8" s="16">
        <v>0</v>
      </c>
      <c r="K8" s="16">
        <v>0</v>
      </c>
      <c r="L8" s="16">
        <v>41.334667000000003</v>
      </c>
      <c r="M8" s="16">
        <v>17.474626000000001</v>
      </c>
    </row>
    <row r="9" spans="1:13" x14ac:dyDescent="0.35">
      <c r="A9" t="s">
        <v>22</v>
      </c>
      <c r="C9" s="16">
        <v>57.14714</v>
      </c>
      <c r="D9" s="16">
        <v>54.540961000000003</v>
      </c>
      <c r="E9" s="16">
        <v>2.606179</v>
      </c>
      <c r="F9" s="16">
        <v>1065.544091</v>
      </c>
      <c r="G9" s="16">
        <v>32.482725000000002</v>
      </c>
      <c r="H9" s="16">
        <v>6.8564629999999998</v>
      </c>
      <c r="I9" s="16">
        <v>6.8564629999999998</v>
      </c>
      <c r="J9" s="16">
        <v>0</v>
      </c>
      <c r="K9" s="16">
        <v>0</v>
      </c>
      <c r="L9" s="16">
        <v>61.792127999999998</v>
      </c>
      <c r="M9" s="16">
        <v>20.131584</v>
      </c>
    </row>
    <row r="10" spans="1:13" x14ac:dyDescent="0.35">
      <c r="A10" t="s">
        <v>23</v>
      </c>
      <c r="C10" s="16">
        <v>35.615244189999999</v>
      </c>
      <c r="D10" s="16">
        <v>35.615244189999999</v>
      </c>
      <c r="E10" s="16">
        <v>0</v>
      </c>
      <c r="F10" s="16">
        <v>72.968361329999993</v>
      </c>
      <c r="G10" s="16">
        <v>3.0440953099999999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0.22178376999999999</v>
      </c>
    </row>
    <row r="11" spans="1:13" x14ac:dyDescent="0.35">
      <c r="A11" t="s">
        <v>24</v>
      </c>
      <c r="C11" s="16">
        <v>0</v>
      </c>
      <c r="D11" s="16">
        <v>0</v>
      </c>
      <c r="E11" s="16">
        <v>0</v>
      </c>
      <c r="F11" s="16">
        <v>10.948793</v>
      </c>
      <c r="G11" s="16">
        <v>7.9410000000000001E-3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</row>
    <row r="12" spans="1:13" x14ac:dyDescent="0.35">
      <c r="A12" t="s">
        <v>25</v>
      </c>
      <c r="C12" s="16">
        <v>51.481850999999999</v>
      </c>
      <c r="D12" s="16">
        <v>51.481850999999999</v>
      </c>
      <c r="E12" s="16">
        <v>0</v>
      </c>
      <c r="F12" s="16">
        <v>0.77430299999999996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</row>
    <row r="13" spans="1:13" x14ac:dyDescent="0.35">
      <c r="A13" t="s">
        <v>26</v>
      </c>
      <c r="C13" s="16">
        <v>1.8124000000000001E-2</v>
      </c>
      <c r="D13" s="16">
        <v>1.8124000000000001E-2</v>
      </c>
      <c r="E13" s="16">
        <v>0</v>
      </c>
      <c r="F13" s="16">
        <v>273.382497</v>
      </c>
      <c r="G13" s="16">
        <v>163.845901</v>
      </c>
      <c r="H13" s="16">
        <v>0</v>
      </c>
      <c r="I13" s="16">
        <v>0</v>
      </c>
      <c r="J13" s="16">
        <v>0</v>
      </c>
      <c r="K13" s="16">
        <v>0</v>
      </c>
      <c r="L13" s="16">
        <v>36.090460999999998</v>
      </c>
      <c r="M13" s="16">
        <v>37.510523999999997</v>
      </c>
    </row>
    <row r="14" spans="1:13" x14ac:dyDescent="0.35">
      <c r="A14" t="s">
        <v>27</v>
      </c>
      <c r="C14" s="16">
        <v>7.5882482400000004</v>
      </c>
      <c r="D14" s="16">
        <v>7.5882482400000004</v>
      </c>
      <c r="E14" s="16">
        <v>0</v>
      </c>
      <c r="F14" s="16">
        <v>70.675035319999992</v>
      </c>
      <c r="G14" s="16">
        <v>1.5553417199999999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</row>
    <row r="15" spans="1:13" x14ac:dyDescent="0.35">
      <c r="A15" t="s">
        <v>28</v>
      </c>
      <c r="C15" s="16">
        <v>0</v>
      </c>
      <c r="D15" s="16">
        <v>0</v>
      </c>
      <c r="E15" s="16">
        <v>0</v>
      </c>
      <c r="F15" s="16">
        <v>347.133895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</row>
    <row r="16" spans="1:13" x14ac:dyDescent="0.35">
      <c r="A16" t="s">
        <v>62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</row>
    <row r="17" spans="1:13" x14ac:dyDescent="0.35">
      <c r="A17" t="s">
        <v>29</v>
      </c>
      <c r="C17" s="16">
        <v>1.270365</v>
      </c>
      <c r="D17" s="16">
        <v>1.270365</v>
      </c>
      <c r="E17" s="16">
        <v>0</v>
      </c>
      <c r="F17" s="16">
        <v>139.10426699999999</v>
      </c>
      <c r="G17" s="16">
        <v>6.3668000000000002E-2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</row>
    <row r="18" spans="1:13" x14ac:dyDescent="0.35">
      <c r="A18" t="s">
        <v>30</v>
      </c>
      <c r="C18" s="16">
        <v>124.24409803</v>
      </c>
      <c r="D18" s="16">
        <v>124.24409803</v>
      </c>
      <c r="E18" s="16">
        <v>0</v>
      </c>
      <c r="F18" s="16">
        <v>1358.3127719500001</v>
      </c>
      <c r="G18" s="16">
        <v>165.43170527000001</v>
      </c>
      <c r="H18" s="16">
        <v>14.77891236</v>
      </c>
      <c r="I18" s="16">
        <v>14.778784060000001</v>
      </c>
      <c r="J18" s="16">
        <v>0</v>
      </c>
      <c r="K18" s="16">
        <v>1.283E-4</v>
      </c>
      <c r="L18" s="16">
        <v>85.033479540000002</v>
      </c>
      <c r="M18" s="16">
        <v>17.06877252</v>
      </c>
    </row>
    <row r="19" spans="1:13" x14ac:dyDescent="0.35">
      <c r="A19" t="s">
        <v>31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</row>
    <row r="20" spans="1:13" x14ac:dyDescent="0.35">
      <c r="A20" t="s">
        <v>32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</row>
    <row r="21" spans="1:13" x14ac:dyDescent="0.35">
      <c r="A21" t="s">
        <v>33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</row>
    <row r="22" spans="1:13" x14ac:dyDescent="0.35">
      <c r="A22" t="s">
        <v>34</v>
      </c>
      <c r="C22" s="16">
        <v>0.33131948999999999</v>
      </c>
      <c r="D22" s="16">
        <v>0.33131948999999999</v>
      </c>
      <c r="E22" s="16">
        <v>0</v>
      </c>
      <c r="F22" s="16">
        <v>0</v>
      </c>
      <c r="G22" s="16">
        <v>0</v>
      </c>
      <c r="H22" s="16">
        <v>0.55548392000000002</v>
      </c>
      <c r="I22" s="16">
        <v>0.38347229999999999</v>
      </c>
      <c r="J22" s="16">
        <v>0</v>
      </c>
      <c r="K22" s="16">
        <v>0.17201162</v>
      </c>
      <c r="L22" s="16">
        <v>0</v>
      </c>
      <c r="M22" s="16">
        <v>0</v>
      </c>
    </row>
    <row r="23" spans="1:13" x14ac:dyDescent="0.35">
      <c r="A23" t="s">
        <v>35</v>
      </c>
      <c r="C23" s="16">
        <v>0</v>
      </c>
      <c r="D23" s="16">
        <v>0</v>
      </c>
      <c r="E23" s="16">
        <v>0</v>
      </c>
      <c r="F23" s="16">
        <v>0</v>
      </c>
      <c r="G23" s="16">
        <v>1.1900379999999999</v>
      </c>
      <c r="H23" s="16">
        <v>3.5999999999999997E-2</v>
      </c>
      <c r="I23" s="16">
        <v>3.5999999999999997E-2</v>
      </c>
      <c r="J23" s="16">
        <v>0</v>
      </c>
      <c r="K23" s="16">
        <v>0</v>
      </c>
      <c r="L23" s="16">
        <v>0</v>
      </c>
      <c r="M23" s="16">
        <v>0.12803899999999999</v>
      </c>
    </row>
    <row r="24" spans="1:13" x14ac:dyDescent="0.35">
      <c r="A24" t="s">
        <v>37</v>
      </c>
      <c r="C24" s="16">
        <v>0</v>
      </c>
      <c r="D24" s="16">
        <v>0</v>
      </c>
      <c r="E24" s="16">
        <v>0</v>
      </c>
      <c r="F24" s="16">
        <v>987.23470021000003</v>
      </c>
      <c r="G24" s="16">
        <v>2.2155999999999999E-3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</row>
    <row r="25" spans="1:13" x14ac:dyDescent="0.35">
      <c r="A25" t="s">
        <v>38</v>
      </c>
      <c r="C25" s="16">
        <v>0</v>
      </c>
      <c r="D25" s="16">
        <v>0</v>
      </c>
      <c r="E25" s="16">
        <v>0</v>
      </c>
      <c r="F25" s="16">
        <v>5.4233061900000008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</row>
    <row r="26" spans="1:13" x14ac:dyDescent="0.35">
      <c r="A26" t="s">
        <v>39</v>
      </c>
      <c r="C26" s="16">
        <v>0</v>
      </c>
      <c r="D26" s="16">
        <v>0</v>
      </c>
      <c r="E26" s="16">
        <v>0</v>
      </c>
      <c r="F26" s="16">
        <v>477.11250200000001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17.262924000000002</v>
      </c>
      <c r="M26" s="16">
        <v>0</v>
      </c>
    </row>
    <row r="27" spans="1:13" x14ac:dyDescent="0.35">
      <c r="A27" t="s">
        <v>40</v>
      </c>
      <c r="C27" s="16">
        <v>4.3683870000000002</v>
      </c>
      <c r="D27" s="16">
        <v>4.3683870000000002</v>
      </c>
      <c r="E27" s="16">
        <v>0</v>
      </c>
      <c r="F27" s="16">
        <v>1.9000000000000001E-5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</row>
    <row r="28" spans="1:13" x14ac:dyDescent="0.35">
      <c r="A28" t="s">
        <v>41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</row>
    <row r="29" spans="1:13" x14ac:dyDescent="0.35">
      <c r="A29" t="s">
        <v>42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</row>
    <row r="30" spans="1:13" x14ac:dyDescent="0.35">
      <c r="A30" t="s">
        <v>43</v>
      </c>
      <c r="C30" s="16">
        <v>0</v>
      </c>
      <c r="D30" s="16">
        <v>0</v>
      </c>
      <c r="E30" s="16">
        <v>0</v>
      </c>
      <c r="F30" s="16">
        <v>15.550975189999999</v>
      </c>
      <c r="G30" s="16">
        <v>1.84065937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</row>
    <row r="31" spans="1:13" x14ac:dyDescent="0.35">
      <c r="A31" t="s">
        <v>44</v>
      </c>
      <c r="C31" s="16">
        <v>0</v>
      </c>
      <c r="D31" s="16">
        <v>0</v>
      </c>
      <c r="E31" s="16">
        <v>0</v>
      </c>
      <c r="F31" s="16">
        <v>14.228571000000001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0.30593599999999999</v>
      </c>
      <c r="M31" s="16">
        <v>0</v>
      </c>
    </row>
    <row r="32" spans="1:13" x14ac:dyDescent="0.35">
      <c r="A32" t="s">
        <v>45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</row>
    <row r="33" spans="1:13" x14ac:dyDescent="0.35">
      <c r="A33" t="s">
        <v>46</v>
      </c>
      <c r="C33" s="16">
        <v>0</v>
      </c>
      <c r="D33" s="16">
        <v>0</v>
      </c>
      <c r="E33" s="16">
        <v>0</v>
      </c>
      <c r="F33" s="16">
        <v>44.451484999999998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</row>
    <row r="34" spans="1:13" x14ac:dyDescent="0.35">
      <c r="A34" t="s">
        <v>47</v>
      </c>
      <c r="C34" s="16">
        <v>0</v>
      </c>
      <c r="D34" s="16">
        <v>0</v>
      </c>
      <c r="E34" s="16">
        <v>0</v>
      </c>
      <c r="F34" s="16">
        <v>17.491655999999999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</row>
    <row r="35" spans="1:13" x14ac:dyDescent="0.35">
      <c r="A35" t="s">
        <v>48</v>
      </c>
      <c r="C35" s="16">
        <v>8.1094337900000006</v>
      </c>
      <c r="D35" s="16">
        <v>4.0593073999999998</v>
      </c>
      <c r="E35" s="16">
        <v>3.1347373900000002</v>
      </c>
      <c r="F35" s="16">
        <v>4.4282549699999993</v>
      </c>
      <c r="G35" s="16">
        <v>0.94126919999999992</v>
      </c>
      <c r="H35" s="16">
        <v>0</v>
      </c>
      <c r="I35" s="16">
        <v>0</v>
      </c>
      <c r="J35" s="16">
        <v>0</v>
      </c>
      <c r="K35" s="16">
        <v>0</v>
      </c>
      <c r="L35" s="16">
        <v>4.8773303399999994</v>
      </c>
      <c r="M35" s="16">
        <v>4.6000000000000004E-7</v>
      </c>
    </row>
    <row r="36" spans="1:13" x14ac:dyDescent="0.35">
      <c r="A36" t="s">
        <v>49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</row>
    <row r="37" spans="1:13" x14ac:dyDescent="0.35">
      <c r="A37" t="s">
        <v>50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</row>
    <row r="38" spans="1:13" x14ac:dyDescent="0.35">
      <c r="A38" t="s">
        <v>51</v>
      </c>
      <c r="C38" s="16">
        <v>0</v>
      </c>
      <c r="D38" s="16">
        <v>0</v>
      </c>
      <c r="E38" s="16">
        <v>0</v>
      </c>
      <c r="F38" s="16">
        <v>11.204670999999999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2.4680000000000001E-3</v>
      </c>
      <c r="M38" s="16">
        <v>0</v>
      </c>
    </row>
    <row r="39" spans="1:13" x14ac:dyDescent="0.35">
      <c r="A39" t="s">
        <v>52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17.028224820000002</v>
      </c>
      <c r="I39" s="16">
        <v>17.028224820000002</v>
      </c>
      <c r="J39" s="16">
        <v>0</v>
      </c>
      <c r="K39" s="16">
        <v>0</v>
      </c>
      <c r="L39" s="16">
        <v>0</v>
      </c>
      <c r="M39" s="16">
        <v>0</v>
      </c>
    </row>
    <row r="40" spans="1:13" x14ac:dyDescent="0.35">
      <c r="A40" t="s">
        <v>53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</row>
    <row r="41" spans="1:13" x14ac:dyDescent="0.35">
      <c r="A41" t="s">
        <v>54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</row>
    <row r="42" spans="1:13" x14ac:dyDescent="0.35">
      <c r="A42" t="s">
        <v>55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0.45668880000000001</v>
      </c>
      <c r="I42" s="16">
        <v>0.45668880000000001</v>
      </c>
      <c r="J42" s="16">
        <v>0</v>
      </c>
      <c r="K42" s="16">
        <v>0</v>
      </c>
      <c r="L42" s="16">
        <v>0</v>
      </c>
      <c r="M42" s="16">
        <v>0</v>
      </c>
    </row>
    <row r="43" spans="1:13" x14ac:dyDescent="0.35">
      <c r="A43" t="s">
        <v>56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</row>
    <row r="44" spans="1:13" x14ac:dyDescent="0.35">
      <c r="A44" t="s">
        <v>57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</row>
    <row r="45" spans="1:13" x14ac:dyDescent="0.35">
      <c r="A45" t="s">
        <v>58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</row>
    <row r="46" spans="1:13" x14ac:dyDescent="0.35">
      <c r="A46" t="s">
        <v>59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</row>
    <row r="47" spans="1:13" x14ac:dyDescent="0.35">
      <c r="A47" t="s">
        <v>60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</row>
    <row r="48" spans="1:13" x14ac:dyDescent="0.35">
      <c r="A48" t="s">
        <v>63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</row>
    <row r="49" spans="1:13" x14ac:dyDescent="0.35">
      <c r="A49" t="s">
        <v>61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</row>
    <row r="50" spans="1:13" x14ac:dyDescent="0.35">
      <c r="A50" t="s">
        <v>114</v>
      </c>
      <c r="C50" s="16">
        <v>0</v>
      </c>
      <c r="D50" s="16">
        <v>0</v>
      </c>
      <c r="E50" s="16">
        <v>0</v>
      </c>
      <c r="F50" s="16">
        <v>2.9004531200000003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0.28465677</v>
      </c>
      <c r="M50" s="16">
        <v>0</v>
      </c>
    </row>
    <row r="51" spans="1:13" x14ac:dyDescent="0.35">
      <c r="A51" t="s">
        <v>121</v>
      </c>
      <c r="C51" s="16">
        <v>2170.75626328</v>
      </c>
      <c r="D51" s="16">
        <v>2157.4436525000001</v>
      </c>
      <c r="E51" s="16">
        <v>11.48183278</v>
      </c>
      <c r="F51" s="16">
        <v>22889.151305079995</v>
      </c>
      <c r="G51" s="16">
        <v>1398.1565124000001</v>
      </c>
      <c r="H51" s="16">
        <v>145.99280580000001</v>
      </c>
      <c r="I51" s="16">
        <v>145.64852596</v>
      </c>
      <c r="J51" s="16">
        <v>0</v>
      </c>
      <c r="K51" s="16">
        <v>0.34427984</v>
      </c>
      <c r="L51" s="16">
        <v>493.96810130000006</v>
      </c>
      <c r="M51" s="16">
        <v>185.0706595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DF13-55BC-864B-AC6B-5DC433F1E4D7}">
  <dimension ref="A3:AS13"/>
  <sheetViews>
    <sheetView topLeftCell="AG1" workbookViewId="0">
      <selection activeCell="AG6" sqref="AG6"/>
    </sheetView>
  </sheetViews>
  <sheetFormatPr baseColWidth="10" defaultColWidth="10.58203125" defaultRowHeight="15.5" x14ac:dyDescent="0.35"/>
  <cols>
    <col min="1" max="1" width="28.6640625" bestFit="1" customWidth="1"/>
    <col min="2" max="2" width="20.9140625" bestFit="1" customWidth="1"/>
    <col min="3" max="45" width="11.75" bestFit="1" customWidth="1"/>
  </cols>
  <sheetData>
    <row r="3" spans="1:45" x14ac:dyDescent="0.35">
      <c r="B3" s="1" t="s">
        <v>122</v>
      </c>
    </row>
    <row r="4" spans="1:45" x14ac:dyDescent="0.35">
      <c r="A4" s="1" t="s">
        <v>66</v>
      </c>
      <c r="B4">
        <v>202201</v>
      </c>
      <c r="C4">
        <v>202202</v>
      </c>
      <c r="D4">
        <v>202203</v>
      </c>
      <c r="E4">
        <v>202204</v>
      </c>
      <c r="F4">
        <v>202205</v>
      </c>
      <c r="G4">
        <v>202206</v>
      </c>
      <c r="H4">
        <v>202207</v>
      </c>
      <c r="I4">
        <v>202208</v>
      </c>
      <c r="J4">
        <v>202209</v>
      </c>
      <c r="K4">
        <v>202210</v>
      </c>
      <c r="L4">
        <v>202211</v>
      </c>
      <c r="M4">
        <v>202212</v>
      </c>
      <c r="N4">
        <v>202301</v>
      </c>
      <c r="O4">
        <v>202302</v>
      </c>
      <c r="P4">
        <v>202303</v>
      </c>
      <c r="Q4">
        <v>202304</v>
      </c>
      <c r="R4">
        <v>202305</v>
      </c>
      <c r="S4">
        <v>202306</v>
      </c>
      <c r="T4">
        <v>202307</v>
      </c>
      <c r="U4">
        <v>202308</v>
      </c>
      <c r="V4">
        <v>202309</v>
      </c>
      <c r="W4">
        <v>202310</v>
      </c>
      <c r="X4">
        <v>202311</v>
      </c>
      <c r="Y4">
        <v>202312</v>
      </c>
      <c r="Z4">
        <v>202401</v>
      </c>
      <c r="AA4">
        <v>202402</v>
      </c>
      <c r="AB4">
        <v>202403</v>
      </c>
      <c r="AC4">
        <v>202404</v>
      </c>
      <c r="AD4">
        <v>202405</v>
      </c>
      <c r="AE4">
        <v>202406</v>
      </c>
      <c r="AF4">
        <v>202407</v>
      </c>
      <c r="AG4">
        <v>202408</v>
      </c>
      <c r="AH4">
        <v>202409</v>
      </c>
      <c r="AI4">
        <v>202410</v>
      </c>
      <c r="AJ4">
        <v>202411</v>
      </c>
      <c r="AK4">
        <v>202412</v>
      </c>
      <c r="AL4">
        <v>202501</v>
      </c>
      <c r="AM4">
        <v>202502</v>
      </c>
      <c r="AN4">
        <v>202503</v>
      </c>
      <c r="AO4">
        <v>202504</v>
      </c>
      <c r="AP4">
        <v>202505</v>
      </c>
      <c r="AQ4">
        <v>202506</v>
      </c>
      <c r="AR4">
        <v>202507</v>
      </c>
      <c r="AS4" t="s">
        <v>121</v>
      </c>
    </row>
    <row r="5" spans="1:45" x14ac:dyDescent="0.35">
      <c r="A5" s="2" t="s">
        <v>64</v>
      </c>
      <c r="B5">
        <v>2593.4931001799996</v>
      </c>
      <c r="C5">
        <v>2339.50013274</v>
      </c>
      <c r="D5">
        <v>4165.6253242800003</v>
      </c>
      <c r="E5">
        <v>2766.2860081599993</v>
      </c>
      <c r="F5">
        <v>2916.2871653799998</v>
      </c>
      <c r="G5">
        <v>2342.9587847800003</v>
      </c>
      <c r="H5">
        <v>4253.9628580799981</v>
      </c>
      <c r="I5">
        <v>3354.0446679200004</v>
      </c>
      <c r="J5">
        <v>1910.6944352999999</v>
      </c>
      <c r="K5">
        <v>2740.9920910999995</v>
      </c>
      <c r="L5">
        <v>1345.0546356199998</v>
      </c>
      <c r="M5">
        <v>2899.9239226200002</v>
      </c>
      <c r="N5">
        <v>1662.11540236</v>
      </c>
      <c r="O5">
        <v>1288.7207903599999</v>
      </c>
      <c r="P5">
        <v>3691.91403558</v>
      </c>
      <c r="Q5">
        <v>2284.1295848600007</v>
      </c>
      <c r="R5">
        <v>2995.2671119800002</v>
      </c>
      <c r="S5">
        <v>2000.7495936600001</v>
      </c>
      <c r="T5">
        <v>1926.4542769000002</v>
      </c>
      <c r="U5">
        <v>3019.2560781800003</v>
      </c>
      <c r="V5">
        <v>1869.4650208399996</v>
      </c>
      <c r="W5">
        <v>1868.4399172400003</v>
      </c>
      <c r="X5">
        <v>3324.3283266200006</v>
      </c>
      <c r="Y5">
        <v>10622.811750620001</v>
      </c>
      <c r="Z5">
        <v>3134.7468614200002</v>
      </c>
      <c r="AA5">
        <v>6165.2524937799981</v>
      </c>
      <c r="AB5">
        <v>6068.0247222999988</v>
      </c>
      <c r="AC5">
        <v>1913.3604480399999</v>
      </c>
      <c r="AD5">
        <v>1695.9941967000002</v>
      </c>
      <c r="AE5">
        <v>4634.2246187000001</v>
      </c>
      <c r="AF5">
        <v>2545.757342020001</v>
      </c>
      <c r="AG5">
        <v>2178.3676058199999</v>
      </c>
      <c r="AH5">
        <v>3468.7820754599993</v>
      </c>
      <c r="AI5">
        <v>2736.0706159400006</v>
      </c>
      <c r="AJ5">
        <v>3824.2448803600005</v>
      </c>
      <c r="AK5">
        <v>5792.2122443400003</v>
      </c>
      <c r="AL5">
        <v>4775.3953820000015</v>
      </c>
      <c r="AM5">
        <v>2206.7881348800001</v>
      </c>
      <c r="AN5">
        <v>2061.4162141199999</v>
      </c>
      <c r="AO5">
        <v>2373.4386842000008</v>
      </c>
      <c r="AP5">
        <v>2716.9847017399998</v>
      </c>
      <c r="AQ5">
        <v>3609.9314142400003</v>
      </c>
      <c r="AR5">
        <v>2170.75626328</v>
      </c>
      <c r="AS5">
        <v>134254.22391470001</v>
      </c>
    </row>
    <row r="6" spans="1:45" x14ac:dyDescent="0.35">
      <c r="A6" s="2" t="s">
        <v>65</v>
      </c>
      <c r="B6">
        <v>2587.6258436799999</v>
      </c>
      <c r="C6">
        <v>2336.4150729000003</v>
      </c>
      <c r="D6">
        <v>4161.9868712199996</v>
      </c>
      <c r="E6">
        <v>2765.3452805399993</v>
      </c>
      <c r="F6">
        <v>2915.3230693599994</v>
      </c>
      <c r="G6">
        <v>2341.7987912800004</v>
      </c>
      <c r="H6">
        <v>4252.0461243599984</v>
      </c>
      <c r="I6">
        <v>2925.4585648400007</v>
      </c>
      <c r="J6">
        <v>1907.7194097599997</v>
      </c>
      <c r="K6">
        <v>2730.9677002999997</v>
      </c>
      <c r="L6">
        <v>1343.7344370799999</v>
      </c>
      <c r="M6">
        <v>2898.6963427400005</v>
      </c>
      <c r="N6">
        <v>1650.3612813</v>
      </c>
      <c r="O6">
        <v>1286.8958863599998</v>
      </c>
      <c r="P6">
        <v>3687.6947403200002</v>
      </c>
      <c r="Q6">
        <v>2282.9183078599999</v>
      </c>
      <c r="R6">
        <v>2936.81121368</v>
      </c>
      <c r="S6">
        <v>1994.8508344799998</v>
      </c>
      <c r="T6">
        <v>1924.7827706399999</v>
      </c>
      <c r="U6">
        <v>3000.4863279000001</v>
      </c>
      <c r="V6">
        <v>1867.0244600999997</v>
      </c>
      <c r="W6">
        <v>1865.5344902600002</v>
      </c>
      <c r="X6">
        <v>3317.3911635200006</v>
      </c>
      <c r="Y6">
        <v>10618.584782519998</v>
      </c>
      <c r="Z6">
        <v>3098.0892212200001</v>
      </c>
      <c r="AA6">
        <v>6160.7942798399981</v>
      </c>
      <c r="AB6">
        <v>6046.0538448799989</v>
      </c>
      <c r="AC6">
        <v>1910.99647026</v>
      </c>
      <c r="AD6">
        <v>1692.96395218</v>
      </c>
      <c r="AE6">
        <v>4613.1206397799988</v>
      </c>
      <c r="AF6">
        <v>2517.707194080001</v>
      </c>
      <c r="AG6">
        <v>2178.1011387600001</v>
      </c>
      <c r="AH6">
        <v>3466.8711547799994</v>
      </c>
      <c r="AI6">
        <v>2733.1526038200009</v>
      </c>
      <c r="AJ6">
        <v>3810.0882096400005</v>
      </c>
      <c r="AK6">
        <v>5787.6333265399999</v>
      </c>
      <c r="AL6">
        <v>22046.548987630005</v>
      </c>
      <c r="AM6">
        <v>2203.7749460199998</v>
      </c>
      <c r="AN6">
        <v>26229.644712810001</v>
      </c>
      <c r="AO6">
        <v>2344.6632763000007</v>
      </c>
      <c r="AP6">
        <v>2704.1975300399999</v>
      </c>
      <c r="AQ6">
        <v>3601.4127439600006</v>
      </c>
      <c r="AR6">
        <v>2157.4436525000001</v>
      </c>
      <c r="AS6">
        <v>174903.71165204002</v>
      </c>
    </row>
    <row r="7" spans="1:45" x14ac:dyDescent="0.35">
      <c r="A7" s="2" t="s">
        <v>67</v>
      </c>
      <c r="B7">
        <v>5.8672564999999999</v>
      </c>
      <c r="C7">
        <v>3.0838700000000001</v>
      </c>
      <c r="D7">
        <v>3.4813250600000001</v>
      </c>
      <c r="E7">
        <v>0.93955983999999992</v>
      </c>
      <c r="F7">
        <v>0.96392840000000002</v>
      </c>
      <c r="G7">
        <v>1.1583508600000001</v>
      </c>
      <c r="H7">
        <v>1.9164172800000001</v>
      </c>
      <c r="I7">
        <v>428.58595281999999</v>
      </c>
      <c r="J7">
        <v>2.9750255399999999</v>
      </c>
      <c r="K7">
        <v>9.9778327200000003</v>
      </c>
      <c r="L7">
        <v>1.2870948</v>
      </c>
      <c r="M7">
        <v>1.1520683400000002</v>
      </c>
      <c r="N7">
        <v>11.58236876</v>
      </c>
      <c r="O7">
        <v>1.824902</v>
      </c>
      <c r="P7">
        <v>3.4997021200000002</v>
      </c>
      <c r="Q7">
        <v>1.1257142</v>
      </c>
      <c r="R7">
        <v>58.454522479999994</v>
      </c>
      <c r="S7">
        <v>5.8921344199999997</v>
      </c>
      <c r="T7">
        <v>1.5156719599999999</v>
      </c>
      <c r="U7">
        <v>18.677996059999998</v>
      </c>
      <c r="V7">
        <v>2.4405599799999997</v>
      </c>
      <c r="W7">
        <v>2.90528494</v>
      </c>
      <c r="X7">
        <v>6.7765560999999996</v>
      </c>
      <c r="Y7">
        <v>4.1198104999999998</v>
      </c>
      <c r="Z7">
        <v>36.64761498</v>
      </c>
      <c r="AA7">
        <v>4.4377928200000003</v>
      </c>
      <c r="AB7">
        <v>19.758898459999997</v>
      </c>
      <c r="AC7">
        <v>2.3635629599999999</v>
      </c>
      <c r="AD7">
        <v>2.988766</v>
      </c>
      <c r="AE7">
        <v>21.103978920000003</v>
      </c>
      <c r="AF7">
        <v>28.050147940000002</v>
      </c>
      <c r="AG7">
        <v>0.26646705999999998</v>
      </c>
      <c r="AH7">
        <v>1.90796868</v>
      </c>
      <c r="AI7">
        <v>2.9180121200000002</v>
      </c>
      <c r="AJ7">
        <v>6.9006187199999998</v>
      </c>
      <c r="AK7">
        <v>4.5789178000000001</v>
      </c>
      <c r="AL7">
        <v>901.7517694400002</v>
      </c>
      <c r="AM7">
        <v>2.9827668599999999</v>
      </c>
      <c r="AN7">
        <v>1232.4438210999999</v>
      </c>
      <c r="AO7">
        <v>57.160773799999994</v>
      </c>
      <c r="AP7">
        <v>10.6879677</v>
      </c>
      <c r="AQ7">
        <v>2.4395122799999998</v>
      </c>
      <c r="AR7">
        <v>11.48183278</v>
      </c>
      <c r="AS7">
        <v>2931.0750961000003</v>
      </c>
    </row>
    <row r="8" spans="1:45" x14ac:dyDescent="0.35">
      <c r="A8" s="2" t="s">
        <v>68</v>
      </c>
      <c r="B8">
        <v>9541.9958999799983</v>
      </c>
      <c r="C8">
        <v>10028.2903814</v>
      </c>
      <c r="D8">
        <v>11109.972455159999</v>
      </c>
      <c r="E8">
        <v>9950.033588119999</v>
      </c>
      <c r="F8">
        <v>9923.5400389999995</v>
      </c>
      <c r="G8">
        <v>9935.1114388399983</v>
      </c>
      <c r="H8">
        <v>10022.351891119999</v>
      </c>
      <c r="I8">
        <v>11324.937557380003</v>
      </c>
      <c r="J8">
        <v>12089.318805000001</v>
      </c>
      <c r="K8">
        <v>10548.031395679998</v>
      </c>
      <c r="L8">
        <v>11427.934194119995</v>
      </c>
      <c r="M8">
        <v>12737.082432279996</v>
      </c>
      <c r="N8">
        <v>13564.088920419999</v>
      </c>
      <c r="O8">
        <v>13849.9919283</v>
      </c>
      <c r="P8">
        <v>15301.050770740001</v>
      </c>
      <c r="Q8">
        <v>14512.316638159999</v>
      </c>
      <c r="R8">
        <v>15559.45983512</v>
      </c>
      <c r="S8">
        <v>15673.13272856</v>
      </c>
      <c r="T8">
        <v>16394.44485312</v>
      </c>
      <c r="U8">
        <v>17561.127929740007</v>
      </c>
      <c r="V8">
        <v>16707.504403480005</v>
      </c>
      <c r="W8">
        <v>19303.252575480004</v>
      </c>
      <c r="X8">
        <v>18514.624961460002</v>
      </c>
      <c r="Y8">
        <v>21184.808808740003</v>
      </c>
      <c r="Z8">
        <v>21698.956836200006</v>
      </c>
      <c r="AA8">
        <v>20297.393318559996</v>
      </c>
      <c r="AB8">
        <v>20362.969584819995</v>
      </c>
      <c r="AC8">
        <v>21226.855756539997</v>
      </c>
      <c r="AD8">
        <v>19679.768204359996</v>
      </c>
      <c r="AE8">
        <v>18221.672726340003</v>
      </c>
      <c r="AF8">
        <v>19455.649482559998</v>
      </c>
      <c r="AG8">
        <v>19553.279131999996</v>
      </c>
      <c r="AH8">
        <v>18824.070396380004</v>
      </c>
      <c r="AI8">
        <v>20414.522148280004</v>
      </c>
      <c r="AJ8">
        <v>20627.589449960004</v>
      </c>
      <c r="AK8">
        <v>21820.213190379996</v>
      </c>
      <c r="AL8">
        <v>4774.3440423400007</v>
      </c>
      <c r="AM8">
        <v>21175.213483520001</v>
      </c>
      <c r="AN8">
        <v>2060.4690656799999</v>
      </c>
      <c r="AO8">
        <v>19014.869253560006</v>
      </c>
      <c r="AP8">
        <v>22192.227792740006</v>
      </c>
      <c r="AQ8">
        <v>21381.575409620007</v>
      </c>
      <c r="AR8">
        <v>22889.151305079995</v>
      </c>
      <c r="AS8">
        <v>682435.19501032005</v>
      </c>
    </row>
    <row r="9" spans="1:45" x14ac:dyDescent="0.35">
      <c r="A9" s="2" t="s">
        <v>69</v>
      </c>
      <c r="B9">
        <v>1278.2242530200001</v>
      </c>
      <c r="C9">
        <v>1605.1185005999998</v>
      </c>
      <c r="D9">
        <v>1922.6757815600001</v>
      </c>
      <c r="E9">
        <v>1090.6504552000001</v>
      </c>
      <c r="F9">
        <v>2253.8536208600008</v>
      </c>
      <c r="G9">
        <v>1086.0163451199999</v>
      </c>
      <c r="H9">
        <v>1329.27569262</v>
      </c>
      <c r="I9">
        <v>1148.3841845599998</v>
      </c>
      <c r="J9">
        <v>1247.7371119399997</v>
      </c>
      <c r="K9">
        <v>2447.47646678</v>
      </c>
      <c r="L9">
        <v>2775.2167288200003</v>
      </c>
      <c r="M9">
        <v>1269.8204212000001</v>
      </c>
      <c r="N9">
        <v>2159.2851785599996</v>
      </c>
      <c r="O9">
        <v>1840.7311180800004</v>
      </c>
      <c r="P9">
        <v>1330.3499684999997</v>
      </c>
      <c r="Q9">
        <v>759.10147731999996</v>
      </c>
      <c r="R9">
        <v>1453.1992826000001</v>
      </c>
      <c r="S9">
        <v>1104.7895475199998</v>
      </c>
      <c r="T9">
        <v>1254.59145992</v>
      </c>
      <c r="U9">
        <v>1067.3880354400003</v>
      </c>
      <c r="V9">
        <v>1163.46890648</v>
      </c>
      <c r="W9">
        <v>1557.2314207400002</v>
      </c>
      <c r="X9">
        <v>1005.9079944599999</v>
      </c>
      <c r="Y9">
        <v>853.48204948</v>
      </c>
      <c r="Z9">
        <v>1302.9664359999995</v>
      </c>
      <c r="AA9">
        <v>968.9730815800001</v>
      </c>
      <c r="AB9">
        <v>894.46242147999999</v>
      </c>
      <c r="AC9">
        <v>1363.0744439399998</v>
      </c>
      <c r="AD9">
        <v>1405.8393708800002</v>
      </c>
      <c r="AE9">
        <v>906.3606251399998</v>
      </c>
      <c r="AF9">
        <v>1472.8839059000002</v>
      </c>
      <c r="AG9">
        <v>1038.56885362</v>
      </c>
      <c r="AH9">
        <v>1241.2251585800002</v>
      </c>
      <c r="AI9">
        <v>1184.6067783400001</v>
      </c>
      <c r="AJ9">
        <v>902.26169168000001</v>
      </c>
      <c r="AK9">
        <v>1475.9072472599998</v>
      </c>
      <c r="AL9">
        <v>0.99642165999999999</v>
      </c>
      <c r="AM9">
        <v>1054.7002213199996</v>
      </c>
      <c r="AN9">
        <v>0.91455243999999991</v>
      </c>
      <c r="AO9">
        <v>1007.6188046200001</v>
      </c>
      <c r="AP9">
        <v>925.67374810000013</v>
      </c>
      <c r="AQ9">
        <v>2046.5820965400003</v>
      </c>
      <c r="AR9">
        <v>1398.1565124000001</v>
      </c>
      <c r="AS9">
        <v>55595.748372859998</v>
      </c>
    </row>
    <row r="10" spans="1:45" x14ac:dyDescent="0.35">
      <c r="A10" s="2" t="s">
        <v>70</v>
      </c>
      <c r="B10">
        <v>83.338396000000017</v>
      </c>
      <c r="C10">
        <v>68.408181999999996</v>
      </c>
      <c r="D10">
        <v>4.7869539999999997</v>
      </c>
      <c r="E10">
        <v>54.448224000000003</v>
      </c>
      <c r="F10">
        <v>54.448224000000003</v>
      </c>
      <c r="G10">
        <v>60.367905999999998</v>
      </c>
      <c r="H10">
        <v>60.367905999999998</v>
      </c>
      <c r="I10">
        <v>21.386953999999999</v>
      </c>
      <c r="J10">
        <v>21.386953999999999</v>
      </c>
      <c r="K10">
        <v>60.367905999999998</v>
      </c>
      <c r="L10">
        <v>60.367905999999998</v>
      </c>
      <c r="M10">
        <v>73.565910000000002</v>
      </c>
      <c r="N10">
        <v>89.260754000000006</v>
      </c>
      <c r="O10">
        <v>58.155375999999997</v>
      </c>
      <c r="P10">
        <v>89.745841999999996</v>
      </c>
      <c r="Q10">
        <v>65.573166000000001</v>
      </c>
      <c r="R10">
        <v>90.838368000000003</v>
      </c>
      <c r="S10">
        <v>84.041222000000005</v>
      </c>
      <c r="T10">
        <v>74.024795999999995</v>
      </c>
      <c r="U10">
        <v>238.36228399999999</v>
      </c>
      <c r="V10">
        <v>65.122082719999995</v>
      </c>
      <c r="W10">
        <v>104.09745198</v>
      </c>
      <c r="X10">
        <v>149.33112756</v>
      </c>
      <c r="Y10">
        <v>92.402158620000009</v>
      </c>
      <c r="Z10">
        <v>113.97760344</v>
      </c>
      <c r="AA10">
        <v>163.1816733</v>
      </c>
      <c r="AB10">
        <v>77.907093500000002</v>
      </c>
      <c r="AC10">
        <v>110.20710858</v>
      </c>
      <c r="AD10">
        <v>93.170394279999996</v>
      </c>
      <c r="AE10">
        <v>97.334018040000004</v>
      </c>
      <c r="AF10">
        <v>114.86667062000001</v>
      </c>
      <c r="AG10">
        <v>72.286534180000004</v>
      </c>
      <c r="AH10">
        <v>75.035242239999988</v>
      </c>
      <c r="AI10">
        <v>87.012500099999997</v>
      </c>
      <c r="AJ10">
        <v>86.350758280000008</v>
      </c>
      <c r="AK10">
        <v>38.536772740000004</v>
      </c>
      <c r="AL10">
        <v>570.00042310000003</v>
      </c>
      <c r="AM10">
        <v>273.62245134</v>
      </c>
      <c r="AN10">
        <v>1.0986559999999999E-2</v>
      </c>
      <c r="AO10">
        <v>375.25557477999996</v>
      </c>
      <c r="AP10">
        <v>108.82811344</v>
      </c>
      <c r="AQ10">
        <v>128.88956302</v>
      </c>
      <c r="AR10">
        <v>102.28859320000001</v>
      </c>
      <c r="AS10">
        <v>4512.9581256200017</v>
      </c>
    </row>
    <row r="11" spans="1:45" x14ac:dyDescent="0.35">
      <c r="A11" s="2" t="s">
        <v>71</v>
      </c>
      <c r="B11">
        <v>0.54143200000000002</v>
      </c>
      <c r="C11">
        <v>0.76512345999999998</v>
      </c>
      <c r="D11">
        <v>17.715126000000001</v>
      </c>
      <c r="E11">
        <v>3.4498145000000005</v>
      </c>
      <c r="F11">
        <v>0.40526200000000001</v>
      </c>
      <c r="G11">
        <v>1.2549821200000002</v>
      </c>
      <c r="H11">
        <v>0.77035200000000004</v>
      </c>
      <c r="I11">
        <v>111.73005132</v>
      </c>
      <c r="J11">
        <v>21.93737952</v>
      </c>
      <c r="K11">
        <v>0.80639400000000006</v>
      </c>
      <c r="L11">
        <v>12.716074000000001</v>
      </c>
      <c r="M11">
        <v>14.771979999999999</v>
      </c>
      <c r="N11">
        <v>2.3992119999999999</v>
      </c>
      <c r="O11">
        <v>38.364885999999998</v>
      </c>
      <c r="P11">
        <v>1.7409060000000001</v>
      </c>
      <c r="Q11">
        <v>3.1021325600000003</v>
      </c>
      <c r="R11">
        <v>5.4105041600000003</v>
      </c>
      <c r="S11">
        <v>0.560168</v>
      </c>
      <c r="T11" s="8">
        <v>0</v>
      </c>
      <c r="U11">
        <v>5.0907291199999998</v>
      </c>
      <c r="V11">
        <v>32.761502159999999</v>
      </c>
      <c r="W11">
        <v>308.28730795999996</v>
      </c>
      <c r="X11">
        <v>4.34E-6</v>
      </c>
      <c r="Y11">
        <v>16.85735</v>
      </c>
      <c r="Z11">
        <v>2.1059529400000003</v>
      </c>
      <c r="AA11">
        <v>2.58351058</v>
      </c>
      <c r="AB11">
        <v>0.36696200000000001</v>
      </c>
      <c r="AC11">
        <v>16.722236639999998</v>
      </c>
      <c r="AD11">
        <v>7.9010243399999993</v>
      </c>
      <c r="AE11">
        <v>22.741665319999999</v>
      </c>
      <c r="AF11">
        <v>78.603141460000003</v>
      </c>
      <c r="AG11">
        <v>323.41906855999997</v>
      </c>
      <c r="AH11">
        <v>108.68567741999999</v>
      </c>
      <c r="AI11">
        <v>279.72364231999995</v>
      </c>
      <c r="AJ11">
        <v>49.389303659999996</v>
      </c>
      <c r="AK11">
        <v>365.70924944000001</v>
      </c>
      <c r="AL11">
        <v>124.37594116000001</v>
      </c>
      <c r="AM11">
        <v>0</v>
      </c>
      <c r="AN11">
        <v>5.342E-5</v>
      </c>
      <c r="AO11">
        <v>795.12468033999994</v>
      </c>
      <c r="AP11">
        <v>488.61304007999991</v>
      </c>
      <c r="AQ11">
        <v>154.54988176000001</v>
      </c>
      <c r="AR11">
        <v>145.99280580000001</v>
      </c>
      <c r="AS11">
        <v>3568.0465104599998</v>
      </c>
    </row>
    <row r="13" spans="1:45" x14ac:dyDescent="0.35">
      <c r="B13">
        <f>+B5+B11</f>
        <v>2594.0345321799996</v>
      </c>
      <c r="C13">
        <f t="shared" ref="C13:AO13" si="0">+C5+C11</f>
        <v>2340.2652561999998</v>
      </c>
      <c r="D13">
        <f t="shared" si="0"/>
        <v>4183.3404502800004</v>
      </c>
      <c r="E13">
        <f t="shared" si="0"/>
        <v>2769.735822659999</v>
      </c>
      <c r="F13">
        <f t="shared" si="0"/>
        <v>2916.69242738</v>
      </c>
      <c r="G13">
        <f t="shared" si="0"/>
        <v>2344.2137669000003</v>
      </c>
      <c r="H13">
        <f t="shared" si="0"/>
        <v>4254.7332100799977</v>
      </c>
      <c r="I13">
        <f t="shared" si="0"/>
        <v>3465.7747192400002</v>
      </c>
      <c r="J13">
        <f t="shared" si="0"/>
        <v>1932.6318148199998</v>
      </c>
      <c r="K13">
        <f t="shared" si="0"/>
        <v>2741.7984850999997</v>
      </c>
      <c r="L13">
        <f t="shared" si="0"/>
        <v>1357.7707096199997</v>
      </c>
      <c r="M13">
        <f t="shared" si="0"/>
        <v>2914.6959026200002</v>
      </c>
      <c r="N13">
        <f t="shared" si="0"/>
        <v>1664.51461436</v>
      </c>
      <c r="O13">
        <f t="shared" si="0"/>
        <v>1327.08567636</v>
      </c>
      <c r="P13">
        <f t="shared" si="0"/>
        <v>3693.65494158</v>
      </c>
      <c r="Q13">
        <f t="shared" si="0"/>
        <v>2287.2317174200007</v>
      </c>
      <c r="R13">
        <f t="shared" si="0"/>
        <v>3000.6776161400003</v>
      </c>
      <c r="S13">
        <f t="shared" si="0"/>
        <v>2001.30976166</v>
      </c>
      <c r="T13">
        <f t="shared" si="0"/>
        <v>1926.4542769000002</v>
      </c>
      <c r="U13">
        <f t="shared" si="0"/>
        <v>3024.3468073000004</v>
      </c>
      <c r="V13">
        <f t="shared" si="0"/>
        <v>1902.2265229999996</v>
      </c>
      <c r="W13">
        <f t="shared" si="0"/>
        <v>2176.7272252000002</v>
      </c>
      <c r="X13">
        <f t="shared" si="0"/>
        <v>3324.3283309600006</v>
      </c>
      <c r="Y13">
        <f t="shared" si="0"/>
        <v>10639.669100620002</v>
      </c>
      <c r="Z13">
        <f t="shared" si="0"/>
        <v>3136.8528143600001</v>
      </c>
      <c r="AA13">
        <f t="shared" si="0"/>
        <v>6167.8360043599978</v>
      </c>
      <c r="AB13">
        <f t="shared" si="0"/>
        <v>6068.3916842999988</v>
      </c>
      <c r="AC13">
        <f t="shared" si="0"/>
        <v>1930.0826846799998</v>
      </c>
      <c r="AD13">
        <f t="shared" si="0"/>
        <v>1703.8952210400003</v>
      </c>
      <c r="AE13">
        <f t="shared" si="0"/>
        <v>4656.9662840199999</v>
      </c>
      <c r="AF13">
        <f t="shared" si="0"/>
        <v>2624.3604834800012</v>
      </c>
      <c r="AG13">
        <f t="shared" si="0"/>
        <v>2501.78667438</v>
      </c>
      <c r="AH13">
        <f t="shared" si="0"/>
        <v>3577.4677528799994</v>
      </c>
      <c r="AI13">
        <f t="shared" si="0"/>
        <v>3015.7942582600008</v>
      </c>
      <c r="AJ13">
        <f t="shared" si="0"/>
        <v>3873.6341840200002</v>
      </c>
      <c r="AK13">
        <f t="shared" si="0"/>
        <v>6157.9214937800007</v>
      </c>
      <c r="AL13">
        <f t="shared" si="0"/>
        <v>4899.7713231600019</v>
      </c>
      <c r="AM13">
        <f t="shared" si="0"/>
        <v>2206.7881348800001</v>
      </c>
      <c r="AN13">
        <f t="shared" si="0"/>
        <v>2061.4162675399998</v>
      </c>
      <c r="AO13">
        <f t="shared" si="0"/>
        <v>3168.5633645400007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E397-FA41-9945-A75C-BA21A9606078}">
  <dimension ref="A3:L2011"/>
  <sheetViews>
    <sheetView topLeftCell="A302" workbookViewId="0">
      <selection activeCell="A43" sqref="A43:L43"/>
      <pivotSelection pane="bottomRight" showHeader="1" extendable="1" axis="axisRow" dimension="1" start="39" max="44" activeRow="42" previousRow="42" click="2" r:id="rId1">
        <pivotArea dataOnly="0" fieldPosition="0">
          <references count="2">
            <reference field="3" count="1">
              <x v="38"/>
            </reference>
            <reference field="4" count="1" selected="0">
              <x v="0"/>
            </reference>
          </references>
        </pivotArea>
      </pivotSelection>
    </sheetView>
  </sheetViews>
  <sheetFormatPr baseColWidth="10" defaultColWidth="10.58203125" defaultRowHeight="15.5" x14ac:dyDescent="0.35"/>
  <cols>
    <col min="1" max="1" width="16.25" bestFit="1" customWidth="1"/>
    <col min="2" max="2" width="27.33203125" bestFit="1" customWidth="1"/>
    <col min="3" max="3" width="28.08203125" bestFit="1" customWidth="1"/>
    <col min="4" max="4" width="27" bestFit="1" customWidth="1"/>
    <col min="5" max="5" width="29" bestFit="1" customWidth="1"/>
    <col min="6" max="6" width="28.08203125" bestFit="1" customWidth="1"/>
    <col min="7" max="7" width="20.75" bestFit="1" customWidth="1"/>
    <col min="8" max="9" width="21.58203125" bestFit="1" customWidth="1"/>
    <col min="10" max="10" width="22.5" bestFit="1" customWidth="1"/>
    <col min="11" max="11" width="23.58203125" bestFit="1" customWidth="1"/>
    <col min="12" max="12" width="22.6640625" bestFit="1" customWidth="1"/>
  </cols>
  <sheetData>
    <row r="3" spans="1:12" x14ac:dyDescent="0.35">
      <c r="A3" s="1" t="s">
        <v>123</v>
      </c>
      <c r="B3" t="s">
        <v>64</v>
      </c>
      <c r="C3" t="s">
        <v>65</v>
      </c>
      <c r="D3" t="s">
        <v>67</v>
      </c>
      <c r="E3" t="s">
        <v>68</v>
      </c>
      <c r="F3" t="s">
        <v>69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</row>
    <row r="4" spans="1:12" x14ac:dyDescent="0.35">
      <c r="A4" s="2">
        <v>5</v>
      </c>
      <c r="B4">
        <v>67131.253590130014</v>
      </c>
      <c r="C4">
        <v>87473.540864389986</v>
      </c>
      <c r="D4">
        <v>1465.5422648399999</v>
      </c>
      <c r="E4">
        <v>341217.59750515991</v>
      </c>
      <c r="F4">
        <v>27797.874186429999</v>
      </c>
      <c r="G4">
        <v>1784.0232552299999</v>
      </c>
      <c r="H4">
        <v>1662.8174979799999</v>
      </c>
      <c r="I4">
        <v>439.63522065000001</v>
      </c>
      <c r="J4">
        <v>263.41637091000001</v>
      </c>
      <c r="K4">
        <v>4291.7777078400004</v>
      </c>
      <c r="L4">
        <v>2367.4241188600004</v>
      </c>
    </row>
    <row r="5" spans="1:12" x14ac:dyDescent="0.35">
      <c r="A5" s="3">
        <v>202201</v>
      </c>
      <c r="B5">
        <v>1296.7465500899998</v>
      </c>
      <c r="C5">
        <v>1293.8129218399999</v>
      </c>
      <c r="D5">
        <v>2.9336282499999999</v>
      </c>
      <c r="E5">
        <v>4770.9979499900001</v>
      </c>
      <c r="F5">
        <v>639.11212650999994</v>
      </c>
      <c r="G5">
        <v>0.27071600000000001</v>
      </c>
      <c r="H5">
        <v>0.27071600000000001</v>
      </c>
      <c r="I5">
        <v>0</v>
      </c>
      <c r="J5">
        <v>0</v>
      </c>
      <c r="K5">
        <v>34.137324</v>
      </c>
      <c r="L5">
        <v>33.503212449999999</v>
      </c>
    </row>
    <row r="6" spans="1:12" x14ac:dyDescent="0.35">
      <c r="A6" s="3">
        <v>202202</v>
      </c>
      <c r="B6">
        <v>1169.7500663699998</v>
      </c>
      <c r="C6">
        <v>1168.2075364500001</v>
      </c>
      <c r="D6">
        <v>1.5419350000000001</v>
      </c>
      <c r="E6">
        <v>5014.1451907000001</v>
      </c>
      <c r="F6">
        <v>802.55925029999992</v>
      </c>
      <c r="G6">
        <v>0.38256172999999999</v>
      </c>
      <c r="H6">
        <v>0.38256172999999999</v>
      </c>
      <c r="I6">
        <v>0</v>
      </c>
      <c r="J6">
        <v>0</v>
      </c>
      <c r="K6">
        <v>40.890972670000004</v>
      </c>
      <c r="L6">
        <v>29.39606702</v>
      </c>
    </row>
    <row r="7" spans="1:12" x14ac:dyDescent="0.35">
      <c r="A7" s="3">
        <v>202203</v>
      </c>
      <c r="B7">
        <v>2082.8126621400002</v>
      </c>
      <c r="C7">
        <v>2080.9934356099998</v>
      </c>
      <c r="D7">
        <v>1.74066253</v>
      </c>
      <c r="E7">
        <v>5554.9862275799996</v>
      </c>
      <c r="F7">
        <v>961.33789077999995</v>
      </c>
      <c r="G7">
        <v>8.8575630000000007</v>
      </c>
      <c r="H7">
        <v>8.8575630000000007</v>
      </c>
      <c r="I7">
        <v>0</v>
      </c>
      <c r="J7">
        <v>0</v>
      </c>
      <c r="K7">
        <v>40.876916819999998</v>
      </c>
      <c r="L7">
        <v>29.753988360000001</v>
      </c>
    </row>
    <row r="8" spans="1:12" x14ac:dyDescent="0.35">
      <c r="A8" s="3">
        <v>202204</v>
      </c>
      <c r="B8">
        <v>1383.1430040799999</v>
      </c>
      <c r="C8">
        <v>1382.6726402699999</v>
      </c>
      <c r="D8">
        <v>0.46977991999999996</v>
      </c>
      <c r="E8">
        <v>4975.0167940600004</v>
      </c>
      <c r="F8">
        <v>545.32522760000006</v>
      </c>
      <c r="G8">
        <v>1.72490725</v>
      </c>
      <c r="H8">
        <v>1.72490725</v>
      </c>
      <c r="I8">
        <v>0</v>
      </c>
      <c r="J8">
        <v>0</v>
      </c>
      <c r="K8">
        <v>39.300464770000005</v>
      </c>
      <c r="L8">
        <v>27.88534237</v>
      </c>
    </row>
    <row r="9" spans="1:12" x14ac:dyDescent="0.35">
      <c r="A9" s="3">
        <v>202205</v>
      </c>
      <c r="B9">
        <v>1458.1435826900001</v>
      </c>
      <c r="C9">
        <v>1457.6615346800002</v>
      </c>
      <c r="D9">
        <v>0.48196420000000001</v>
      </c>
      <c r="E9">
        <v>4961.7700194999998</v>
      </c>
      <c r="F9">
        <v>1126.9268104300002</v>
      </c>
      <c r="G9">
        <v>0.20263100000000001</v>
      </c>
      <c r="H9">
        <v>0.20263100000000001</v>
      </c>
      <c r="I9">
        <v>0</v>
      </c>
      <c r="J9">
        <v>0</v>
      </c>
      <c r="K9">
        <v>47.305973049999999</v>
      </c>
      <c r="L9">
        <v>47.126083180000002</v>
      </c>
    </row>
    <row r="10" spans="1:12" x14ac:dyDescent="0.35">
      <c r="A10" s="3">
        <v>202206</v>
      </c>
      <c r="B10">
        <v>1171.4793923900002</v>
      </c>
      <c r="C10">
        <v>1170.8993956400002</v>
      </c>
      <c r="D10">
        <v>0.57917543000000005</v>
      </c>
      <c r="E10">
        <v>4967.5557194200001</v>
      </c>
      <c r="F10">
        <v>543.00817255999993</v>
      </c>
      <c r="G10">
        <v>0.6274910600000001</v>
      </c>
      <c r="H10">
        <v>0.6274910600000001</v>
      </c>
      <c r="I10">
        <v>0</v>
      </c>
      <c r="J10">
        <v>0</v>
      </c>
      <c r="K10">
        <v>53.442389759999998</v>
      </c>
      <c r="L10">
        <v>30.472636789999999</v>
      </c>
    </row>
    <row r="11" spans="1:12" x14ac:dyDescent="0.35">
      <c r="A11" s="3">
        <v>202207</v>
      </c>
      <c r="B11">
        <v>2126.98142904</v>
      </c>
      <c r="C11">
        <v>2126.0230621800001</v>
      </c>
      <c r="D11">
        <v>0.95820864000000006</v>
      </c>
      <c r="E11">
        <v>5011.1759455600004</v>
      </c>
      <c r="F11">
        <v>664.63784630999999</v>
      </c>
      <c r="G11">
        <v>0.38517600000000002</v>
      </c>
      <c r="H11">
        <v>0.38517600000000002</v>
      </c>
      <c r="I11">
        <v>0</v>
      </c>
      <c r="J11">
        <v>0</v>
      </c>
      <c r="K11">
        <v>45.462923409999995</v>
      </c>
      <c r="L11">
        <v>37.24259215</v>
      </c>
    </row>
    <row r="12" spans="1:12" x14ac:dyDescent="0.35">
      <c r="A12" s="3">
        <v>202208</v>
      </c>
      <c r="B12">
        <v>1677.02233396</v>
      </c>
      <c r="C12">
        <v>1462.7292824200001</v>
      </c>
      <c r="D12">
        <v>214.29297640999999</v>
      </c>
      <c r="E12">
        <v>5662.4687786899995</v>
      </c>
      <c r="F12">
        <v>574.19209228</v>
      </c>
      <c r="G12">
        <v>55.865025659999993</v>
      </c>
      <c r="H12">
        <v>2.8266756600000003</v>
      </c>
      <c r="I12">
        <v>53.038350000000001</v>
      </c>
      <c r="J12">
        <v>0</v>
      </c>
      <c r="K12">
        <v>48.357168969999996</v>
      </c>
      <c r="L12">
        <v>48.699921930000002</v>
      </c>
    </row>
    <row r="13" spans="1:12" x14ac:dyDescent="0.35">
      <c r="A13" s="3">
        <v>202209</v>
      </c>
      <c r="B13">
        <v>955.34721764999995</v>
      </c>
      <c r="C13">
        <v>953.85970487999998</v>
      </c>
      <c r="D13">
        <v>1.4875127699999999</v>
      </c>
      <c r="E13">
        <v>6044.6594025000004</v>
      </c>
      <c r="F13">
        <v>623.86855596999999</v>
      </c>
      <c r="G13">
        <v>10.96868976</v>
      </c>
      <c r="H13">
        <v>10.96868976</v>
      </c>
      <c r="I13">
        <v>0</v>
      </c>
      <c r="J13">
        <v>0</v>
      </c>
      <c r="K13">
        <v>66.937004950000002</v>
      </c>
      <c r="L13">
        <v>39.03665032</v>
      </c>
    </row>
    <row r="14" spans="1:12" x14ac:dyDescent="0.35">
      <c r="A14" s="3">
        <v>202210</v>
      </c>
      <c r="B14">
        <v>1370.49604555</v>
      </c>
      <c r="C14">
        <v>1365.4838501500001</v>
      </c>
      <c r="D14">
        <v>4.9889163600000002</v>
      </c>
      <c r="E14">
        <v>5274.01569784</v>
      </c>
      <c r="F14">
        <v>1223.73823339</v>
      </c>
      <c r="G14">
        <v>0.40319700000000003</v>
      </c>
      <c r="H14">
        <v>0.40319700000000003</v>
      </c>
      <c r="I14">
        <v>0</v>
      </c>
      <c r="J14">
        <v>0</v>
      </c>
      <c r="K14">
        <v>49.773299719999997</v>
      </c>
      <c r="L14">
        <v>98.001014080000004</v>
      </c>
    </row>
    <row r="15" spans="1:12" x14ac:dyDescent="0.35">
      <c r="A15" s="3">
        <v>202211</v>
      </c>
      <c r="B15">
        <v>672.52731781</v>
      </c>
      <c r="C15">
        <v>671.86721853999995</v>
      </c>
      <c r="D15">
        <v>0.64354739999999999</v>
      </c>
      <c r="E15">
        <v>5713.96709706</v>
      </c>
      <c r="F15">
        <v>1387.6083644100001</v>
      </c>
      <c r="G15">
        <v>6.3580370000000004</v>
      </c>
      <c r="H15">
        <v>6.3580370000000004</v>
      </c>
      <c r="I15">
        <v>0</v>
      </c>
      <c r="J15">
        <v>0</v>
      </c>
      <c r="K15">
        <v>46.5830105</v>
      </c>
      <c r="L15">
        <v>50.886518700000003</v>
      </c>
    </row>
    <row r="16" spans="1:12" x14ac:dyDescent="0.35">
      <c r="A16" s="3">
        <v>202212</v>
      </c>
      <c r="B16">
        <v>1449.9619613099999</v>
      </c>
      <c r="C16">
        <v>1449.3481713699998</v>
      </c>
      <c r="D16">
        <v>0.57603417000000001</v>
      </c>
      <c r="E16">
        <v>6368.54121614</v>
      </c>
      <c r="F16">
        <v>634.91021060000003</v>
      </c>
      <c r="G16">
        <v>7.3859899999999996</v>
      </c>
      <c r="H16">
        <v>7.3859899999999996</v>
      </c>
      <c r="I16">
        <v>0</v>
      </c>
      <c r="J16">
        <v>0</v>
      </c>
      <c r="K16">
        <v>58.305006399999996</v>
      </c>
      <c r="L16">
        <v>45.798424140000002</v>
      </c>
    </row>
    <row r="17" spans="1:12" x14ac:dyDescent="0.35">
      <c r="A17" s="3">
        <v>202301</v>
      </c>
      <c r="B17">
        <v>831.05770117999998</v>
      </c>
      <c r="C17">
        <v>825.18064064999999</v>
      </c>
      <c r="D17">
        <v>5.7911843799999998</v>
      </c>
      <c r="E17">
        <v>6782.0444602099997</v>
      </c>
      <c r="F17">
        <v>1079.64258928</v>
      </c>
      <c r="G17">
        <v>1.199606</v>
      </c>
      <c r="H17">
        <v>1.199606</v>
      </c>
      <c r="I17">
        <v>0</v>
      </c>
      <c r="J17">
        <v>0</v>
      </c>
      <c r="K17">
        <v>59.540727090000004</v>
      </c>
      <c r="L17">
        <v>50.59434108</v>
      </c>
    </row>
    <row r="18" spans="1:12" x14ac:dyDescent="0.35">
      <c r="A18" s="3">
        <v>202302</v>
      </c>
      <c r="B18">
        <v>644.36039517999995</v>
      </c>
      <c r="C18">
        <v>643.44794317999992</v>
      </c>
      <c r="D18">
        <v>0.91245100000000001</v>
      </c>
      <c r="E18">
        <v>6924.99596415</v>
      </c>
      <c r="F18">
        <v>920.36555903999999</v>
      </c>
      <c r="G18">
        <v>19.182442999999999</v>
      </c>
      <c r="H18">
        <v>19.182442999999999</v>
      </c>
      <c r="I18">
        <v>0</v>
      </c>
      <c r="J18">
        <v>0</v>
      </c>
      <c r="K18">
        <v>44.18379564</v>
      </c>
      <c r="L18">
        <v>21.813445940000001</v>
      </c>
    </row>
    <row r="19" spans="1:12" x14ac:dyDescent="0.35">
      <c r="A19" s="3">
        <v>202303</v>
      </c>
      <c r="B19">
        <v>1845.95701779</v>
      </c>
      <c r="C19">
        <v>1843.8473701600001</v>
      </c>
      <c r="D19">
        <v>1.7498510600000001</v>
      </c>
      <c r="E19">
        <v>7650.5253853699996</v>
      </c>
      <c r="F19">
        <v>665.17498424999997</v>
      </c>
      <c r="G19">
        <v>0.87045300000000003</v>
      </c>
      <c r="H19">
        <v>0.87045300000000003</v>
      </c>
      <c r="I19">
        <v>0</v>
      </c>
      <c r="J19">
        <v>0</v>
      </c>
      <c r="K19">
        <v>45.985236590000007</v>
      </c>
      <c r="L19">
        <v>50.255448740000006</v>
      </c>
    </row>
    <row r="20" spans="1:12" x14ac:dyDescent="0.35">
      <c r="A20" s="3">
        <v>202304</v>
      </c>
      <c r="B20">
        <v>1142.0647924300001</v>
      </c>
      <c r="C20">
        <v>1141.45915393</v>
      </c>
      <c r="D20">
        <v>0.5628571</v>
      </c>
      <c r="E20">
        <v>7256.1583190800002</v>
      </c>
      <c r="F20">
        <v>379.55073866000004</v>
      </c>
      <c r="G20">
        <v>1.5510662800000001</v>
      </c>
      <c r="H20">
        <v>1.54760528</v>
      </c>
      <c r="I20">
        <v>3.4610000000000001E-3</v>
      </c>
      <c r="J20">
        <v>0</v>
      </c>
      <c r="K20">
        <v>54.58737747</v>
      </c>
      <c r="L20">
        <v>50.111218829999999</v>
      </c>
    </row>
    <row r="21" spans="1:12" x14ac:dyDescent="0.35">
      <c r="A21" s="3">
        <v>202305</v>
      </c>
      <c r="B21">
        <v>1497.6335559900001</v>
      </c>
      <c r="C21">
        <v>1468.40560684</v>
      </c>
      <c r="D21">
        <v>29.227261239999997</v>
      </c>
      <c r="E21">
        <v>7779.7299175600001</v>
      </c>
      <c r="F21">
        <v>726.59964129999992</v>
      </c>
      <c r="G21">
        <v>2.7052520800000002</v>
      </c>
      <c r="H21">
        <v>2.7052520800000002</v>
      </c>
      <c r="I21">
        <v>0</v>
      </c>
      <c r="J21">
        <v>0</v>
      </c>
      <c r="K21">
        <v>59.97279752</v>
      </c>
      <c r="L21">
        <v>63.443441610000001</v>
      </c>
    </row>
    <row r="22" spans="1:12" x14ac:dyDescent="0.35">
      <c r="A22" s="3">
        <v>202306</v>
      </c>
      <c r="B22">
        <v>1000.37479683</v>
      </c>
      <c r="C22">
        <v>997.42541724</v>
      </c>
      <c r="D22">
        <v>2.9460672099999998</v>
      </c>
      <c r="E22">
        <v>7836.56636428</v>
      </c>
      <c r="F22">
        <v>552.39477376000002</v>
      </c>
      <c r="G22">
        <v>0.280084</v>
      </c>
      <c r="H22">
        <v>0.280084</v>
      </c>
      <c r="I22">
        <v>0</v>
      </c>
      <c r="J22">
        <v>0</v>
      </c>
      <c r="K22">
        <v>73.406462140000002</v>
      </c>
      <c r="L22">
        <v>72.446288019999997</v>
      </c>
    </row>
    <row r="23" spans="1:12" x14ac:dyDescent="0.35">
      <c r="A23" s="3">
        <v>202307</v>
      </c>
      <c r="B23">
        <v>963.2271384500001</v>
      </c>
      <c r="C23">
        <v>962.39138532000004</v>
      </c>
      <c r="D23">
        <v>0.75783597999999996</v>
      </c>
      <c r="E23">
        <v>8197.2224265599998</v>
      </c>
      <c r="F23">
        <v>627.29572996000002</v>
      </c>
      <c r="G23">
        <v>0</v>
      </c>
      <c r="H23">
        <v>0</v>
      </c>
      <c r="I23">
        <v>0</v>
      </c>
      <c r="J23">
        <v>0</v>
      </c>
      <c r="K23">
        <v>75.982559670000001</v>
      </c>
      <c r="L23">
        <v>45.173221740000002</v>
      </c>
    </row>
    <row r="24" spans="1:12" x14ac:dyDescent="0.35">
      <c r="A24" s="3">
        <v>202308</v>
      </c>
      <c r="B24">
        <v>1509.6280390899999</v>
      </c>
      <c r="C24">
        <v>1500.2431639500001</v>
      </c>
      <c r="D24">
        <v>9.3389980299999991</v>
      </c>
      <c r="E24">
        <v>8780.5639648700017</v>
      </c>
      <c r="F24">
        <v>533.69401772000003</v>
      </c>
      <c r="G24">
        <v>2.5453645599999999</v>
      </c>
      <c r="H24">
        <v>2.5453645599999999</v>
      </c>
      <c r="I24">
        <v>0</v>
      </c>
      <c r="J24">
        <v>0</v>
      </c>
      <c r="K24">
        <v>114.78431821</v>
      </c>
      <c r="L24">
        <v>52.562159399999999</v>
      </c>
    </row>
    <row r="25" spans="1:12" x14ac:dyDescent="0.35">
      <c r="A25" s="3">
        <v>202309</v>
      </c>
      <c r="B25">
        <v>934.73251042000004</v>
      </c>
      <c r="C25">
        <v>933.51223004999997</v>
      </c>
      <c r="D25">
        <v>1.2202799900000001</v>
      </c>
      <c r="E25">
        <v>8353.7522017400006</v>
      </c>
      <c r="F25">
        <v>581.73445323999999</v>
      </c>
      <c r="G25">
        <v>16.38075108</v>
      </c>
      <c r="H25">
        <v>0.37855359000000005</v>
      </c>
      <c r="I25">
        <v>16.00219749</v>
      </c>
      <c r="J25">
        <v>0</v>
      </c>
      <c r="K25">
        <v>78.482850209999995</v>
      </c>
      <c r="L25">
        <v>41.532560909999994</v>
      </c>
    </row>
    <row r="26" spans="1:12" x14ac:dyDescent="0.35">
      <c r="A26" s="3">
        <v>202310</v>
      </c>
      <c r="B26">
        <v>934.21995862000006</v>
      </c>
      <c r="C26">
        <v>932.76724512999999</v>
      </c>
      <c r="D26">
        <v>1.45264247</v>
      </c>
      <c r="E26">
        <v>9651.6262877400004</v>
      </c>
      <c r="F26">
        <v>778.61571036999999</v>
      </c>
      <c r="G26">
        <v>154.14365397999998</v>
      </c>
      <c r="H26">
        <v>154.14365397999998</v>
      </c>
      <c r="I26">
        <v>0</v>
      </c>
      <c r="J26">
        <v>0</v>
      </c>
      <c r="K26">
        <v>74.999484449999997</v>
      </c>
      <c r="L26">
        <v>53.761675140000001</v>
      </c>
    </row>
    <row r="27" spans="1:12" x14ac:dyDescent="0.35">
      <c r="A27" s="3">
        <v>202311</v>
      </c>
      <c r="B27">
        <v>1662.16416331</v>
      </c>
      <c r="C27">
        <v>1658.6955817600001</v>
      </c>
      <c r="D27">
        <v>3.3882780499999998</v>
      </c>
      <c r="E27">
        <v>9257.3124807299992</v>
      </c>
      <c r="F27">
        <v>502.95399723000003</v>
      </c>
      <c r="G27">
        <v>2.17E-6</v>
      </c>
      <c r="H27">
        <v>2.17E-6</v>
      </c>
      <c r="I27">
        <v>0</v>
      </c>
      <c r="J27">
        <v>0</v>
      </c>
      <c r="K27">
        <v>71.427401970000005</v>
      </c>
      <c r="L27">
        <v>42.688234100000003</v>
      </c>
    </row>
    <row r="28" spans="1:12" x14ac:dyDescent="0.35">
      <c r="A28" s="3">
        <v>202312</v>
      </c>
      <c r="B28">
        <v>5311.4058753100007</v>
      </c>
      <c r="C28">
        <v>5309.2923912599999</v>
      </c>
      <c r="D28">
        <v>2.0599052499999999</v>
      </c>
      <c r="E28">
        <v>10592.404404370001</v>
      </c>
      <c r="F28">
        <v>426.74102474</v>
      </c>
      <c r="G28">
        <v>8.4286750000000001</v>
      </c>
      <c r="H28">
        <v>8.4286750000000001</v>
      </c>
      <c r="I28">
        <v>0</v>
      </c>
      <c r="J28">
        <v>0</v>
      </c>
      <c r="K28">
        <v>80.626243770000002</v>
      </c>
      <c r="L28">
        <v>38.676849070000003</v>
      </c>
    </row>
    <row r="29" spans="1:12" x14ac:dyDescent="0.35">
      <c r="A29" s="3">
        <v>202401</v>
      </c>
      <c r="B29">
        <v>1567.3734307100001</v>
      </c>
      <c r="C29">
        <v>1549.0446106099998</v>
      </c>
      <c r="D29">
        <v>18.32380749</v>
      </c>
      <c r="E29">
        <v>10849.4784181</v>
      </c>
      <c r="F29">
        <v>651.48321799999997</v>
      </c>
      <c r="G29">
        <v>1.0529764699999999</v>
      </c>
      <c r="H29">
        <v>1.0529764699999999</v>
      </c>
      <c r="I29">
        <v>0</v>
      </c>
      <c r="J29">
        <v>0</v>
      </c>
      <c r="K29">
        <v>111.70521253</v>
      </c>
      <c r="L29">
        <v>47.476975619999997</v>
      </c>
    </row>
    <row r="30" spans="1:12" x14ac:dyDescent="0.35">
      <c r="A30" s="3">
        <v>202402</v>
      </c>
      <c r="B30">
        <v>3082.6262468899999</v>
      </c>
      <c r="C30">
        <v>3080.39713992</v>
      </c>
      <c r="D30">
        <v>2.2188964100000002</v>
      </c>
      <c r="E30">
        <v>10148.69665928</v>
      </c>
      <c r="F30">
        <v>484.48654079000005</v>
      </c>
      <c r="G30">
        <v>1.29175529</v>
      </c>
      <c r="H30">
        <v>1.29175529</v>
      </c>
      <c r="I30">
        <v>0</v>
      </c>
      <c r="J30">
        <v>0</v>
      </c>
      <c r="K30">
        <v>113.61628337</v>
      </c>
      <c r="L30">
        <v>40.748898539999999</v>
      </c>
    </row>
    <row r="31" spans="1:12" x14ac:dyDescent="0.35">
      <c r="A31" s="3">
        <v>202403</v>
      </c>
      <c r="B31">
        <v>3034.0123611500003</v>
      </c>
      <c r="C31">
        <v>3023.0269224399999</v>
      </c>
      <c r="D31">
        <v>9.8794492300000005</v>
      </c>
      <c r="E31">
        <v>10181.484792409999</v>
      </c>
      <c r="F31">
        <v>447.23121073999999</v>
      </c>
      <c r="G31">
        <v>0.18348100000000001</v>
      </c>
      <c r="H31">
        <v>0.18348100000000001</v>
      </c>
      <c r="I31">
        <v>0</v>
      </c>
      <c r="J31">
        <v>0</v>
      </c>
      <c r="K31">
        <v>99.364640909999991</v>
      </c>
      <c r="L31">
        <v>35.553420430000003</v>
      </c>
    </row>
    <row r="32" spans="1:12" x14ac:dyDescent="0.35">
      <c r="A32" s="3">
        <v>202404</v>
      </c>
      <c r="B32">
        <v>956.68022401999997</v>
      </c>
      <c r="C32">
        <v>955.49823513000001</v>
      </c>
      <c r="D32">
        <v>1.1817814799999999</v>
      </c>
      <c r="E32">
        <v>10613.42787827</v>
      </c>
      <c r="F32">
        <v>681.53722197000002</v>
      </c>
      <c r="G32">
        <v>8.361118320000001</v>
      </c>
      <c r="H32">
        <v>1.7436287399999999</v>
      </c>
      <c r="I32">
        <v>6.61748958</v>
      </c>
      <c r="J32">
        <v>0</v>
      </c>
      <c r="K32">
        <v>125.16485748999999</v>
      </c>
      <c r="L32">
        <v>51.573768880000003</v>
      </c>
    </row>
    <row r="33" spans="1:12" x14ac:dyDescent="0.35">
      <c r="A33" s="3">
        <v>202405</v>
      </c>
      <c r="B33">
        <v>847.99709834999999</v>
      </c>
      <c r="C33">
        <v>846.48197608999999</v>
      </c>
      <c r="D33">
        <v>1.494383</v>
      </c>
      <c r="E33">
        <v>9839.8841021799999</v>
      </c>
      <c r="F33">
        <v>702.91968544000008</v>
      </c>
      <c r="G33">
        <v>3.9505121700000001</v>
      </c>
      <c r="H33">
        <v>3.9212440399999999</v>
      </c>
      <c r="I33">
        <v>2.926813E-2</v>
      </c>
      <c r="J33">
        <v>0</v>
      </c>
      <c r="K33">
        <v>124.72044801999999</v>
      </c>
      <c r="L33">
        <v>54.056319710000004</v>
      </c>
    </row>
    <row r="34" spans="1:12" x14ac:dyDescent="0.35">
      <c r="A34" s="3">
        <v>202406</v>
      </c>
      <c r="B34">
        <v>2317.11230935</v>
      </c>
      <c r="C34">
        <v>2306.5603198899998</v>
      </c>
      <c r="D34">
        <v>10.551989460000001</v>
      </c>
      <c r="E34">
        <v>9110.8363631699995</v>
      </c>
      <c r="F34">
        <v>453.18031257000001</v>
      </c>
      <c r="G34">
        <v>11.37083266</v>
      </c>
      <c r="H34">
        <v>11.37083266</v>
      </c>
      <c r="I34">
        <v>0</v>
      </c>
      <c r="J34">
        <v>0</v>
      </c>
      <c r="K34">
        <v>167.62965324000001</v>
      </c>
      <c r="L34">
        <v>64.629718510000004</v>
      </c>
    </row>
    <row r="35" spans="1:12" x14ac:dyDescent="0.35">
      <c r="A35" s="3">
        <v>202407</v>
      </c>
      <c r="B35">
        <v>1272.8786710100001</v>
      </c>
      <c r="C35">
        <v>1258.8535970400001</v>
      </c>
      <c r="D35">
        <v>14.025073970000001</v>
      </c>
      <c r="E35">
        <v>9727.824741280001</v>
      </c>
      <c r="F35">
        <v>736.44195295000009</v>
      </c>
      <c r="G35">
        <v>39.301570729999995</v>
      </c>
      <c r="H35">
        <v>39.300002649999996</v>
      </c>
      <c r="I35">
        <v>0</v>
      </c>
      <c r="J35">
        <v>1.5680799999999999E-3</v>
      </c>
      <c r="K35">
        <v>191.73102678000001</v>
      </c>
      <c r="L35">
        <v>63.086667570000003</v>
      </c>
    </row>
    <row r="36" spans="1:12" x14ac:dyDescent="0.35">
      <c r="A36" s="3">
        <v>202408</v>
      </c>
      <c r="B36">
        <v>1089.1838029100002</v>
      </c>
      <c r="C36">
        <v>1089.0505693800001</v>
      </c>
      <c r="D36">
        <v>0.13323352999999999</v>
      </c>
      <c r="E36">
        <v>9776.6395659999998</v>
      </c>
      <c r="F36">
        <v>519.28442681000001</v>
      </c>
      <c r="G36">
        <v>161.70953428000001</v>
      </c>
      <c r="H36">
        <v>161.69787461000001</v>
      </c>
      <c r="I36">
        <v>9.9999999999999995E-7</v>
      </c>
      <c r="J36">
        <v>1.1658669999999999E-2</v>
      </c>
      <c r="K36">
        <v>180.88436328</v>
      </c>
      <c r="L36">
        <v>66.164876849999999</v>
      </c>
    </row>
    <row r="37" spans="1:12" x14ac:dyDescent="0.35">
      <c r="A37" s="3">
        <v>202409</v>
      </c>
      <c r="B37">
        <v>1734.3910377300001</v>
      </c>
      <c r="C37">
        <v>1733.4355773900002</v>
      </c>
      <c r="D37">
        <v>0.95398433999999999</v>
      </c>
      <c r="E37">
        <v>9412.0351981900003</v>
      </c>
      <c r="F37">
        <v>620.61257928999999</v>
      </c>
      <c r="G37">
        <v>54.342838710000002</v>
      </c>
      <c r="H37">
        <v>54.342838710000002</v>
      </c>
      <c r="I37">
        <v>0</v>
      </c>
      <c r="J37">
        <v>0</v>
      </c>
      <c r="K37">
        <v>181.43039300000001</v>
      </c>
      <c r="L37">
        <v>61.287606150000002</v>
      </c>
    </row>
    <row r="38" spans="1:12" x14ac:dyDescent="0.35">
      <c r="A38" s="3">
        <v>202410</v>
      </c>
      <c r="B38">
        <v>1368.0353079700001</v>
      </c>
      <c r="C38">
        <v>1366.57630191</v>
      </c>
      <c r="D38">
        <v>1.4590060600000001</v>
      </c>
      <c r="E38">
        <v>10207.261074139999</v>
      </c>
      <c r="F38">
        <v>592.30338916999995</v>
      </c>
      <c r="G38">
        <v>139.86182116000001</v>
      </c>
      <c r="H38">
        <v>139.86035536000003</v>
      </c>
      <c r="I38">
        <v>1.4658E-3</v>
      </c>
      <c r="J38">
        <v>0</v>
      </c>
      <c r="K38">
        <v>191.24532127000001</v>
      </c>
      <c r="L38">
        <v>78.713583290000003</v>
      </c>
    </row>
    <row r="39" spans="1:12" x14ac:dyDescent="0.35">
      <c r="A39" s="3">
        <v>202411</v>
      </c>
      <c r="B39">
        <v>1912.12244018</v>
      </c>
      <c r="C39">
        <v>1905.04410482</v>
      </c>
      <c r="D39">
        <v>3.4503093599999999</v>
      </c>
      <c r="E39">
        <v>10313.79472498</v>
      </c>
      <c r="F39">
        <v>451.13084583999995</v>
      </c>
      <c r="G39">
        <v>24.694651829999998</v>
      </c>
      <c r="H39">
        <v>22.71870633</v>
      </c>
      <c r="I39">
        <v>0</v>
      </c>
      <c r="J39">
        <v>1.9759454999999999</v>
      </c>
      <c r="K39">
        <v>207.87505740999998</v>
      </c>
      <c r="L39">
        <v>57.981207229999995</v>
      </c>
    </row>
    <row r="40" spans="1:12" x14ac:dyDescent="0.35">
      <c r="A40" s="3">
        <v>202412</v>
      </c>
      <c r="B40">
        <v>2900.24775494</v>
      </c>
      <c r="C40">
        <v>2897.9535792500001</v>
      </c>
      <c r="D40">
        <v>2.2941756899999999</v>
      </c>
      <c r="E40">
        <v>10910.10659519</v>
      </c>
      <c r="F40">
        <v>737.95362363000004</v>
      </c>
      <c r="G40">
        <v>182.85462472</v>
      </c>
      <c r="H40">
        <v>137.25270631999999</v>
      </c>
      <c r="I40">
        <v>45.601918399999995</v>
      </c>
      <c r="J40">
        <v>0</v>
      </c>
      <c r="K40">
        <v>231.14792130000001</v>
      </c>
      <c r="L40">
        <v>61.368623249999999</v>
      </c>
    </row>
    <row r="41" spans="1:12" x14ac:dyDescent="0.35">
      <c r="A41" s="3">
        <v>202501</v>
      </c>
      <c r="B41">
        <v>2387.6976909999998</v>
      </c>
      <c r="C41">
        <v>11024.484571370002</v>
      </c>
      <c r="D41">
        <v>450.87588472000004</v>
      </c>
      <c r="E41">
        <v>2387.1720211699999</v>
      </c>
      <c r="F41">
        <v>0.49821082999999999</v>
      </c>
      <c r="G41">
        <v>62.187970579999998</v>
      </c>
      <c r="H41">
        <v>62.187893469999999</v>
      </c>
      <c r="I41">
        <v>213.71285865999999</v>
      </c>
      <c r="J41">
        <v>83.07030623</v>
      </c>
      <c r="K41">
        <v>62.187893469999999</v>
      </c>
      <c r="L41">
        <v>0</v>
      </c>
    </row>
    <row r="42" spans="1:12" x14ac:dyDescent="0.35">
      <c r="A42" s="3">
        <v>202502</v>
      </c>
      <c r="B42">
        <v>1103.39406745</v>
      </c>
      <c r="C42">
        <v>1101.88747302</v>
      </c>
      <c r="D42">
        <v>1.49138343</v>
      </c>
      <c r="E42">
        <v>10587.606741760001</v>
      </c>
      <c r="F42">
        <v>527.35011066000004</v>
      </c>
      <c r="G42">
        <v>0</v>
      </c>
      <c r="H42">
        <v>23.60984375</v>
      </c>
      <c r="I42">
        <v>23.60973057</v>
      </c>
      <c r="J42">
        <v>0</v>
      </c>
      <c r="K42">
        <v>23.60984375</v>
      </c>
      <c r="L42">
        <v>181.98144044999998</v>
      </c>
    </row>
    <row r="43" spans="1:12" x14ac:dyDescent="0.35">
      <c r="A43" s="3">
        <v>202503</v>
      </c>
      <c r="B43">
        <v>1030.70810706</v>
      </c>
      <c r="C43">
        <v>13116.772697280001</v>
      </c>
      <c r="D43">
        <v>616.22191054999996</v>
      </c>
      <c r="E43">
        <v>1030.2345328399999</v>
      </c>
      <c r="F43">
        <v>0.45727621999999996</v>
      </c>
      <c r="G43">
        <v>2.671E-5</v>
      </c>
      <c r="H43">
        <v>0</v>
      </c>
      <c r="I43">
        <v>59.658492409999994</v>
      </c>
      <c r="J43">
        <v>178.18470650999998</v>
      </c>
      <c r="K43">
        <v>0</v>
      </c>
      <c r="L43">
        <v>59.658465700000001</v>
      </c>
    </row>
    <row r="44" spans="1:12" x14ac:dyDescent="0.35">
      <c r="A44" s="3">
        <v>202504</v>
      </c>
      <c r="B44">
        <v>1186.7193420999999</v>
      </c>
      <c r="C44">
        <v>1186.7193420999999</v>
      </c>
      <c r="D44">
        <v>28.580386899999997</v>
      </c>
      <c r="E44">
        <v>9507.4346267800011</v>
      </c>
      <c r="F44">
        <v>503.80940231</v>
      </c>
      <c r="G44">
        <v>397.56234017000003</v>
      </c>
      <c r="H44">
        <v>397.56232217000002</v>
      </c>
      <c r="I44">
        <v>0</v>
      </c>
      <c r="J44">
        <v>1.8E-5</v>
      </c>
      <c r="K44">
        <v>211.31997981999999</v>
      </c>
      <c r="L44">
        <v>73.888264090000007</v>
      </c>
    </row>
    <row r="45" spans="1:12" x14ac:dyDescent="0.35">
      <c r="A45" s="3">
        <v>202505</v>
      </c>
      <c r="B45">
        <v>1358.4923508699999</v>
      </c>
      <c r="C45">
        <v>1352.09876502</v>
      </c>
      <c r="D45">
        <v>5.3439838499999999</v>
      </c>
      <c r="E45">
        <v>11096.113896370001</v>
      </c>
      <c r="F45">
        <v>462.83687405000001</v>
      </c>
      <c r="G45">
        <v>244.30652003999998</v>
      </c>
      <c r="H45">
        <v>244.30649203999999</v>
      </c>
      <c r="I45">
        <v>0</v>
      </c>
      <c r="J45">
        <v>2.8E-5</v>
      </c>
      <c r="K45">
        <v>212.52843812</v>
      </c>
      <c r="L45">
        <v>80.930733419999996</v>
      </c>
    </row>
    <row r="46" spans="1:12" x14ac:dyDescent="0.35">
      <c r="A46" s="3">
        <v>202506</v>
      </c>
      <c r="B46">
        <v>1804.9657071199999</v>
      </c>
      <c r="C46">
        <v>1800.7063719800001</v>
      </c>
      <c r="D46">
        <v>1.2197561399999999</v>
      </c>
      <c r="E46">
        <v>10690.78770481</v>
      </c>
      <c r="F46">
        <v>1023.29104827</v>
      </c>
      <c r="G46">
        <v>77.274940879999988</v>
      </c>
      <c r="H46">
        <v>55.914953270000005</v>
      </c>
      <c r="I46">
        <v>21.359987610000001</v>
      </c>
      <c r="J46">
        <v>0</v>
      </c>
      <c r="K46">
        <v>203.28061368000002</v>
      </c>
      <c r="L46">
        <v>94.926883349999997</v>
      </c>
    </row>
    <row r="47" spans="1:12" x14ac:dyDescent="0.35">
      <c r="A47" s="3">
        <v>202507</v>
      </c>
      <c r="B47">
        <v>1085.37813164</v>
      </c>
      <c r="C47">
        <v>1078.72182625</v>
      </c>
      <c r="D47">
        <v>5.7409163899999998</v>
      </c>
      <c r="E47">
        <v>11444.575652540001</v>
      </c>
      <c r="F47">
        <v>699.07825620000006</v>
      </c>
      <c r="G47">
        <v>72.996402900000007</v>
      </c>
      <c r="H47">
        <v>72.82426298</v>
      </c>
      <c r="I47">
        <v>0</v>
      </c>
      <c r="J47">
        <v>0.17213992</v>
      </c>
      <c r="K47">
        <v>246.98405065</v>
      </c>
      <c r="L47">
        <v>92.535329750000002</v>
      </c>
    </row>
    <row r="48" spans="1:12" x14ac:dyDescent="0.35">
      <c r="A48" s="2" t="s">
        <v>19</v>
      </c>
      <c r="B48">
        <v>5707.8862067800001</v>
      </c>
      <c r="C48">
        <v>6362.7956383300007</v>
      </c>
      <c r="D48">
        <v>106.66543724</v>
      </c>
      <c r="E48">
        <v>13301.384210389999</v>
      </c>
      <c r="F48">
        <v>3754.9289643900006</v>
      </c>
      <c r="G48">
        <v>16.002206489999999</v>
      </c>
      <c r="H48">
        <v>0</v>
      </c>
      <c r="I48">
        <v>16.002206489999999</v>
      </c>
      <c r="J48">
        <v>0</v>
      </c>
      <c r="K48">
        <v>0</v>
      </c>
      <c r="L48">
        <v>0</v>
      </c>
    </row>
    <row r="49" spans="1:12" x14ac:dyDescent="0.35">
      <c r="A49" s="3">
        <v>202201</v>
      </c>
      <c r="B49" s="4">
        <v>391.30911300000002</v>
      </c>
      <c r="C49">
        <v>391.30911300000002</v>
      </c>
      <c r="D49">
        <v>0</v>
      </c>
      <c r="E49">
        <v>352.21699799999999</v>
      </c>
      <c r="F49">
        <v>95.253043000000005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3">
        <v>202202</v>
      </c>
      <c r="B50" s="4">
        <v>278.94189599999999</v>
      </c>
      <c r="C50">
        <v>278.94189599999999</v>
      </c>
      <c r="D50">
        <v>0</v>
      </c>
      <c r="E50">
        <v>338.636347</v>
      </c>
      <c r="F50">
        <v>134.65430799999999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s="3">
        <v>202203</v>
      </c>
      <c r="B51" s="4">
        <v>132.10826399999999</v>
      </c>
      <c r="C51">
        <v>132.10826399999999</v>
      </c>
      <c r="D51">
        <v>0</v>
      </c>
      <c r="E51">
        <v>319.48780099999999</v>
      </c>
      <c r="F51">
        <v>261.34726499999999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s="3">
        <v>202204</v>
      </c>
      <c r="B52" s="4">
        <v>188.424215</v>
      </c>
      <c r="C52">
        <v>188.424215</v>
      </c>
      <c r="D52">
        <v>0</v>
      </c>
      <c r="E52">
        <v>145.69775799999999</v>
      </c>
      <c r="F52">
        <v>199.507553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3">
        <v>202205</v>
      </c>
      <c r="B53" s="4">
        <v>188.424215</v>
      </c>
      <c r="C53">
        <v>188.424215</v>
      </c>
      <c r="D53">
        <v>0</v>
      </c>
      <c r="E53">
        <v>145.69775799999999</v>
      </c>
      <c r="F53">
        <v>199.507553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s="3">
        <v>202206</v>
      </c>
      <c r="B54" s="4">
        <v>50.83652</v>
      </c>
      <c r="C54">
        <v>50.83652</v>
      </c>
      <c r="D54">
        <v>0</v>
      </c>
      <c r="E54">
        <v>160.95223899999999</v>
      </c>
      <c r="F54">
        <v>140.628849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s="3">
        <v>202207</v>
      </c>
      <c r="B55" s="4">
        <v>50.83652</v>
      </c>
      <c r="C55">
        <v>50.83652</v>
      </c>
      <c r="D55">
        <v>0</v>
      </c>
      <c r="E55">
        <v>160.95223899999999</v>
      </c>
      <c r="F55">
        <v>140.628849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s="3">
        <v>202208</v>
      </c>
      <c r="B56" s="4">
        <v>68.139086000000006</v>
      </c>
      <c r="C56">
        <v>68.139086000000006</v>
      </c>
      <c r="D56">
        <v>0</v>
      </c>
      <c r="E56">
        <v>140.01356200000001</v>
      </c>
      <c r="F56">
        <v>154.86660499999999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s="3">
        <v>202209</v>
      </c>
      <c r="B57" s="4">
        <v>68.139086000000006</v>
      </c>
      <c r="C57">
        <v>68.139086000000006</v>
      </c>
      <c r="D57">
        <v>0</v>
      </c>
      <c r="E57">
        <v>140.01356200000001</v>
      </c>
      <c r="F57">
        <v>154.86660499999999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s="3">
        <v>202210</v>
      </c>
      <c r="B58" s="4">
        <v>50.83652</v>
      </c>
      <c r="C58">
        <v>50.83652</v>
      </c>
      <c r="D58">
        <v>0</v>
      </c>
      <c r="E58">
        <v>160.95223899999999</v>
      </c>
      <c r="F58">
        <v>140.628849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s="3">
        <v>202211</v>
      </c>
      <c r="B59" s="4">
        <v>50.83652</v>
      </c>
      <c r="C59">
        <v>50.83652</v>
      </c>
      <c r="D59">
        <v>0</v>
      </c>
      <c r="E59">
        <v>160.95223899999999</v>
      </c>
      <c r="F59">
        <v>140.628849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s="3">
        <v>202212</v>
      </c>
      <c r="B60" s="4">
        <v>137.81706600000001</v>
      </c>
      <c r="C60" s="4">
        <v>137.81706600000001</v>
      </c>
      <c r="D60">
        <v>0</v>
      </c>
      <c r="E60" s="4">
        <v>261.87464</v>
      </c>
      <c r="F60">
        <v>122.236752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 s="3">
        <v>202301</v>
      </c>
      <c r="B61" s="4">
        <v>323.51877200000001</v>
      </c>
      <c r="C61">
        <v>323.51874600000002</v>
      </c>
      <c r="D61">
        <v>1.5E-5</v>
      </c>
      <c r="E61">
        <v>300.49205899999998</v>
      </c>
      <c r="F61">
        <v>94.927640999999994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 s="3">
        <v>202302</v>
      </c>
      <c r="B62" s="4">
        <v>68.422443000000001</v>
      </c>
      <c r="C62">
        <v>68.422443000000001</v>
      </c>
      <c r="D62">
        <v>0</v>
      </c>
      <c r="E62">
        <v>244.24551299999999</v>
      </c>
      <c r="F62">
        <v>299.635313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s="3">
        <v>202303</v>
      </c>
      <c r="B63" s="4">
        <v>825.41568099999995</v>
      </c>
      <c r="C63">
        <v>825.41568099999995</v>
      </c>
      <c r="D63">
        <v>0</v>
      </c>
      <c r="E63">
        <v>293.31332300000003</v>
      </c>
      <c r="F63">
        <v>67.456547999999998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s="3">
        <v>202304</v>
      </c>
      <c r="B64" s="4">
        <v>58.567163999999998</v>
      </c>
      <c r="C64">
        <v>58.567126000000002</v>
      </c>
      <c r="D64">
        <v>3.1999999999999999E-5</v>
      </c>
      <c r="E64">
        <v>231.29386099999999</v>
      </c>
      <c r="F64">
        <v>96.545029999999997</v>
      </c>
      <c r="G64">
        <v>9.0000000000000002E-6</v>
      </c>
      <c r="H64">
        <v>0</v>
      </c>
      <c r="I64">
        <v>9.0000000000000002E-6</v>
      </c>
      <c r="J64">
        <v>0</v>
      </c>
      <c r="K64">
        <v>0</v>
      </c>
      <c r="L64">
        <v>0</v>
      </c>
    </row>
    <row r="65" spans="1:12" x14ac:dyDescent="0.35">
      <c r="A65" s="3">
        <v>202305</v>
      </c>
      <c r="B65" s="4">
        <v>99.636230999999995</v>
      </c>
      <c r="C65">
        <v>99.636230999999995</v>
      </c>
      <c r="D65">
        <v>0</v>
      </c>
      <c r="E65">
        <v>353.04458899999997</v>
      </c>
      <c r="F65">
        <v>73.887169999999998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s="3">
        <v>202306</v>
      </c>
      <c r="B66" s="4">
        <v>64.177037999999996</v>
      </c>
      <c r="C66">
        <v>64.177037999999996</v>
      </c>
      <c r="D66">
        <v>0</v>
      </c>
      <c r="E66">
        <v>332.20844599999998</v>
      </c>
      <c r="F66">
        <v>69.347588999999999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 s="3">
        <v>202307</v>
      </c>
      <c r="B67" s="4">
        <v>60.595505000000003</v>
      </c>
      <c r="C67">
        <v>60.595505000000003</v>
      </c>
      <c r="D67">
        <v>0</v>
      </c>
      <c r="E67">
        <v>331.25459599999999</v>
      </c>
      <c r="F67">
        <v>79.777551000000003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s="3">
        <v>202308</v>
      </c>
      <c r="B68" s="4">
        <v>32.363534999999999</v>
      </c>
      <c r="C68">
        <v>32.363534999999999</v>
      </c>
      <c r="D68">
        <v>0</v>
      </c>
      <c r="E68">
        <v>460.79092300000002</v>
      </c>
      <c r="F68">
        <v>47.812829000000001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 s="3">
        <v>202309</v>
      </c>
      <c r="B69" s="4">
        <v>45.442383290000002</v>
      </c>
      <c r="C69">
        <v>45.442383290000002</v>
      </c>
      <c r="D69">
        <v>0</v>
      </c>
      <c r="E69">
        <v>268.17509881000001</v>
      </c>
      <c r="F69">
        <v>52.449999119999994</v>
      </c>
      <c r="G69">
        <v>16.00219749</v>
      </c>
      <c r="H69">
        <v>0</v>
      </c>
      <c r="I69">
        <v>16.00219749</v>
      </c>
      <c r="J69">
        <v>0</v>
      </c>
      <c r="K69">
        <v>0</v>
      </c>
      <c r="L69">
        <v>0</v>
      </c>
    </row>
    <row r="70" spans="1:12" x14ac:dyDescent="0.35">
      <c r="A70" s="3">
        <v>202310</v>
      </c>
      <c r="B70" s="4">
        <v>147.39917192999999</v>
      </c>
      <c r="C70">
        <v>147.39917192999999</v>
      </c>
      <c r="D70">
        <v>0</v>
      </c>
      <c r="E70">
        <v>376.93131664999999</v>
      </c>
      <c r="F70">
        <v>68.498576310000004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s="3">
        <v>202311</v>
      </c>
      <c r="B71" s="4">
        <v>630.31291550000003</v>
      </c>
      <c r="C71">
        <v>630.31291550000003</v>
      </c>
      <c r="D71">
        <v>0</v>
      </c>
      <c r="E71">
        <v>406.00250483999997</v>
      </c>
      <c r="F71">
        <v>54.029752389999999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 s="3">
        <v>202312</v>
      </c>
      <c r="B72" s="4">
        <v>141.40283198</v>
      </c>
      <c r="C72">
        <v>141.40283198</v>
      </c>
      <c r="D72">
        <v>0</v>
      </c>
      <c r="E72">
        <v>358.61161002999995</v>
      </c>
      <c r="F72">
        <v>81.550832150000005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5">
      <c r="A73" s="3">
        <v>202401</v>
      </c>
      <c r="B73" s="4">
        <v>50.232914810000004</v>
      </c>
      <c r="C73">
        <v>50.232914810000004</v>
      </c>
      <c r="D73">
        <v>0</v>
      </c>
      <c r="E73">
        <v>428.92881782999996</v>
      </c>
      <c r="F73">
        <v>63.962250829999995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 s="3">
        <v>202402</v>
      </c>
      <c r="B74" s="4">
        <v>46.180491070000002</v>
      </c>
      <c r="C74">
        <v>46.180491070000002</v>
      </c>
      <c r="D74">
        <v>0</v>
      </c>
      <c r="E74">
        <v>446.73519389999996</v>
      </c>
      <c r="F74">
        <v>27.067843850000003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s="3">
        <v>202403</v>
      </c>
      <c r="B75" s="4">
        <v>71.154156880000002</v>
      </c>
      <c r="C75">
        <v>71.154156880000002</v>
      </c>
      <c r="D75">
        <v>0</v>
      </c>
      <c r="E75">
        <v>270.13839658999996</v>
      </c>
      <c r="F75">
        <v>35.856648880000002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 s="3">
        <v>202404</v>
      </c>
      <c r="B76" s="4">
        <v>222.91342468000002</v>
      </c>
      <c r="C76">
        <v>222.91342468000002</v>
      </c>
      <c r="D76">
        <v>0</v>
      </c>
      <c r="E76">
        <v>445.83783791000002</v>
      </c>
      <c r="F76">
        <v>68.496099670000007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 s="3">
        <v>202405</v>
      </c>
      <c r="B77" s="4">
        <v>51.288373440000001</v>
      </c>
      <c r="C77">
        <v>51.288373440000001</v>
      </c>
      <c r="D77">
        <v>0</v>
      </c>
      <c r="E77">
        <v>372.23055841000001</v>
      </c>
      <c r="F77">
        <v>41.335280170000004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s="3">
        <v>202406</v>
      </c>
      <c r="B78" s="4">
        <v>111.79868526999999</v>
      </c>
      <c r="C78">
        <v>111.79868526999999</v>
      </c>
      <c r="D78">
        <v>0</v>
      </c>
      <c r="E78">
        <v>339.70817031999997</v>
      </c>
      <c r="F78">
        <v>52.507083479999999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 s="3">
        <v>202407</v>
      </c>
      <c r="B79" s="4">
        <v>88.796010280000004</v>
      </c>
      <c r="C79">
        <v>88.796010280000004</v>
      </c>
      <c r="D79">
        <v>0</v>
      </c>
      <c r="E79">
        <v>415.72060579999999</v>
      </c>
      <c r="F79">
        <v>37.303098720000001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s="3">
        <v>202408</v>
      </c>
      <c r="B80" s="4">
        <v>58.691381579999998</v>
      </c>
      <c r="C80">
        <v>58.691381579999998</v>
      </c>
      <c r="D80">
        <v>0</v>
      </c>
      <c r="E80">
        <v>338.05304401000001</v>
      </c>
      <c r="F80">
        <v>55.07193607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s="3">
        <v>202409</v>
      </c>
      <c r="B81" s="4">
        <v>94.685619469999992</v>
      </c>
      <c r="C81">
        <v>94.685619469999992</v>
      </c>
      <c r="D81">
        <v>0</v>
      </c>
      <c r="E81">
        <v>349.75245467000002</v>
      </c>
      <c r="F81">
        <v>30.716419579999997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5">
      <c r="A82" s="3">
        <v>202410</v>
      </c>
      <c r="B82" s="4">
        <v>46.747991310000003</v>
      </c>
      <c r="C82">
        <v>46.747991310000003</v>
      </c>
      <c r="D82">
        <v>0</v>
      </c>
      <c r="E82">
        <v>354.93219520999997</v>
      </c>
      <c r="F82">
        <v>61.534230790000002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 s="3">
        <v>202411</v>
      </c>
      <c r="B83" s="4">
        <v>138.42842135000001</v>
      </c>
      <c r="C83">
        <v>138.42842135000001</v>
      </c>
      <c r="D83">
        <v>0</v>
      </c>
      <c r="E83">
        <v>391.90915774000001</v>
      </c>
      <c r="F83">
        <v>44.304949810000004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3">
        <v>202412</v>
      </c>
      <c r="B84" s="4">
        <v>67.664466489999995</v>
      </c>
      <c r="C84">
        <v>67.664466489999995</v>
      </c>
      <c r="D84">
        <v>0</v>
      </c>
      <c r="E84">
        <v>402.90762745999996</v>
      </c>
      <c r="F84">
        <v>57.238859990000002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3">
        <v>202501</v>
      </c>
      <c r="B85" s="4">
        <v>72.100044959999991</v>
      </c>
      <c r="C85">
        <v>416.09016502999998</v>
      </c>
      <c r="D85">
        <v>54.048974100000002</v>
      </c>
      <c r="E85">
        <v>72.100044959999991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3">
        <v>202502</v>
      </c>
      <c r="B86" s="4">
        <v>95.288954910000001</v>
      </c>
      <c r="C86">
        <v>95.288954910000001</v>
      </c>
      <c r="D86">
        <v>0</v>
      </c>
      <c r="E86">
        <v>317.18193933999999</v>
      </c>
      <c r="F86">
        <v>27.995957000000001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 s="3">
        <v>202503</v>
      </c>
      <c r="B87" s="4">
        <v>58.853310840000006</v>
      </c>
      <c r="C87">
        <v>369.77268631999999</v>
      </c>
      <c r="D87">
        <v>52.616416139999998</v>
      </c>
      <c r="E87">
        <v>58.853310840000006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s="3">
        <v>202504</v>
      </c>
      <c r="B88" s="4">
        <v>36.660949359999996</v>
      </c>
      <c r="C88">
        <v>36.660949359999996</v>
      </c>
      <c r="D88">
        <v>0</v>
      </c>
      <c r="E88">
        <v>397.18830143000002</v>
      </c>
      <c r="F88">
        <v>41.684273140000002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 s="3">
        <v>202505</v>
      </c>
      <c r="B89" s="4">
        <v>67.147661139999997</v>
      </c>
      <c r="C89">
        <v>67.147661139999997</v>
      </c>
      <c r="D89">
        <v>0</v>
      </c>
      <c r="E89">
        <v>442.59332405000004</v>
      </c>
      <c r="F89">
        <v>39.774585639999998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 s="3">
        <v>202506</v>
      </c>
      <c r="B90" s="4">
        <v>85.343324340000009</v>
      </c>
      <c r="C90">
        <v>85.343324340000009</v>
      </c>
      <c r="D90">
        <v>0</v>
      </c>
      <c r="E90">
        <v>548.53250333000005</v>
      </c>
      <c r="F90">
        <v>38.652912069999999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 s="3">
        <v>202507</v>
      </c>
      <c r="B91" s="4">
        <v>90.007331900000011</v>
      </c>
      <c r="C91">
        <v>90.007331900000011</v>
      </c>
      <c r="D91">
        <v>0</v>
      </c>
      <c r="E91">
        <v>464.26950425999996</v>
      </c>
      <c r="F91">
        <v>60.752623729999996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s="2" t="s">
        <v>20</v>
      </c>
      <c r="B92">
        <v>12341.251573580003</v>
      </c>
      <c r="C92">
        <v>22105.722076269998</v>
      </c>
      <c r="D92">
        <v>333.83728296999999</v>
      </c>
      <c r="E92">
        <v>125855.07293139999</v>
      </c>
      <c r="F92">
        <v>7629.2601542500015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s="3">
        <v>202201</v>
      </c>
      <c r="B93">
        <v>182.59547699999999</v>
      </c>
      <c r="C93">
        <v>182.59547699999999</v>
      </c>
      <c r="D93">
        <v>0</v>
      </c>
      <c r="E93">
        <v>1829.9934531099998</v>
      </c>
      <c r="F93">
        <v>203.47405232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5">
      <c r="A94" s="3">
        <v>202202</v>
      </c>
      <c r="B94">
        <v>190.69124306999998</v>
      </c>
      <c r="C94">
        <v>190.69124306999998</v>
      </c>
      <c r="D94">
        <v>0</v>
      </c>
      <c r="E94">
        <v>1957.28422043</v>
      </c>
      <c r="F94">
        <v>243.28332437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 s="3">
        <v>202203</v>
      </c>
      <c r="B95">
        <v>189.69326839999999</v>
      </c>
      <c r="C95">
        <v>189.69326839999999</v>
      </c>
      <c r="D95">
        <v>0</v>
      </c>
      <c r="E95">
        <v>2071.4580787899999</v>
      </c>
      <c r="F95">
        <v>253.25203902000001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s="3">
        <v>202204</v>
      </c>
      <c r="B96">
        <v>160.88141223</v>
      </c>
      <c r="C96">
        <v>160.88141223</v>
      </c>
      <c r="D96">
        <v>0</v>
      </c>
      <c r="E96">
        <v>1903.9966404700001</v>
      </c>
      <c r="F96">
        <v>32.157549600000003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 s="3">
        <v>202205</v>
      </c>
      <c r="B97">
        <v>244.99125000999999</v>
      </c>
      <c r="C97">
        <v>244.99125000999999</v>
      </c>
      <c r="D97">
        <v>0</v>
      </c>
      <c r="E97">
        <v>1940.3443442600001</v>
      </c>
      <c r="F97">
        <v>274.41610387999998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 s="3">
        <v>202206</v>
      </c>
      <c r="B98">
        <v>148.29771728</v>
      </c>
      <c r="C98">
        <v>148.29771728</v>
      </c>
      <c r="D98">
        <v>0</v>
      </c>
      <c r="E98">
        <v>1953.84903418</v>
      </c>
      <c r="F98">
        <v>106.28216143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s="3">
        <v>202207</v>
      </c>
      <c r="B99">
        <v>536.69926592000002</v>
      </c>
      <c r="C99">
        <v>536.69926592000002</v>
      </c>
      <c r="D99">
        <v>0</v>
      </c>
      <c r="E99">
        <v>2056.7979290499998</v>
      </c>
      <c r="F99">
        <v>196.64730327999999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5">
      <c r="A100" s="3">
        <v>202208</v>
      </c>
      <c r="B100">
        <v>193.09698524000001</v>
      </c>
      <c r="C100">
        <v>193.09698524000001</v>
      </c>
      <c r="D100">
        <v>0</v>
      </c>
      <c r="E100">
        <v>2044.5732901400002</v>
      </c>
      <c r="F100">
        <v>123.92161435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s="3">
        <v>202209</v>
      </c>
      <c r="B101">
        <v>172.27557983000003</v>
      </c>
      <c r="C101">
        <v>172.27557983000003</v>
      </c>
      <c r="D101">
        <v>0</v>
      </c>
      <c r="E101">
        <v>2165.88048622</v>
      </c>
      <c r="F101">
        <v>143.29909966999998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 s="3">
        <v>202210</v>
      </c>
      <c r="B102">
        <v>937.04433387999995</v>
      </c>
      <c r="C102">
        <v>937.04433387999995</v>
      </c>
      <c r="D102">
        <v>0</v>
      </c>
      <c r="E102">
        <v>2249.7825447600003</v>
      </c>
      <c r="F102">
        <v>232.38309869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s="3">
        <v>202211</v>
      </c>
      <c r="B103">
        <v>131.15165765999998</v>
      </c>
      <c r="C103">
        <v>131.15165765999998</v>
      </c>
      <c r="D103">
        <v>0</v>
      </c>
      <c r="E103">
        <v>2364.0890728700001</v>
      </c>
      <c r="F103">
        <v>236.70069554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s="3">
        <v>202212</v>
      </c>
      <c r="B104">
        <v>286.83774089999997</v>
      </c>
      <c r="C104">
        <v>286.83774089999997</v>
      </c>
      <c r="D104">
        <v>0</v>
      </c>
      <c r="E104">
        <v>2599.9073752700001</v>
      </c>
      <c r="F104">
        <v>51.11539372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s="3">
        <v>202301</v>
      </c>
      <c r="B105">
        <v>140.91089919999999</v>
      </c>
      <c r="C105">
        <v>140.91089919999999</v>
      </c>
      <c r="D105">
        <v>0</v>
      </c>
      <c r="E105">
        <v>2698.5508340599999</v>
      </c>
      <c r="F105">
        <v>607.58728339999993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 s="3">
        <v>202302</v>
      </c>
      <c r="B106">
        <v>134.37653696000001</v>
      </c>
      <c r="C106">
        <v>134.37653696000001</v>
      </c>
      <c r="D106">
        <v>0</v>
      </c>
      <c r="E106">
        <v>2693.3505759999998</v>
      </c>
      <c r="F106">
        <v>306.16191641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s="3">
        <v>202303</v>
      </c>
      <c r="B107">
        <v>134.37653696000001</v>
      </c>
      <c r="C107">
        <v>134.37653696000001</v>
      </c>
      <c r="D107">
        <v>0</v>
      </c>
      <c r="E107">
        <v>2693.3505759999998</v>
      </c>
      <c r="F107">
        <v>306.16191641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s="3">
        <v>202304</v>
      </c>
      <c r="B108">
        <v>210.24684764</v>
      </c>
      <c r="C108">
        <v>210.24684764</v>
      </c>
      <c r="D108">
        <v>0</v>
      </c>
      <c r="E108">
        <v>2774.6625204800002</v>
      </c>
      <c r="F108">
        <v>47.329356429999997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s="3">
        <v>202305</v>
      </c>
      <c r="B109">
        <v>210.07694505000001</v>
      </c>
      <c r="C109">
        <v>210.07694505000001</v>
      </c>
      <c r="D109">
        <v>0</v>
      </c>
      <c r="E109">
        <v>2896.4214708099998</v>
      </c>
      <c r="F109">
        <v>355.20814718000003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s="3">
        <v>202306</v>
      </c>
      <c r="B110">
        <v>241.42846233</v>
      </c>
      <c r="C110">
        <v>241.42846233</v>
      </c>
      <c r="D110">
        <v>0</v>
      </c>
      <c r="E110">
        <v>2873.4929323699998</v>
      </c>
      <c r="F110">
        <v>179.22674631000001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 s="3">
        <v>202307</v>
      </c>
      <c r="B111">
        <v>272.67853758999996</v>
      </c>
      <c r="C111">
        <v>272.51287531999998</v>
      </c>
      <c r="D111">
        <v>9.4723940000000006E-2</v>
      </c>
      <c r="E111">
        <v>2923.8010498899998</v>
      </c>
      <c r="F111">
        <v>207.81907928999999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s="3">
        <v>202308</v>
      </c>
      <c r="B112">
        <v>142.30819009000001</v>
      </c>
      <c r="C112">
        <v>142.30043222</v>
      </c>
      <c r="D112">
        <v>7.7575299999999995E-3</v>
      </c>
      <c r="E112">
        <v>2935.0997006699999</v>
      </c>
      <c r="F112">
        <v>150.5006684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 s="3">
        <v>202309</v>
      </c>
      <c r="B113">
        <v>133.29621112999999</v>
      </c>
      <c r="C113">
        <v>133.29621065000001</v>
      </c>
      <c r="D113">
        <v>1.0000000000000001E-7</v>
      </c>
      <c r="E113">
        <v>3136.5442998099998</v>
      </c>
      <c r="F113">
        <v>23.084158819999999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 s="3">
        <v>202310</v>
      </c>
      <c r="B114">
        <v>145.09247768</v>
      </c>
      <c r="C114">
        <v>145.09247711</v>
      </c>
      <c r="D114">
        <v>5.6999999999999994E-7</v>
      </c>
      <c r="E114">
        <v>3230.0016252600003</v>
      </c>
      <c r="F114">
        <v>331.40441969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s="3">
        <v>202311</v>
      </c>
      <c r="B115">
        <v>200.41127402000001</v>
      </c>
      <c r="C115">
        <v>200.25458381000001</v>
      </c>
      <c r="D115">
        <v>7.6574490000000009E-2</v>
      </c>
      <c r="E115">
        <v>3335.57310904</v>
      </c>
      <c r="F115">
        <v>165.13213221999999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s="3">
        <v>202312</v>
      </c>
      <c r="B116">
        <v>180.59002544000001</v>
      </c>
      <c r="C116">
        <v>180.46774904</v>
      </c>
      <c r="D116">
        <v>6.8718130000000002E-2</v>
      </c>
      <c r="E116">
        <v>3515.09737464</v>
      </c>
      <c r="F116">
        <v>43.262554159999993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 s="3">
        <v>202401</v>
      </c>
      <c r="B117">
        <v>158.47147375</v>
      </c>
      <c r="C117">
        <v>158.47147334000002</v>
      </c>
      <c r="D117">
        <v>4.0999999999999999E-7</v>
      </c>
      <c r="E117">
        <v>3647.16915152</v>
      </c>
      <c r="F117">
        <v>230.95704774999999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 s="3">
        <v>202402</v>
      </c>
      <c r="B118">
        <v>1696.2433618599998</v>
      </c>
      <c r="C118">
        <v>1696.1895042399999</v>
      </c>
      <c r="D118">
        <v>4.3647059999999994E-2</v>
      </c>
      <c r="E118">
        <v>3731.4980541899999</v>
      </c>
      <c r="F118">
        <v>100.1917223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 s="3">
        <v>202403</v>
      </c>
      <c r="B119">
        <v>415.31052786999999</v>
      </c>
      <c r="C119">
        <v>414.98172429000005</v>
      </c>
      <c r="D119">
        <v>0.26548709999999998</v>
      </c>
      <c r="E119">
        <v>3720.8160949399999</v>
      </c>
      <c r="F119">
        <v>30.31936936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 s="3">
        <v>202404</v>
      </c>
      <c r="B120">
        <v>177.16562311000001</v>
      </c>
      <c r="C120">
        <v>177.16562311000001</v>
      </c>
      <c r="D120">
        <v>0</v>
      </c>
      <c r="E120">
        <v>3576.9363550500002</v>
      </c>
      <c r="F120">
        <v>251.33150108000001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s="3">
        <v>202405</v>
      </c>
      <c r="B121">
        <v>279.69134148000001</v>
      </c>
      <c r="C121">
        <v>279.60714758</v>
      </c>
      <c r="D121">
        <v>6.3485639999999996E-2</v>
      </c>
      <c r="E121">
        <v>3736.42238112</v>
      </c>
      <c r="F121">
        <v>140.58759017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s="3">
        <v>202406</v>
      </c>
      <c r="B122">
        <v>293.98101600000001</v>
      </c>
      <c r="C122">
        <v>293.98101600000001</v>
      </c>
      <c r="D122">
        <v>0</v>
      </c>
      <c r="E122">
        <v>3631.3620430000001</v>
      </c>
      <c r="F122">
        <v>34.568742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s="3">
        <v>202407</v>
      </c>
      <c r="B123">
        <v>224.66479100000001</v>
      </c>
      <c r="C123">
        <v>224.66479100000001</v>
      </c>
      <c r="D123">
        <v>0</v>
      </c>
      <c r="E123">
        <v>3628.2378749999998</v>
      </c>
      <c r="F123">
        <v>279.93607700000001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s="3">
        <v>202408</v>
      </c>
      <c r="B124">
        <v>181.825425</v>
      </c>
      <c r="C124">
        <v>181.825425</v>
      </c>
      <c r="D124">
        <v>0</v>
      </c>
      <c r="E124">
        <v>3581.5679599999999</v>
      </c>
      <c r="F124">
        <v>46.509380999999998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s="3">
        <v>202409</v>
      </c>
      <c r="B125">
        <v>200.73522600000001</v>
      </c>
      <c r="C125">
        <v>200.72763800000001</v>
      </c>
      <c r="D125">
        <v>6.1120000000000002E-3</v>
      </c>
      <c r="E125">
        <v>3719.6221289999999</v>
      </c>
      <c r="F125">
        <v>277.365861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 s="3">
        <v>202410</v>
      </c>
      <c r="B126">
        <v>345.645129</v>
      </c>
      <c r="C126">
        <v>345.645129</v>
      </c>
      <c r="D126">
        <v>0</v>
      </c>
      <c r="E126">
        <v>3935.5063100000002</v>
      </c>
      <c r="F126">
        <v>168.55940799999999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 s="3">
        <v>202411</v>
      </c>
      <c r="B127">
        <v>323.69933300000002</v>
      </c>
      <c r="C127">
        <v>323.69933300000002</v>
      </c>
      <c r="D127">
        <v>0</v>
      </c>
      <c r="E127">
        <v>4104.8339349999997</v>
      </c>
      <c r="F127">
        <v>65.314757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 s="3">
        <v>202412</v>
      </c>
      <c r="B128">
        <v>457.98680100000001</v>
      </c>
      <c r="C128">
        <v>457.98680100000001</v>
      </c>
      <c r="D128">
        <v>0</v>
      </c>
      <c r="E128">
        <v>4186.9439130000001</v>
      </c>
      <c r="F128">
        <v>288.55520799999999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 s="3">
        <v>202501</v>
      </c>
      <c r="B129">
        <v>320.83700900000002</v>
      </c>
      <c r="C129">
        <v>4245.507404</v>
      </c>
      <c r="D129">
        <v>116.362848</v>
      </c>
      <c r="E129">
        <v>320.68379299999998</v>
      </c>
      <c r="F129">
        <v>0.12575700000000001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s="3">
        <v>202502</v>
      </c>
      <c r="B130">
        <v>254.367987</v>
      </c>
      <c r="C130">
        <v>254.265139</v>
      </c>
      <c r="D130">
        <v>8.7637000000000007E-2</v>
      </c>
      <c r="E130">
        <v>4360.4456419999997</v>
      </c>
      <c r="F130">
        <v>148.01707500000001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s="3">
        <v>202503</v>
      </c>
      <c r="B131">
        <v>255.49334400000001</v>
      </c>
      <c r="C131">
        <v>6103.180359</v>
      </c>
      <c r="D131">
        <v>214.187265</v>
      </c>
      <c r="E131">
        <v>255.39416600000001</v>
      </c>
      <c r="F131">
        <v>8.2879999999999995E-2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 s="3">
        <v>202504</v>
      </c>
      <c r="B132">
        <v>295.51575100000002</v>
      </c>
      <c r="C132">
        <v>294.17557499999998</v>
      </c>
      <c r="D132">
        <v>1.1451549999999999</v>
      </c>
      <c r="E132">
        <v>2411.004273</v>
      </c>
      <c r="F132">
        <v>166.48360099999999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 s="3">
        <v>202505</v>
      </c>
      <c r="B133">
        <v>263.06931500000002</v>
      </c>
      <c r="C133">
        <v>261.65682299999997</v>
      </c>
      <c r="D133">
        <v>0.36288999999999999</v>
      </c>
      <c r="E133">
        <v>4177.2051700000002</v>
      </c>
      <c r="F133">
        <v>68.875769000000005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3">
        <v>202506</v>
      </c>
      <c r="B134">
        <v>332.66243500000002</v>
      </c>
      <c r="C134">
        <v>328.55787500000002</v>
      </c>
      <c r="D134">
        <v>1.064981</v>
      </c>
      <c r="E134">
        <v>4027.314437</v>
      </c>
      <c r="F134">
        <v>348.68978800000002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 s="3">
        <v>202507</v>
      </c>
      <c r="B135">
        <v>343.83680800000002</v>
      </c>
      <c r="C135">
        <v>343.83680800000002</v>
      </c>
      <c r="D135">
        <v>0</v>
      </c>
      <c r="E135">
        <v>4258.2067100000004</v>
      </c>
      <c r="F135">
        <v>162.97780499999999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5">
      <c r="A136" s="2" t="s">
        <v>21</v>
      </c>
      <c r="B136">
        <v>17176.242748389999</v>
      </c>
      <c r="C136">
        <v>19798.912278389998</v>
      </c>
      <c r="D136">
        <v>403.66364300000004</v>
      </c>
      <c r="E136">
        <v>50133.071228999994</v>
      </c>
      <c r="F136">
        <v>6046.4438829999999</v>
      </c>
      <c r="G136">
        <v>236.31890499999997</v>
      </c>
      <c r="H136">
        <v>241.39045699999997</v>
      </c>
      <c r="I136">
        <v>50.310721999999998</v>
      </c>
      <c r="J136">
        <v>44.089839999999995</v>
      </c>
      <c r="K136">
        <v>527.01227099999994</v>
      </c>
      <c r="L136">
        <v>187.551253</v>
      </c>
    </row>
    <row r="137" spans="1:12" x14ac:dyDescent="0.35">
      <c r="A137" s="3">
        <v>202201</v>
      </c>
      <c r="B137">
        <v>366.50569300000001</v>
      </c>
      <c r="C137">
        <v>366.50569300000001</v>
      </c>
      <c r="D137">
        <v>0</v>
      </c>
      <c r="E137">
        <v>297.34971999999999</v>
      </c>
      <c r="F137">
        <v>105.822627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 s="3">
        <v>202202</v>
      </c>
      <c r="B138">
        <v>275.31675899999999</v>
      </c>
      <c r="C138">
        <v>275.31675899999999</v>
      </c>
      <c r="D138">
        <v>0</v>
      </c>
      <c r="E138">
        <v>209.22294500000001</v>
      </c>
      <c r="F138">
        <v>149.598375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 s="3">
        <v>202203</v>
      </c>
      <c r="B139">
        <v>1492.8187370000001</v>
      </c>
      <c r="C139">
        <v>1492.8187370000001</v>
      </c>
      <c r="D139">
        <v>0</v>
      </c>
      <c r="E139">
        <v>324.603499</v>
      </c>
      <c r="F139">
        <v>141.93637899999999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3">
        <v>202204</v>
      </c>
      <c r="B140">
        <v>578.26473033000002</v>
      </c>
      <c r="C140">
        <v>578.26473033000002</v>
      </c>
      <c r="D140">
        <v>0</v>
      </c>
      <c r="E140">
        <v>277.753827</v>
      </c>
      <c r="F140">
        <v>141.43491499999999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 s="3">
        <v>202205</v>
      </c>
      <c r="B141">
        <v>434.98273999999998</v>
      </c>
      <c r="C141">
        <v>434.98273999999998</v>
      </c>
      <c r="D141">
        <v>0</v>
      </c>
      <c r="E141">
        <v>316.08968399999998</v>
      </c>
      <c r="F141">
        <v>164.648911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s="3">
        <v>202206</v>
      </c>
      <c r="B142">
        <v>356.73019399999998</v>
      </c>
      <c r="C142">
        <v>356.73019399999998</v>
      </c>
      <c r="D142">
        <v>0</v>
      </c>
      <c r="E142">
        <v>203.77269999999999</v>
      </c>
      <c r="F142">
        <v>148.168949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s="3">
        <v>202207</v>
      </c>
      <c r="B143">
        <v>432.084157</v>
      </c>
      <c r="C143">
        <v>432.084157</v>
      </c>
      <c r="D143">
        <v>0</v>
      </c>
      <c r="E143">
        <v>315.42542800000001</v>
      </c>
      <c r="F143">
        <v>134.68585300000001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5">
      <c r="A144" s="3">
        <v>202208</v>
      </c>
      <c r="B144">
        <v>421.50925999999998</v>
      </c>
      <c r="C144">
        <v>220.74858499999999</v>
      </c>
      <c r="D144">
        <v>200.76067499999999</v>
      </c>
      <c r="E144">
        <v>380.03004700000002</v>
      </c>
      <c r="F144">
        <v>135.02505500000001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s="3">
        <v>202209</v>
      </c>
      <c r="B145">
        <v>203.67489599999999</v>
      </c>
      <c r="C145">
        <v>203.67489599999999</v>
      </c>
      <c r="D145">
        <v>0</v>
      </c>
      <c r="E145">
        <v>318.43788599999999</v>
      </c>
      <c r="F145">
        <v>147.20116100000001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s="3">
        <v>202210</v>
      </c>
      <c r="B146">
        <v>203.327359</v>
      </c>
      <c r="C146">
        <v>203.327359</v>
      </c>
      <c r="D146">
        <v>0</v>
      </c>
      <c r="E146">
        <v>317.620499</v>
      </c>
      <c r="F146">
        <v>645.10394899999994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3">
        <v>202211</v>
      </c>
      <c r="B147">
        <v>203.81514799999999</v>
      </c>
      <c r="C147">
        <v>203.81514799999999</v>
      </c>
      <c r="D147">
        <v>0</v>
      </c>
      <c r="E147">
        <v>313.48759899999999</v>
      </c>
      <c r="F147">
        <v>761.86204299999997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s="3">
        <v>202212</v>
      </c>
      <c r="B148">
        <v>152.26539600000001</v>
      </c>
      <c r="C148">
        <v>152.26539600000001</v>
      </c>
      <c r="D148">
        <v>0</v>
      </c>
      <c r="E148">
        <v>356.841835</v>
      </c>
      <c r="F148">
        <v>208.570144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s="3">
        <v>202301</v>
      </c>
      <c r="B149">
        <v>205.82568699999999</v>
      </c>
      <c r="C149">
        <v>205.82568699999999</v>
      </c>
      <c r="D149">
        <v>0</v>
      </c>
      <c r="E149">
        <v>608.96189400000003</v>
      </c>
      <c r="F149">
        <v>171.493144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s="3">
        <v>202302</v>
      </c>
      <c r="B150">
        <v>166.92868200000001</v>
      </c>
      <c r="C150">
        <v>166.92868200000001</v>
      </c>
      <c r="D150">
        <v>0</v>
      </c>
      <c r="E150">
        <v>709.53514199999995</v>
      </c>
      <c r="F150">
        <v>123.999773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 s="3">
        <v>202303</v>
      </c>
      <c r="B151">
        <v>653.40623900000003</v>
      </c>
      <c r="C151">
        <v>653.40623900000003</v>
      </c>
      <c r="D151">
        <v>0</v>
      </c>
      <c r="E151">
        <v>1179.707353</v>
      </c>
      <c r="F151">
        <v>105.97737100000001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5">
      <c r="A152" s="3">
        <v>202304</v>
      </c>
      <c r="B152">
        <v>182.44353599999999</v>
      </c>
      <c r="C152">
        <v>182.44353599999999</v>
      </c>
      <c r="D152">
        <v>0</v>
      </c>
      <c r="E152">
        <v>1102.9768449999999</v>
      </c>
      <c r="F152">
        <v>54.425403000000003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 s="3">
        <v>202305</v>
      </c>
      <c r="B153">
        <v>383.75870700000002</v>
      </c>
      <c r="C153">
        <v>383.75870700000002</v>
      </c>
      <c r="D153">
        <v>0</v>
      </c>
      <c r="E153">
        <v>1134.815564</v>
      </c>
      <c r="F153">
        <v>69.001991000000004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 s="3">
        <v>202306</v>
      </c>
      <c r="B154">
        <v>267.53667200000001</v>
      </c>
      <c r="C154">
        <v>267.53667200000001</v>
      </c>
      <c r="D154">
        <v>0</v>
      </c>
      <c r="E154">
        <v>1120.777554</v>
      </c>
      <c r="F154">
        <v>55.851331000000002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 s="3">
        <v>202307</v>
      </c>
      <c r="B155">
        <v>395.82596899999999</v>
      </c>
      <c r="C155">
        <v>395.82596899999999</v>
      </c>
      <c r="D155">
        <v>0</v>
      </c>
      <c r="E155">
        <v>1340.577423</v>
      </c>
      <c r="F155">
        <v>89.133178999999998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 s="3">
        <v>202308</v>
      </c>
      <c r="B156">
        <v>518.31306900000004</v>
      </c>
      <c r="C156">
        <v>518.31306900000004</v>
      </c>
      <c r="D156">
        <v>0</v>
      </c>
      <c r="E156">
        <v>1648.0635629999999</v>
      </c>
      <c r="F156">
        <v>103.583512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 s="3">
        <v>202309</v>
      </c>
      <c r="B157">
        <v>197.73012600000001</v>
      </c>
      <c r="C157">
        <v>197.73012600000001</v>
      </c>
      <c r="D157">
        <v>0</v>
      </c>
      <c r="E157">
        <v>1184.7776120000001</v>
      </c>
      <c r="F157">
        <v>79.574397000000005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 s="3">
        <v>202310</v>
      </c>
      <c r="B158">
        <v>201.62265600000001</v>
      </c>
      <c r="C158">
        <v>201.62265600000001</v>
      </c>
      <c r="D158">
        <v>0</v>
      </c>
      <c r="E158">
        <v>2184.1951680000002</v>
      </c>
      <c r="F158">
        <v>53.313237000000001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s="3">
        <v>202311</v>
      </c>
      <c r="B159">
        <v>237.271207</v>
      </c>
      <c r="C159">
        <v>237.271207</v>
      </c>
      <c r="D159">
        <v>0</v>
      </c>
      <c r="E159">
        <v>1437.814656</v>
      </c>
      <c r="F159">
        <v>43.758530999999998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 s="3">
        <v>202312</v>
      </c>
      <c r="B160">
        <v>650.12064599999997</v>
      </c>
      <c r="C160">
        <v>650.12064599999997</v>
      </c>
      <c r="D160">
        <v>0</v>
      </c>
      <c r="E160">
        <v>2642.5705760000001</v>
      </c>
      <c r="F160">
        <v>82.647255000000001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s="3">
        <v>202401</v>
      </c>
      <c r="B161">
        <v>274.26856600000002</v>
      </c>
      <c r="C161">
        <v>274.26856600000002</v>
      </c>
      <c r="D161">
        <v>0</v>
      </c>
      <c r="E161">
        <v>2386.4767200000001</v>
      </c>
      <c r="F161">
        <v>129.13104300000001</v>
      </c>
      <c r="G161">
        <v>0.990591</v>
      </c>
      <c r="H161">
        <v>0.990591</v>
      </c>
      <c r="I161">
        <v>0</v>
      </c>
      <c r="J161">
        <v>0</v>
      </c>
      <c r="K161">
        <v>0.21731300000000001</v>
      </c>
      <c r="L161">
        <v>0</v>
      </c>
    </row>
    <row r="162" spans="1:12" x14ac:dyDescent="0.35">
      <c r="A162" s="3">
        <v>202402</v>
      </c>
      <c r="B162">
        <v>673.77143599999999</v>
      </c>
      <c r="C162">
        <v>673.77143599999999</v>
      </c>
      <c r="D162">
        <v>0</v>
      </c>
      <c r="E162">
        <v>1730.9288979999999</v>
      </c>
      <c r="F162">
        <v>127.919292</v>
      </c>
      <c r="G162">
        <v>1.251736</v>
      </c>
      <c r="H162">
        <v>1.251736</v>
      </c>
      <c r="I162">
        <v>0</v>
      </c>
      <c r="J162">
        <v>0</v>
      </c>
      <c r="K162">
        <v>36.629080999999999</v>
      </c>
      <c r="L162">
        <v>5.0771519999999999</v>
      </c>
    </row>
    <row r="163" spans="1:12" x14ac:dyDescent="0.35">
      <c r="A163" s="3">
        <v>202403</v>
      </c>
      <c r="B163">
        <v>740.091498</v>
      </c>
      <c r="C163">
        <v>740.091498</v>
      </c>
      <c r="D163">
        <v>0</v>
      </c>
      <c r="E163">
        <v>2029.38978</v>
      </c>
      <c r="F163">
        <v>95.181537000000006</v>
      </c>
      <c r="G163">
        <v>0.110391</v>
      </c>
      <c r="H163">
        <v>0.110391</v>
      </c>
      <c r="I163">
        <v>0</v>
      </c>
      <c r="J163">
        <v>0</v>
      </c>
      <c r="K163">
        <v>31.584358999999999</v>
      </c>
      <c r="L163">
        <v>5.6756520000000004</v>
      </c>
    </row>
    <row r="164" spans="1:12" x14ac:dyDescent="0.35">
      <c r="A164" s="3">
        <v>202404</v>
      </c>
      <c r="B164">
        <v>274.10614900000002</v>
      </c>
      <c r="C164">
        <v>274.10614900000002</v>
      </c>
      <c r="D164">
        <v>0</v>
      </c>
      <c r="E164">
        <v>2071.6867649999999</v>
      </c>
      <c r="F164">
        <v>125.10054</v>
      </c>
      <c r="G164">
        <v>8.4693000000000004E-2</v>
      </c>
      <c r="H164">
        <v>8.4693000000000004E-2</v>
      </c>
      <c r="I164">
        <v>0</v>
      </c>
      <c r="J164">
        <v>0</v>
      </c>
      <c r="K164">
        <v>41.224035000000001</v>
      </c>
      <c r="L164">
        <v>10.254211</v>
      </c>
    </row>
    <row r="165" spans="1:12" x14ac:dyDescent="0.35">
      <c r="A165" s="3">
        <v>202405</v>
      </c>
      <c r="B165">
        <v>228.966835</v>
      </c>
      <c r="C165">
        <v>228.966835</v>
      </c>
      <c r="D165">
        <v>0</v>
      </c>
      <c r="E165">
        <v>1687.254514</v>
      </c>
      <c r="F165">
        <v>177.704331</v>
      </c>
      <c r="G165">
        <v>0</v>
      </c>
      <c r="H165">
        <v>0</v>
      </c>
      <c r="I165">
        <v>0</v>
      </c>
      <c r="J165">
        <v>0</v>
      </c>
      <c r="K165">
        <v>39.816271</v>
      </c>
      <c r="L165">
        <v>4.6530129999999996</v>
      </c>
    </row>
    <row r="166" spans="1:12" x14ac:dyDescent="0.35">
      <c r="A166" s="3">
        <v>202406</v>
      </c>
      <c r="B166">
        <v>335.28167400000001</v>
      </c>
      <c r="C166">
        <v>335.28167400000001</v>
      </c>
      <c r="D166">
        <v>0</v>
      </c>
      <c r="E166">
        <v>1503.5641760000001</v>
      </c>
      <c r="F166">
        <v>158.886506</v>
      </c>
      <c r="G166">
        <v>1.1212150000000001</v>
      </c>
      <c r="H166">
        <v>1.1212150000000001</v>
      </c>
      <c r="I166">
        <v>0</v>
      </c>
      <c r="J166">
        <v>0</v>
      </c>
      <c r="K166">
        <v>28.325109999999999</v>
      </c>
      <c r="L166">
        <v>7.9811509999999997</v>
      </c>
    </row>
    <row r="167" spans="1:12" x14ac:dyDescent="0.35">
      <c r="A167" s="3">
        <v>202407</v>
      </c>
      <c r="B167">
        <v>441.52829700000001</v>
      </c>
      <c r="C167">
        <v>441.52829700000001</v>
      </c>
      <c r="D167">
        <v>0</v>
      </c>
      <c r="E167">
        <v>1652.8187640000001</v>
      </c>
      <c r="F167">
        <v>99.247247000000002</v>
      </c>
      <c r="G167">
        <v>6.5750000000000003E-2</v>
      </c>
      <c r="H167">
        <v>6.5750000000000003E-2</v>
      </c>
      <c r="I167">
        <v>0</v>
      </c>
      <c r="J167">
        <v>0</v>
      </c>
      <c r="K167">
        <v>46.807386999999999</v>
      </c>
      <c r="L167">
        <v>4.8695089999999999</v>
      </c>
    </row>
    <row r="168" spans="1:12" x14ac:dyDescent="0.35">
      <c r="A168" s="3">
        <v>202408</v>
      </c>
      <c r="B168">
        <v>204.90853799999999</v>
      </c>
      <c r="C168">
        <v>204.90853799999999</v>
      </c>
      <c r="D168">
        <v>0</v>
      </c>
      <c r="E168">
        <v>1851.642501</v>
      </c>
      <c r="F168">
        <v>187.61553000000001</v>
      </c>
      <c r="G168">
        <v>7.6132000000000005E-2</v>
      </c>
      <c r="H168">
        <v>7.6132000000000005E-2</v>
      </c>
      <c r="I168">
        <v>0</v>
      </c>
      <c r="J168">
        <v>0</v>
      </c>
      <c r="K168">
        <v>39.385185999999997</v>
      </c>
      <c r="L168">
        <v>6.5072029999999996</v>
      </c>
    </row>
    <row r="169" spans="1:12" x14ac:dyDescent="0.35">
      <c r="A169" s="3">
        <v>202409</v>
      </c>
      <c r="B169">
        <v>341.15268900000001</v>
      </c>
      <c r="C169">
        <v>341.15268900000001</v>
      </c>
      <c r="D169">
        <v>0</v>
      </c>
      <c r="E169">
        <v>1426.51358</v>
      </c>
      <c r="F169">
        <v>109.082461</v>
      </c>
      <c r="G169">
        <v>20.874981999999999</v>
      </c>
      <c r="H169">
        <v>20.874981999999999</v>
      </c>
      <c r="I169">
        <v>0</v>
      </c>
      <c r="J169">
        <v>0</v>
      </c>
      <c r="K169">
        <v>28.511599</v>
      </c>
      <c r="L169">
        <v>7.7040220000000001</v>
      </c>
    </row>
    <row r="170" spans="1:12" x14ac:dyDescent="0.35">
      <c r="A170" s="3">
        <v>202410</v>
      </c>
      <c r="B170">
        <v>622.86994600000003</v>
      </c>
      <c r="C170">
        <v>622.86994600000003</v>
      </c>
      <c r="D170">
        <v>0</v>
      </c>
      <c r="E170">
        <v>1618.4464069999999</v>
      </c>
      <c r="F170">
        <v>129.20767599999999</v>
      </c>
      <c r="G170">
        <v>21.433191999999998</v>
      </c>
      <c r="H170">
        <v>21.433191999999998</v>
      </c>
      <c r="I170">
        <v>0</v>
      </c>
      <c r="J170">
        <v>0</v>
      </c>
      <c r="K170">
        <v>32.973441000000001</v>
      </c>
      <c r="L170">
        <v>11.372202</v>
      </c>
    </row>
    <row r="171" spans="1:12" x14ac:dyDescent="0.35">
      <c r="A171" s="3">
        <v>202411</v>
      </c>
      <c r="B171">
        <v>304.76747906000003</v>
      </c>
      <c r="C171">
        <v>304.76747906000003</v>
      </c>
      <c r="D171">
        <v>0</v>
      </c>
      <c r="E171">
        <v>1609.5021380000001</v>
      </c>
      <c r="F171">
        <v>74.785197999999994</v>
      </c>
      <c r="G171">
        <v>14.465847</v>
      </c>
      <c r="H171">
        <v>14.465847</v>
      </c>
      <c r="I171">
        <v>0</v>
      </c>
      <c r="J171">
        <v>0</v>
      </c>
      <c r="K171">
        <v>27.199655</v>
      </c>
      <c r="L171">
        <v>4.5330050000000002</v>
      </c>
    </row>
    <row r="172" spans="1:12" x14ac:dyDescent="0.35">
      <c r="A172" s="3">
        <v>202412</v>
      </c>
      <c r="B172">
        <v>870.17263500000001</v>
      </c>
      <c r="C172">
        <v>870.17263500000001</v>
      </c>
      <c r="D172">
        <v>0</v>
      </c>
      <c r="E172">
        <v>1881.3919289999999</v>
      </c>
      <c r="F172">
        <v>116.297258</v>
      </c>
      <c r="G172">
        <v>85.343742000000006</v>
      </c>
      <c r="H172">
        <v>85.343742000000006</v>
      </c>
      <c r="I172">
        <v>0</v>
      </c>
      <c r="J172">
        <v>0</v>
      </c>
      <c r="K172">
        <v>31.571850000000001</v>
      </c>
      <c r="L172">
        <v>6.1907360000000002</v>
      </c>
    </row>
    <row r="173" spans="1:12" x14ac:dyDescent="0.35">
      <c r="A173" s="3">
        <v>202501</v>
      </c>
      <c r="B173">
        <v>263.63849699999997</v>
      </c>
      <c r="C173">
        <v>1617.4132910000001</v>
      </c>
      <c r="D173">
        <v>68.066543999999993</v>
      </c>
      <c r="E173">
        <v>263.63849699999997</v>
      </c>
      <c r="F173">
        <v>0</v>
      </c>
      <c r="G173">
        <v>11.047093</v>
      </c>
      <c r="H173">
        <v>11.047093</v>
      </c>
      <c r="I173">
        <v>33.205348999999998</v>
      </c>
      <c r="J173">
        <v>14.78875</v>
      </c>
      <c r="K173">
        <v>11.047093</v>
      </c>
      <c r="L173">
        <v>0</v>
      </c>
    </row>
    <row r="174" spans="1:12" x14ac:dyDescent="0.35">
      <c r="A174" s="3">
        <v>202502</v>
      </c>
      <c r="B174">
        <v>208.379278</v>
      </c>
      <c r="C174">
        <v>208.379278</v>
      </c>
      <c r="D174">
        <v>0</v>
      </c>
      <c r="E174">
        <v>1507.643669</v>
      </c>
      <c r="F174">
        <v>146.35636</v>
      </c>
      <c r="G174">
        <v>0</v>
      </c>
      <c r="H174">
        <v>5.0715519999999996</v>
      </c>
      <c r="I174">
        <v>5.0715519999999996</v>
      </c>
      <c r="J174">
        <v>0</v>
      </c>
      <c r="K174">
        <v>5.0715519999999996</v>
      </c>
      <c r="L174">
        <v>27.862517</v>
      </c>
    </row>
    <row r="175" spans="1:12" x14ac:dyDescent="0.35">
      <c r="A175" s="3">
        <v>202503</v>
      </c>
      <c r="B175">
        <v>273.87384100000003</v>
      </c>
      <c r="C175">
        <v>1769.1864430000001</v>
      </c>
      <c r="D175">
        <v>109.179233</v>
      </c>
      <c r="E175">
        <v>273.87384100000003</v>
      </c>
      <c r="F175">
        <v>0</v>
      </c>
      <c r="G175">
        <v>0</v>
      </c>
      <c r="H175">
        <v>0</v>
      </c>
      <c r="I175">
        <v>12.033821</v>
      </c>
      <c r="J175">
        <v>29.301089999999999</v>
      </c>
      <c r="K175">
        <v>0</v>
      </c>
      <c r="L175">
        <v>12.033821</v>
      </c>
    </row>
    <row r="176" spans="1:12" x14ac:dyDescent="0.35">
      <c r="A176" s="3">
        <v>202504</v>
      </c>
      <c r="B176">
        <v>514.98058500000002</v>
      </c>
      <c r="C176">
        <v>489.32339400000001</v>
      </c>
      <c r="D176">
        <v>25.657191000000001</v>
      </c>
      <c r="E176">
        <v>1689.710517</v>
      </c>
      <c r="F176">
        <v>114.507682</v>
      </c>
      <c r="G176">
        <v>14.439177000000001</v>
      </c>
      <c r="H176">
        <v>14.439177000000001</v>
      </c>
      <c r="I176">
        <v>0</v>
      </c>
      <c r="J176">
        <v>0</v>
      </c>
      <c r="K176">
        <v>26.994485999999998</v>
      </c>
      <c r="L176">
        <v>19.838591999999998</v>
      </c>
    </row>
    <row r="177" spans="1:12" x14ac:dyDescent="0.35">
      <c r="A177" s="3">
        <v>202505</v>
      </c>
      <c r="B177">
        <v>593.80550600000004</v>
      </c>
      <c r="C177">
        <v>593.80550600000004</v>
      </c>
      <c r="D177">
        <v>0</v>
      </c>
      <c r="E177">
        <v>1691.717155</v>
      </c>
      <c r="F177">
        <v>101.65319100000001</v>
      </c>
      <c r="G177">
        <v>23.647839000000001</v>
      </c>
      <c r="H177">
        <v>23.647839000000001</v>
      </c>
      <c r="I177">
        <v>0</v>
      </c>
      <c r="J177">
        <v>0</v>
      </c>
      <c r="K177">
        <v>25.702511000000001</v>
      </c>
      <c r="L177">
        <v>14.547593000000001</v>
      </c>
    </row>
    <row r="178" spans="1:12" x14ac:dyDescent="0.35">
      <c r="A178" s="3">
        <v>202506</v>
      </c>
      <c r="B178">
        <v>466.24125299999997</v>
      </c>
      <c r="C178">
        <v>466.24125299999997</v>
      </c>
      <c r="D178">
        <v>0</v>
      </c>
      <c r="E178">
        <v>1528.2335290000001</v>
      </c>
      <c r="F178">
        <v>132.00827799999999</v>
      </c>
      <c r="G178">
        <v>8.0818949999999994</v>
      </c>
      <c r="H178">
        <v>8.0818949999999994</v>
      </c>
      <c r="I178">
        <v>0</v>
      </c>
      <c r="J178">
        <v>0</v>
      </c>
      <c r="K178">
        <v>32.616675000000001</v>
      </c>
      <c r="L178">
        <v>20.976247999999998</v>
      </c>
    </row>
    <row r="179" spans="1:12" x14ac:dyDescent="0.35">
      <c r="A179" s="3">
        <v>202507</v>
      </c>
      <c r="B179">
        <v>361.359781</v>
      </c>
      <c r="C179">
        <v>361.359781</v>
      </c>
      <c r="D179">
        <v>0</v>
      </c>
      <c r="E179">
        <v>1803.22883</v>
      </c>
      <c r="F179">
        <v>104.942268</v>
      </c>
      <c r="G179">
        <v>33.28463</v>
      </c>
      <c r="H179">
        <v>33.28463</v>
      </c>
      <c r="I179">
        <v>0</v>
      </c>
      <c r="J179">
        <v>0</v>
      </c>
      <c r="K179">
        <v>41.334667000000003</v>
      </c>
      <c r="L179">
        <v>17.474626000000001</v>
      </c>
    </row>
    <row r="180" spans="1:12" x14ac:dyDescent="0.35">
      <c r="A180" s="2" t="s">
        <v>22</v>
      </c>
      <c r="B180">
        <v>5907.5754359999992</v>
      </c>
      <c r="C180">
        <v>7731.5124589999987</v>
      </c>
      <c r="D180">
        <v>56.766098</v>
      </c>
      <c r="E180">
        <v>33729.475095000002</v>
      </c>
      <c r="F180">
        <v>1113.8418449999999</v>
      </c>
      <c r="G180">
        <v>467.19260600000001</v>
      </c>
      <c r="H180">
        <v>478.41790700000001</v>
      </c>
      <c r="I180">
        <v>69.208148999999992</v>
      </c>
      <c r="J180">
        <v>58.859430000000003</v>
      </c>
      <c r="K180">
        <v>1548.9401710000002</v>
      </c>
      <c r="L180">
        <v>846.4311019999999</v>
      </c>
    </row>
    <row r="181" spans="1:12" x14ac:dyDescent="0.35">
      <c r="A181" s="3">
        <v>202201</v>
      </c>
      <c r="B181">
        <v>117.385671</v>
      </c>
      <c r="C181">
        <v>117.385671</v>
      </c>
      <c r="D181">
        <v>0</v>
      </c>
      <c r="E181">
        <v>555.77741000000003</v>
      </c>
      <c r="F181">
        <v>8.9664249999999992</v>
      </c>
      <c r="G181">
        <v>0</v>
      </c>
      <c r="H181">
        <v>0</v>
      </c>
      <c r="I181">
        <v>0</v>
      </c>
      <c r="J181">
        <v>0</v>
      </c>
      <c r="K181">
        <v>20.442299999999999</v>
      </c>
      <c r="L181">
        <v>13.980314999999999</v>
      </c>
    </row>
    <row r="182" spans="1:12" x14ac:dyDescent="0.35">
      <c r="A182" s="3">
        <v>202202</v>
      </c>
      <c r="B182">
        <v>109.56813699999999</v>
      </c>
      <c r="C182">
        <v>109.56813699999999</v>
      </c>
      <c r="D182">
        <v>0</v>
      </c>
      <c r="E182">
        <v>638.99021500000003</v>
      </c>
      <c r="F182">
        <v>16.065818</v>
      </c>
      <c r="G182">
        <v>0</v>
      </c>
      <c r="H182">
        <v>0</v>
      </c>
      <c r="I182">
        <v>0</v>
      </c>
      <c r="J182">
        <v>0</v>
      </c>
      <c r="K182">
        <v>18.683752999999999</v>
      </c>
      <c r="L182">
        <v>17.954927000000001</v>
      </c>
    </row>
    <row r="183" spans="1:12" x14ac:dyDescent="0.35">
      <c r="A183" s="3">
        <v>202203</v>
      </c>
      <c r="B183">
        <v>43.485616999999998</v>
      </c>
      <c r="C183">
        <v>43.406804000000001</v>
      </c>
      <c r="D183">
        <v>2.4899999999999998E-4</v>
      </c>
      <c r="E183">
        <v>665.16825600000004</v>
      </c>
      <c r="F183">
        <v>15.078037</v>
      </c>
      <c r="G183">
        <v>0</v>
      </c>
      <c r="H183">
        <v>0</v>
      </c>
      <c r="I183">
        <v>0</v>
      </c>
      <c r="J183">
        <v>0</v>
      </c>
      <c r="K183">
        <v>20.548214000000002</v>
      </c>
      <c r="L183">
        <v>18.516559000000001</v>
      </c>
    </row>
    <row r="184" spans="1:12" x14ac:dyDescent="0.35">
      <c r="A184" s="3">
        <v>202204</v>
      </c>
      <c r="B184">
        <v>275.50389899999999</v>
      </c>
      <c r="C184">
        <v>275.50389799999999</v>
      </c>
      <c r="D184">
        <v>0</v>
      </c>
      <c r="E184">
        <v>590.55893600000002</v>
      </c>
      <c r="F184">
        <v>24.722517</v>
      </c>
      <c r="G184">
        <v>0</v>
      </c>
      <c r="H184">
        <v>0</v>
      </c>
      <c r="I184">
        <v>0</v>
      </c>
      <c r="J184">
        <v>0</v>
      </c>
      <c r="K184">
        <v>17.42191</v>
      </c>
      <c r="L184">
        <v>13.930595</v>
      </c>
    </row>
    <row r="185" spans="1:12" x14ac:dyDescent="0.35">
      <c r="A185" s="3">
        <v>202205</v>
      </c>
      <c r="B185">
        <v>118.251982</v>
      </c>
      <c r="C185">
        <v>118.251982</v>
      </c>
      <c r="D185">
        <v>0</v>
      </c>
      <c r="E185">
        <v>551.23173399999996</v>
      </c>
      <c r="F185">
        <v>13.35679</v>
      </c>
      <c r="G185">
        <v>0</v>
      </c>
      <c r="H185">
        <v>0</v>
      </c>
      <c r="I185">
        <v>0</v>
      </c>
      <c r="J185">
        <v>0</v>
      </c>
      <c r="K185">
        <v>19.864917999999999</v>
      </c>
      <c r="L185">
        <v>32.066698000000002</v>
      </c>
    </row>
    <row r="186" spans="1:12" x14ac:dyDescent="0.35">
      <c r="A186" s="3">
        <v>202206</v>
      </c>
      <c r="B186">
        <v>81.941416000000004</v>
      </c>
      <c r="C186">
        <v>81.941416000000004</v>
      </c>
      <c r="D186">
        <v>0</v>
      </c>
      <c r="E186">
        <v>781.943622</v>
      </c>
      <c r="F186">
        <v>6.4830259999999997</v>
      </c>
      <c r="G186">
        <v>0</v>
      </c>
      <c r="H186">
        <v>0</v>
      </c>
      <c r="I186">
        <v>0</v>
      </c>
      <c r="J186">
        <v>0</v>
      </c>
      <c r="K186">
        <v>23.995514</v>
      </c>
      <c r="L186">
        <v>8.7536699999999996</v>
      </c>
    </row>
    <row r="187" spans="1:12" x14ac:dyDescent="0.35">
      <c r="A187" s="3">
        <v>202207</v>
      </c>
      <c r="B187">
        <v>705.92013599999996</v>
      </c>
      <c r="C187">
        <v>705.92013599999996</v>
      </c>
      <c r="D187">
        <v>0</v>
      </c>
      <c r="E187">
        <v>612.09703100000002</v>
      </c>
      <c r="F187">
        <v>24.326698</v>
      </c>
      <c r="G187">
        <v>0</v>
      </c>
      <c r="H187">
        <v>0</v>
      </c>
      <c r="I187">
        <v>0</v>
      </c>
      <c r="J187">
        <v>0</v>
      </c>
      <c r="K187">
        <v>19.718271999999999</v>
      </c>
      <c r="L187">
        <v>14.079814000000001</v>
      </c>
    </row>
    <row r="188" spans="1:12" x14ac:dyDescent="0.35">
      <c r="A188" s="3">
        <v>202208</v>
      </c>
      <c r="B188">
        <v>430.10296199999999</v>
      </c>
      <c r="C188">
        <v>430.10296199999999</v>
      </c>
      <c r="D188">
        <v>0</v>
      </c>
      <c r="E188">
        <v>594.25620300000003</v>
      </c>
      <c r="F188">
        <v>24.494636</v>
      </c>
      <c r="G188">
        <v>0</v>
      </c>
      <c r="H188">
        <v>0</v>
      </c>
      <c r="I188">
        <v>0</v>
      </c>
      <c r="J188">
        <v>0</v>
      </c>
      <c r="K188">
        <v>21.684003000000001</v>
      </c>
      <c r="L188">
        <v>28.272258999999998</v>
      </c>
    </row>
    <row r="189" spans="1:12" x14ac:dyDescent="0.35">
      <c r="A189" s="3">
        <v>202209</v>
      </c>
      <c r="B189">
        <v>81.225328000000005</v>
      </c>
      <c r="C189">
        <v>81.225328000000005</v>
      </c>
      <c r="D189">
        <v>0</v>
      </c>
      <c r="E189">
        <v>768.38637100000005</v>
      </c>
      <c r="F189">
        <v>15.479869000000001</v>
      </c>
      <c r="G189">
        <v>0</v>
      </c>
      <c r="H189">
        <v>0</v>
      </c>
      <c r="I189">
        <v>0</v>
      </c>
      <c r="J189">
        <v>0</v>
      </c>
      <c r="K189">
        <v>17.706699</v>
      </c>
      <c r="L189">
        <v>11.697761</v>
      </c>
    </row>
    <row r="190" spans="1:12" x14ac:dyDescent="0.35">
      <c r="A190" s="3">
        <v>202210</v>
      </c>
      <c r="B190">
        <v>44.293137000000002</v>
      </c>
      <c r="C190">
        <v>44.293137000000002</v>
      </c>
      <c r="D190">
        <v>0</v>
      </c>
      <c r="E190">
        <v>649.11315100000002</v>
      </c>
      <c r="F190">
        <v>14.412656999999999</v>
      </c>
      <c r="G190">
        <v>0</v>
      </c>
      <c r="H190">
        <v>0</v>
      </c>
      <c r="I190">
        <v>0</v>
      </c>
      <c r="J190">
        <v>0</v>
      </c>
      <c r="K190">
        <v>21.561847</v>
      </c>
      <c r="L190">
        <v>55.888579999999997</v>
      </c>
    </row>
    <row r="191" spans="1:12" x14ac:dyDescent="0.35">
      <c r="A191" s="3">
        <v>202211</v>
      </c>
      <c r="B191">
        <v>53.804912999999999</v>
      </c>
      <c r="C191">
        <v>53.804912999999999</v>
      </c>
      <c r="D191">
        <v>0</v>
      </c>
      <c r="E191">
        <v>698.00594899999999</v>
      </c>
      <c r="F191">
        <v>31.346530000000001</v>
      </c>
      <c r="G191">
        <v>0</v>
      </c>
      <c r="H191">
        <v>0</v>
      </c>
      <c r="I191">
        <v>0</v>
      </c>
      <c r="J191">
        <v>0</v>
      </c>
      <c r="K191">
        <v>21.160216999999999</v>
      </c>
      <c r="L191">
        <v>19.220828000000001</v>
      </c>
    </row>
    <row r="192" spans="1:12" x14ac:dyDescent="0.35">
      <c r="A192" s="3">
        <v>202212</v>
      </c>
      <c r="B192">
        <v>75.511025000000004</v>
      </c>
      <c r="C192">
        <v>75.511025000000004</v>
      </c>
      <c r="D192">
        <v>0</v>
      </c>
      <c r="E192">
        <v>723.09318699999994</v>
      </c>
      <c r="F192">
        <v>29.450870999999999</v>
      </c>
      <c r="G192">
        <v>0</v>
      </c>
      <c r="H192">
        <v>0</v>
      </c>
      <c r="I192">
        <v>0</v>
      </c>
      <c r="J192">
        <v>0</v>
      </c>
      <c r="K192">
        <v>26.544346000000001</v>
      </c>
      <c r="L192">
        <v>17.227882999999999</v>
      </c>
    </row>
    <row r="193" spans="1:12" x14ac:dyDescent="0.35">
      <c r="A193" s="3">
        <v>202301</v>
      </c>
      <c r="B193">
        <v>45.612161999999998</v>
      </c>
      <c r="C193">
        <v>45.612161999999998</v>
      </c>
      <c r="D193">
        <v>0</v>
      </c>
      <c r="E193">
        <v>663.23881100000006</v>
      </c>
      <c r="F193">
        <v>17.182054000000001</v>
      </c>
      <c r="G193">
        <v>0</v>
      </c>
      <c r="H193">
        <v>0</v>
      </c>
      <c r="I193">
        <v>0</v>
      </c>
      <c r="J193">
        <v>0</v>
      </c>
      <c r="K193">
        <v>27.688186000000002</v>
      </c>
      <c r="L193">
        <v>19.796859000000001</v>
      </c>
    </row>
    <row r="194" spans="1:12" x14ac:dyDescent="0.35">
      <c r="A194" s="3">
        <v>202302</v>
      </c>
      <c r="B194">
        <v>49.085273000000001</v>
      </c>
      <c r="C194">
        <v>49.084584</v>
      </c>
      <c r="D194">
        <v>6.8800000000000003E-4</v>
      </c>
      <c r="E194">
        <v>852.19468600000005</v>
      </c>
      <c r="F194">
        <v>13.245587</v>
      </c>
      <c r="G194">
        <v>0</v>
      </c>
      <c r="H194">
        <v>0</v>
      </c>
      <c r="I194">
        <v>0</v>
      </c>
      <c r="J194">
        <v>0</v>
      </c>
      <c r="K194">
        <v>24.447561</v>
      </c>
      <c r="L194">
        <v>16.655452</v>
      </c>
    </row>
    <row r="195" spans="1:12" x14ac:dyDescent="0.35">
      <c r="A195" s="3">
        <v>202303</v>
      </c>
      <c r="B195">
        <v>37.158051999999998</v>
      </c>
      <c r="C195">
        <v>36.798454999999997</v>
      </c>
      <c r="D195">
        <v>0</v>
      </c>
      <c r="E195">
        <v>720.55395299999998</v>
      </c>
      <c r="F195">
        <v>23.532340000000001</v>
      </c>
      <c r="G195">
        <v>0</v>
      </c>
      <c r="H195">
        <v>0</v>
      </c>
      <c r="I195">
        <v>0</v>
      </c>
      <c r="J195">
        <v>0</v>
      </c>
      <c r="K195">
        <v>25.095198</v>
      </c>
      <c r="L195">
        <v>20.649345</v>
      </c>
    </row>
    <row r="196" spans="1:12" x14ac:dyDescent="0.35">
      <c r="A196" s="3">
        <v>202304</v>
      </c>
      <c r="B196">
        <v>55.899807000000003</v>
      </c>
      <c r="C196">
        <v>55.899807000000003</v>
      </c>
      <c r="D196">
        <v>0</v>
      </c>
      <c r="E196">
        <v>589.31416200000001</v>
      </c>
      <c r="F196">
        <v>23.180001000000001</v>
      </c>
      <c r="G196">
        <v>0</v>
      </c>
      <c r="H196">
        <v>0</v>
      </c>
      <c r="I196">
        <v>0</v>
      </c>
      <c r="J196">
        <v>0</v>
      </c>
      <c r="K196">
        <v>22.134093</v>
      </c>
      <c r="L196">
        <v>16.269570000000002</v>
      </c>
    </row>
    <row r="197" spans="1:12" x14ac:dyDescent="0.35">
      <c r="A197" s="3">
        <v>202305</v>
      </c>
      <c r="B197">
        <v>57.755479999999999</v>
      </c>
      <c r="C197">
        <v>57.755479999999999</v>
      </c>
      <c r="D197">
        <v>0</v>
      </c>
      <c r="E197">
        <v>762.71400400000005</v>
      </c>
      <c r="F197">
        <v>22.811202000000002</v>
      </c>
      <c r="G197">
        <v>0</v>
      </c>
      <c r="H197">
        <v>0</v>
      </c>
      <c r="I197">
        <v>0</v>
      </c>
      <c r="J197">
        <v>0</v>
      </c>
      <c r="K197">
        <v>35.300691</v>
      </c>
      <c r="L197">
        <v>14.485875999999999</v>
      </c>
    </row>
    <row r="198" spans="1:12" x14ac:dyDescent="0.35">
      <c r="A198" s="3">
        <v>202306</v>
      </c>
      <c r="B198">
        <v>115.619913</v>
      </c>
      <c r="C198">
        <v>115.619913</v>
      </c>
      <c r="D198">
        <v>0</v>
      </c>
      <c r="E198">
        <v>935.19856000000004</v>
      </c>
      <c r="F198">
        <v>43.52037</v>
      </c>
      <c r="G198">
        <v>0</v>
      </c>
      <c r="H198">
        <v>0</v>
      </c>
      <c r="I198">
        <v>0</v>
      </c>
      <c r="J198">
        <v>0</v>
      </c>
      <c r="K198">
        <v>46.173515000000002</v>
      </c>
      <c r="L198">
        <v>33.010478999999997</v>
      </c>
    </row>
    <row r="199" spans="1:12" x14ac:dyDescent="0.35">
      <c r="A199" s="3">
        <v>202307</v>
      </c>
      <c r="B199">
        <v>78.690799999999996</v>
      </c>
      <c r="C199">
        <v>78.690630999999996</v>
      </c>
      <c r="D199">
        <v>1.6899999999999999E-4</v>
      </c>
      <c r="E199">
        <v>732.25103100000001</v>
      </c>
      <c r="F199">
        <v>13.72406</v>
      </c>
      <c r="G199">
        <v>0</v>
      </c>
      <c r="H199">
        <v>0</v>
      </c>
      <c r="I199">
        <v>0</v>
      </c>
      <c r="J199">
        <v>0</v>
      </c>
      <c r="K199">
        <v>44.577601000000001</v>
      </c>
      <c r="L199">
        <v>18.615715000000002</v>
      </c>
    </row>
    <row r="200" spans="1:12" x14ac:dyDescent="0.35">
      <c r="A200" s="3">
        <v>202308</v>
      </c>
      <c r="B200">
        <v>56.780574000000001</v>
      </c>
      <c r="C200">
        <v>56.780574000000001</v>
      </c>
      <c r="D200">
        <v>0</v>
      </c>
      <c r="E200">
        <v>783.60030600000005</v>
      </c>
      <c r="F200">
        <v>18.470625999999999</v>
      </c>
      <c r="G200">
        <v>0</v>
      </c>
      <c r="H200">
        <v>0</v>
      </c>
      <c r="I200">
        <v>0</v>
      </c>
      <c r="J200">
        <v>0</v>
      </c>
      <c r="K200">
        <v>46.582675999999999</v>
      </c>
      <c r="L200">
        <v>16.894138000000002</v>
      </c>
    </row>
    <row r="201" spans="1:12" x14ac:dyDescent="0.35">
      <c r="A201" s="3">
        <v>202309</v>
      </c>
      <c r="B201">
        <v>99.412239999999997</v>
      </c>
      <c r="C201">
        <v>99.412137000000001</v>
      </c>
      <c r="D201">
        <v>1.03E-4</v>
      </c>
      <c r="E201">
        <v>779.41916200000003</v>
      </c>
      <c r="F201">
        <v>38.745401999999999</v>
      </c>
      <c r="G201">
        <v>0</v>
      </c>
      <c r="H201">
        <v>0</v>
      </c>
      <c r="I201">
        <v>0</v>
      </c>
      <c r="J201">
        <v>0</v>
      </c>
      <c r="K201">
        <v>49.365851999999997</v>
      </c>
      <c r="L201">
        <v>18.115738</v>
      </c>
    </row>
    <row r="202" spans="1:12" x14ac:dyDescent="0.35">
      <c r="A202" s="3">
        <v>202310</v>
      </c>
      <c r="B202">
        <v>107.011306</v>
      </c>
      <c r="C202">
        <v>106.99315900000001</v>
      </c>
      <c r="D202">
        <v>1.8147E-2</v>
      </c>
      <c r="E202">
        <v>738.774855</v>
      </c>
      <c r="F202">
        <v>29.575887000000002</v>
      </c>
      <c r="G202">
        <v>0</v>
      </c>
      <c r="H202">
        <v>0</v>
      </c>
      <c r="I202">
        <v>0</v>
      </c>
      <c r="J202">
        <v>0</v>
      </c>
      <c r="K202">
        <v>49.342928000000001</v>
      </c>
      <c r="L202">
        <v>20.105692000000001</v>
      </c>
    </row>
    <row r="203" spans="1:12" x14ac:dyDescent="0.35">
      <c r="A203" s="3">
        <v>202311</v>
      </c>
      <c r="B203">
        <v>114.865165</v>
      </c>
      <c r="C203">
        <v>114.865165</v>
      </c>
      <c r="D203">
        <v>0</v>
      </c>
      <c r="E203">
        <v>884.46882100000005</v>
      </c>
      <c r="F203">
        <v>28.851562999999999</v>
      </c>
      <c r="G203">
        <v>0</v>
      </c>
      <c r="H203">
        <v>0</v>
      </c>
      <c r="I203">
        <v>0</v>
      </c>
      <c r="J203">
        <v>0</v>
      </c>
      <c r="K203">
        <v>48.703305</v>
      </c>
      <c r="L203">
        <v>19.714801999999999</v>
      </c>
    </row>
    <row r="204" spans="1:12" x14ac:dyDescent="0.35">
      <c r="A204" s="3">
        <v>202312</v>
      </c>
      <c r="B204">
        <v>298.92755399999999</v>
      </c>
      <c r="C204">
        <v>298.92755399999999</v>
      </c>
      <c r="D204">
        <v>0</v>
      </c>
      <c r="E204">
        <v>864.96078199999999</v>
      </c>
      <c r="F204">
        <v>16.867308999999999</v>
      </c>
      <c r="G204">
        <v>0</v>
      </c>
      <c r="H204">
        <v>0</v>
      </c>
      <c r="I204">
        <v>0</v>
      </c>
      <c r="J204">
        <v>0</v>
      </c>
      <c r="K204">
        <v>51.469386</v>
      </c>
      <c r="L204">
        <v>15.326344000000001</v>
      </c>
    </row>
    <row r="205" spans="1:12" x14ac:dyDescent="0.35">
      <c r="A205" s="3">
        <v>202401</v>
      </c>
      <c r="B205">
        <v>213.897786</v>
      </c>
      <c r="C205">
        <v>213.896298</v>
      </c>
      <c r="D205">
        <v>1.488E-3</v>
      </c>
      <c r="E205">
        <v>1016.904723</v>
      </c>
      <c r="F205">
        <v>47.470913000000003</v>
      </c>
      <c r="G205">
        <v>0</v>
      </c>
      <c r="H205">
        <v>0</v>
      </c>
      <c r="I205">
        <v>0</v>
      </c>
      <c r="J205">
        <v>0</v>
      </c>
      <c r="K205">
        <v>73.691646000000006</v>
      </c>
      <c r="L205">
        <v>17.054880000000001</v>
      </c>
    </row>
    <row r="206" spans="1:12" x14ac:dyDescent="0.35">
      <c r="A206" s="3">
        <v>202402</v>
      </c>
      <c r="B206">
        <v>60.538552000000003</v>
      </c>
      <c r="C206">
        <v>60.538552000000003</v>
      </c>
      <c r="D206">
        <v>0</v>
      </c>
      <c r="E206">
        <v>958.41364199999998</v>
      </c>
      <c r="F206">
        <v>28.138252999999999</v>
      </c>
      <c r="G206">
        <v>0</v>
      </c>
      <c r="H206">
        <v>0</v>
      </c>
      <c r="I206">
        <v>0</v>
      </c>
      <c r="J206">
        <v>0</v>
      </c>
      <c r="K206">
        <v>39.705703999999997</v>
      </c>
      <c r="L206">
        <v>19.140671000000001</v>
      </c>
    </row>
    <row r="207" spans="1:12" x14ac:dyDescent="0.35">
      <c r="A207" s="3">
        <v>202403</v>
      </c>
      <c r="B207">
        <v>454.00895400000002</v>
      </c>
      <c r="C207">
        <v>452.96628099999998</v>
      </c>
      <c r="D207">
        <v>0</v>
      </c>
      <c r="E207">
        <v>889.30512199999998</v>
      </c>
      <c r="F207">
        <v>32.939298000000001</v>
      </c>
      <c r="G207">
        <v>0</v>
      </c>
      <c r="H207">
        <v>0</v>
      </c>
      <c r="I207">
        <v>0</v>
      </c>
      <c r="J207">
        <v>0</v>
      </c>
      <c r="K207">
        <v>35.823486000000003</v>
      </c>
      <c r="L207">
        <v>17.370526999999999</v>
      </c>
    </row>
    <row r="208" spans="1:12" x14ac:dyDescent="0.35">
      <c r="A208" s="3">
        <v>202404</v>
      </c>
      <c r="B208">
        <v>47.585062999999998</v>
      </c>
      <c r="C208">
        <v>47.585062999999998</v>
      </c>
      <c r="D208">
        <v>0</v>
      </c>
      <c r="E208">
        <v>963.17774099999997</v>
      </c>
      <c r="F208">
        <v>33.774914000000003</v>
      </c>
      <c r="G208">
        <v>0</v>
      </c>
      <c r="H208">
        <v>0</v>
      </c>
      <c r="I208">
        <v>0</v>
      </c>
      <c r="J208">
        <v>0</v>
      </c>
      <c r="K208">
        <v>54.680725000000002</v>
      </c>
      <c r="L208">
        <v>17.466248</v>
      </c>
    </row>
    <row r="209" spans="1:12" x14ac:dyDescent="0.35">
      <c r="A209" s="3">
        <v>202405</v>
      </c>
      <c r="B209">
        <v>63.146780999999997</v>
      </c>
      <c r="C209">
        <v>63.146749999999997</v>
      </c>
      <c r="D209">
        <v>0</v>
      </c>
      <c r="E209">
        <v>893.14646900000002</v>
      </c>
      <c r="F209">
        <v>40.844470999999999</v>
      </c>
      <c r="G209">
        <v>0</v>
      </c>
      <c r="H209">
        <v>0</v>
      </c>
      <c r="I209">
        <v>0</v>
      </c>
      <c r="J209">
        <v>0</v>
      </c>
      <c r="K209">
        <v>56.633844000000003</v>
      </c>
      <c r="L209">
        <v>23.980117</v>
      </c>
    </row>
    <row r="210" spans="1:12" x14ac:dyDescent="0.35">
      <c r="A210" s="3">
        <v>202406</v>
      </c>
      <c r="B210">
        <v>581.42676500000005</v>
      </c>
      <c r="C210">
        <v>581.42616599999997</v>
      </c>
      <c r="D210">
        <v>5.9900000000000003E-4</v>
      </c>
      <c r="E210">
        <v>924.20748400000002</v>
      </c>
      <c r="F210">
        <v>35.490093999999999</v>
      </c>
      <c r="G210">
        <v>0</v>
      </c>
      <c r="H210">
        <v>0</v>
      </c>
      <c r="I210">
        <v>0</v>
      </c>
      <c r="J210">
        <v>0</v>
      </c>
      <c r="K210">
        <v>46.442847</v>
      </c>
      <c r="L210">
        <v>15.300182</v>
      </c>
    </row>
    <row r="211" spans="1:12" x14ac:dyDescent="0.35">
      <c r="A211" s="3">
        <v>202407</v>
      </c>
      <c r="B211">
        <v>82.801629000000005</v>
      </c>
      <c r="C211">
        <v>82.801625000000001</v>
      </c>
      <c r="D211">
        <v>3.9999999999999998E-6</v>
      </c>
      <c r="E211">
        <v>998.69809699999996</v>
      </c>
      <c r="F211">
        <v>48.724806000000001</v>
      </c>
      <c r="G211">
        <v>0</v>
      </c>
      <c r="H211">
        <v>0</v>
      </c>
      <c r="I211">
        <v>0</v>
      </c>
      <c r="J211">
        <v>0</v>
      </c>
      <c r="K211">
        <v>48.530498000000001</v>
      </c>
      <c r="L211">
        <v>19.744024</v>
      </c>
    </row>
    <row r="212" spans="1:12" x14ac:dyDescent="0.35">
      <c r="A212" s="3">
        <v>202408</v>
      </c>
      <c r="B212">
        <v>153.16426300000001</v>
      </c>
      <c r="C212">
        <v>153.16426300000001</v>
      </c>
      <c r="D212">
        <v>0</v>
      </c>
      <c r="E212">
        <v>940.26172899999995</v>
      </c>
      <c r="F212">
        <v>43.133288</v>
      </c>
      <c r="G212">
        <v>5.9964329999999997</v>
      </c>
      <c r="H212">
        <v>5.9964320000000004</v>
      </c>
      <c r="I212">
        <v>9.9999999999999995E-7</v>
      </c>
      <c r="J212">
        <v>0</v>
      </c>
      <c r="K212">
        <v>45.308120000000002</v>
      </c>
      <c r="L212">
        <v>18.636126999999998</v>
      </c>
    </row>
    <row r="213" spans="1:12" x14ac:dyDescent="0.35">
      <c r="A213" s="3">
        <v>202409</v>
      </c>
      <c r="B213">
        <v>62.211691000000002</v>
      </c>
      <c r="C213">
        <v>62.211691000000002</v>
      </c>
      <c r="D213">
        <v>0</v>
      </c>
      <c r="E213">
        <v>936.85188700000003</v>
      </c>
      <c r="F213">
        <v>21.920373999999999</v>
      </c>
      <c r="G213">
        <v>5.0975149999999996</v>
      </c>
      <c r="H213">
        <v>5.0975149999999996</v>
      </c>
      <c r="I213">
        <v>0</v>
      </c>
      <c r="J213">
        <v>0</v>
      </c>
      <c r="K213">
        <v>43.157698000000003</v>
      </c>
      <c r="L213">
        <v>20.234334</v>
      </c>
    </row>
    <row r="214" spans="1:12" x14ac:dyDescent="0.35">
      <c r="A214" s="3">
        <v>202410</v>
      </c>
      <c r="B214">
        <v>118.333258</v>
      </c>
      <c r="C214">
        <v>118.332178</v>
      </c>
      <c r="D214">
        <v>1.08E-3</v>
      </c>
      <c r="E214">
        <v>976.14437699999996</v>
      </c>
      <c r="F214">
        <v>38.515272000000003</v>
      </c>
      <c r="G214">
        <v>9.1558679999999999</v>
      </c>
      <c r="H214">
        <v>9.1558679999999999</v>
      </c>
      <c r="I214">
        <v>0</v>
      </c>
      <c r="J214">
        <v>0</v>
      </c>
      <c r="K214">
        <v>39.501359000000001</v>
      </c>
      <c r="L214">
        <v>27.586465</v>
      </c>
    </row>
    <row r="215" spans="1:12" x14ac:dyDescent="0.35">
      <c r="A215" s="3">
        <v>202411</v>
      </c>
      <c r="B215">
        <v>59.265878000000001</v>
      </c>
      <c r="C215">
        <v>59.237071</v>
      </c>
      <c r="D215">
        <v>2.8806999999999999E-2</v>
      </c>
      <c r="E215">
        <v>912.79748199999995</v>
      </c>
      <c r="F215">
        <v>29.995705999999998</v>
      </c>
      <c r="G215">
        <v>4.1528039999999997</v>
      </c>
      <c r="H215">
        <v>4.1528039999999997</v>
      </c>
      <c r="I215">
        <v>0</v>
      </c>
      <c r="J215">
        <v>0</v>
      </c>
      <c r="K215">
        <v>44.367347000000002</v>
      </c>
      <c r="L215">
        <v>18.079401000000001</v>
      </c>
    </row>
    <row r="216" spans="1:12" x14ac:dyDescent="0.35">
      <c r="A216" s="3">
        <v>202412</v>
      </c>
      <c r="B216">
        <v>224.84819400000001</v>
      </c>
      <c r="C216">
        <v>222.949681</v>
      </c>
      <c r="D216">
        <v>1.8985129999999999</v>
      </c>
      <c r="E216">
        <v>957.46179199999995</v>
      </c>
      <c r="F216">
        <v>38.174551999999998</v>
      </c>
      <c r="G216">
        <v>15.587453999999999</v>
      </c>
      <c r="H216">
        <v>15.587453999999999</v>
      </c>
      <c r="I216">
        <v>0</v>
      </c>
      <c r="J216">
        <v>0</v>
      </c>
      <c r="K216">
        <v>53.390529999999998</v>
      </c>
      <c r="L216">
        <v>22.99417</v>
      </c>
    </row>
    <row r="217" spans="1:12" x14ac:dyDescent="0.35">
      <c r="A217" s="3">
        <v>202501</v>
      </c>
      <c r="B217">
        <v>77.270268000000002</v>
      </c>
      <c r="C217">
        <v>996.61688200000003</v>
      </c>
      <c r="D217">
        <v>29.997869000000001</v>
      </c>
      <c r="E217">
        <v>77.270268000000002</v>
      </c>
      <c r="F217">
        <v>0</v>
      </c>
      <c r="G217">
        <v>15.147319</v>
      </c>
      <c r="H217">
        <v>15.147319</v>
      </c>
      <c r="I217">
        <v>49.846539999999997</v>
      </c>
      <c r="J217">
        <v>17.743579</v>
      </c>
      <c r="K217">
        <v>15.147319</v>
      </c>
      <c r="L217">
        <v>0</v>
      </c>
    </row>
    <row r="218" spans="1:12" x14ac:dyDescent="0.35">
      <c r="A218" s="3">
        <v>202502</v>
      </c>
      <c r="B218">
        <v>89.442272000000003</v>
      </c>
      <c r="C218">
        <v>88.109172999999998</v>
      </c>
      <c r="D218">
        <v>1.333099</v>
      </c>
      <c r="E218">
        <v>1014.235015</v>
      </c>
      <c r="F218">
        <v>38.481631</v>
      </c>
      <c r="G218">
        <v>0</v>
      </c>
      <c r="H218">
        <v>11.225360999999999</v>
      </c>
      <c r="I218">
        <v>11.225360999999999</v>
      </c>
      <c r="J218">
        <v>0</v>
      </c>
      <c r="K218">
        <v>11.225360999999999</v>
      </c>
      <c r="L218">
        <v>43.032280999999998</v>
      </c>
    </row>
    <row r="219" spans="1:12" x14ac:dyDescent="0.35">
      <c r="A219" s="3">
        <v>202503</v>
      </c>
      <c r="B219">
        <v>85.223957999999996</v>
      </c>
      <c r="C219">
        <v>997.18435899999997</v>
      </c>
      <c r="D219">
        <v>20.879104000000002</v>
      </c>
      <c r="E219">
        <v>85.223957999999996</v>
      </c>
      <c r="F219">
        <v>0</v>
      </c>
      <c r="G219">
        <v>1.2999999999999999E-5</v>
      </c>
      <c r="H219">
        <v>0</v>
      </c>
      <c r="I219">
        <v>8.1362469999999991</v>
      </c>
      <c r="J219">
        <v>41.115805000000002</v>
      </c>
      <c r="K219">
        <v>0</v>
      </c>
      <c r="L219">
        <v>8.136234</v>
      </c>
    </row>
    <row r="220" spans="1:12" x14ac:dyDescent="0.35">
      <c r="A220" s="3">
        <v>202504</v>
      </c>
      <c r="B220">
        <v>79.531530000000004</v>
      </c>
      <c r="C220">
        <v>79.531530000000004</v>
      </c>
      <c r="D220">
        <v>0</v>
      </c>
      <c r="E220">
        <v>978.64556000000005</v>
      </c>
      <c r="F220">
        <v>23.060995999999999</v>
      </c>
      <c r="G220">
        <v>374.70112699999999</v>
      </c>
      <c r="H220">
        <v>374.70110899999997</v>
      </c>
      <c r="I220">
        <v>0</v>
      </c>
      <c r="J220">
        <v>1.8E-5</v>
      </c>
      <c r="K220">
        <v>47.074452999999998</v>
      </c>
      <c r="L220">
        <v>15.763311</v>
      </c>
    </row>
    <row r="221" spans="1:12" x14ac:dyDescent="0.35">
      <c r="A221" s="3">
        <v>202505</v>
      </c>
      <c r="B221">
        <v>65.987590999999995</v>
      </c>
      <c r="C221">
        <v>65.987590999999995</v>
      </c>
      <c r="D221">
        <v>0</v>
      </c>
      <c r="E221">
        <v>958.07315200000005</v>
      </c>
      <c r="F221">
        <v>26.415955</v>
      </c>
      <c r="G221">
        <v>23.090534000000002</v>
      </c>
      <c r="H221">
        <v>23.090506000000001</v>
      </c>
      <c r="I221">
        <v>0</v>
      </c>
      <c r="J221">
        <v>2.8E-5</v>
      </c>
      <c r="K221">
        <v>58.701462999999997</v>
      </c>
      <c r="L221">
        <v>22.020073</v>
      </c>
    </row>
    <row r="222" spans="1:12" x14ac:dyDescent="0.35">
      <c r="A222" s="3">
        <v>202506</v>
      </c>
      <c r="B222">
        <v>77.931314</v>
      </c>
      <c r="C222">
        <v>77.931314</v>
      </c>
      <c r="D222">
        <v>0</v>
      </c>
      <c r="E222">
        <v>1047.8013080000001</v>
      </c>
      <c r="F222">
        <v>40.388322000000002</v>
      </c>
      <c r="G222">
        <v>7.407076</v>
      </c>
      <c r="H222">
        <v>7.407076</v>
      </c>
      <c r="I222">
        <v>0</v>
      </c>
      <c r="J222">
        <v>0</v>
      </c>
      <c r="K222">
        <v>53.552658000000001</v>
      </c>
      <c r="L222">
        <v>18.530574000000001</v>
      </c>
    </row>
    <row r="223" spans="1:12" x14ac:dyDescent="0.35">
      <c r="A223" s="3">
        <v>202507</v>
      </c>
      <c r="B223">
        <v>57.14714</v>
      </c>
      <c r="C223">
        <v>54.540961000000003</v>
      </c>
      <c r="D223">
        <v>2.606179</v>
      </c>
      <c r="E223">
        <v>1065.544091</v>
      </c>
      <c r="F223">
        <v>32.482725000000002</v>
      </c>
      <c r="G223">
        <v>6.8564629999999998</v>
      </c>
      <c r="H223">
        <v>6.8564629999999998</v>
      </c>
      <c r="I223">
        <v>0</v>
      </c>
      <c r="J223">
        <v>0</v>
      </c>
      <c r="K223">
        <v>61.792127999999998</v>
      </c>
      <c r="L223">
        <v>20.131584</v>
      </c>
    </row>
    <row r="224" spans="1:12" x14ac:dyDescent="0.35">
      <c r="A224" s="2" t="s">
        <v>23</v>
      </c>
      <c r="B224">
        <v>3905.8897736699992</v>
      </c>
      <c r="C224">
        <v>3934.2155335599991</v>
      </c>
      <c r="D224">
        <v>3.7190541600000002</v>
      </c>
      <c r="E224">
        <v>1719.7826707400004</v>
      </c>
      <c r="F224">
        <v>194.09719948</v>
      </c>
      <c r="G224">
        <v>0</v>
      </c>
      <c r="H224">
        <v>0</v>
      </c>
      <c r="I224">
        <v>0</v>
      </c>
      <c r="J224">
        <v>0.31757099</v>
      </c>
      <c r="K224">
        <v>0</v>
      </c>
      <c r="L224">
        <v>19.569692630000002</v>
      </c>
    </row>
    <row r="225" spans="1:12" x14ac:dyDescent="0.35">
      <c r="A225" s="3">
        <v>202201</v>
      </c>
      <c r="B225">
        <v>3.55618984</v>
      </c>
      <c r="C225">
        <v>3.55618984</v>
      </c>
      <c r="D225">
        <v>0</v>
      </c>
      <c r="E225">
        <v>14.317032939999999</v>
      </c>
      <c r="F225">
        <v>7.0067392800000006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0.46812545</v>
      </c>
    </row>
    <row r="226" spans="1:12" x14ac:dyDescent="0.35">
      <c r="A226" s="3">
        <v>202202</v>
      </c>
      <c r="B226">
        <v>28.020126050000002</v>
      </c>
      <c r="C226">
        <v>28.020126050000002</v>
      </c>
      <c r="D226">
        <v>0</v>
      </c>
      <c r="E226">
        <v>19.334202019999999</v>
      </c>
      <c r="F226">
        <v>18.80368752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0.52742060999999996</v>
      </c>
    </row>
    <row r="227" spans="1:12" x14ac:dyDescent="0.35">
      <c r="A227" s="3">
        <v>202203</v>
      </c>
      <c r="B227">
        <v>14.42209806</v>
      </c>
      <c r="C227">
        <v>14.42209806</v>
      </c>
      <c r="D227">
        <v>0</v>
      </c>
      <c r="E227">
        <v>22.879968179999999</v>
      </c>
      <c r="F227">
        <v>6.4429411999999999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1.0294418000000001</v>
      </c>
    </row>
    <row r="228" spans="1:12" x14ac:dyDescent="0.35">
      <c r="A228" s="3">
        <v>202204</v>
      </c>
      <c r="B228">
        <v>16.905404799999999</v>
      </c>
      <c r="C228">
        <v>16.905404799999999</v>
      </c>
      <c r="D228">
        <v>0</v>
      </c>
      <c r="E228">
        <v>19.934242739999998</v>
      </c>
      <c r="F228">
        <v>6.3788438300000001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0.44226128000000003</v>
      </c>
    </row>
    <row r="229" spans="1:12" x14ac:dyDescent="0.35">
      <c r="A229" s="3">
        <v>202205</v>
      </c>
      <c r="B229">
        <v>44.637163520000001</v>
      </c>
      <c r="C229">
        <v>44.637163520000001</v>
      </c>
      <c r="D229">
        <v>0</v>
      </c>
      <c r="E229">
        <v>15.85286917</v>
      </c>
      <c r="F229">
        <v>2.9578247100000001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0.54766488999999996</v>
      </c>
    </row>
    <row r="230" spans="1:12" x14ac:dyDescent="0.35">
      <c r="A230" s="3">
        <v>202206</v>
      </c>
      <c r="B230">
        <v>189.56376019000001</v>
      </c>
      <c r="C230">
        <v>189.56376019000001</v>
      </c>
      <c r="D230">
        <v>0</v>
      </c>
      <c r="E230">
        <v>19.56703469</v>
      </c>
      <c r="F230">
        <v>2.6801704500000003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0.54075171</v>
      </c>
    </row>
    <row r="231" spans="1:12" x14ac:dyDescent="0.35">
      <c r="A231" s="3">
        <v>202207</v>
      </c>
      <c r="B231">
        <v>22.022560010000003</v>
      </c>
      <c r="C231">
        <v>22.022560010000003</v>
      </c>
      <c r="D231">
        <v>0</v>
      </c>
      <c r="E231">
        <v>23.389314129999999</v>
      </c>
      <c r="F231">
        <v>0.6019002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0.52476743999999997</v>
      </c>
    </row>
    <row r="232" spans="1:12" x14ac:dyDescent="0.35">
      <c r="A232" s="3">
        <v>202208</v>
      </c>
      <c r="B232">
        <v>8.0675603000000002</v>
      </c>
      <c r="C232">
        <v>8.0675603000000002</v>
      </c>
      <c r="D232">
        <v>0</v>
      </c>
      <c r="E232">
        <v>20.112905140000002</v>
      </c>
      <c r="F232">
        <v>2.8220226099999999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0.59614583999999993</v>
      </c>
    </row>
    <row r="233" spans="1:12" x14ac:dyDescent="0.35">
      <c r="A233" s="3">
        <v>202209</v>
      </c>
      <c r="B233">
        <v>229.62254002</v>
      </c>
      <c r="C233">
        <v>229.62254002</v>
      </c>
      <c r="D233">
        <v>0</v>
      </c>
      <c r="E233">
        <v>19.089217340000001</v>
      </c>
      <c r="F233">
        <v>5.79615087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0.47221405999999999</v>
      </c>
    </row>
    <row r="234" spans="1:12" x14ac:dyDescent="0.35">
      <c r="A234" s="3">
        <v>202210</v>
      </c>
      <c r="B234">
        <v>10.96699125</v>
      </c>
      <c r="C234">
        <v>10.96699125</v>
      </c>
      <c r="D234">
        <v>0</v>
      </c>
      <c r="E234">
        <v>21.36492166</v>
      </c>
      <c r="F234">
        <v>6.6347866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0.69449217000000008</v>
      </c>
    </row>
    <row r="235" spans="1:12" x14ac:dyDescent="0.35">
      <c r="A235" s="3">
        <v>202211</v>
      </c>
      <c r="B235">
        <v>10.1999175</v>
      </c>
      <c r="C235">
        <v>10.1999175</v>
      </c>
      <c r="D235">
        <v>0</v>
      </c>
      <c r="E235">
        <v>21.290340929999999</v>
      </c>
      <c r="F235">
        <v>7.7691231199999997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0.83439302999999998</v>
      </c>
    </row>
    <row r="236" spans="1:12" x14ac:dyDescent="0.35">
      <c r="A236" s="3">
        <v>202212</v>
      </c>
      <c r="B236">
        <v>26.714813940000003</v>
      </c>
      <c r="C236">
        <v>26.714813940000003</v>
      </c>
      <c r="D236">
        <v>0</v>
      </c>
      <c r="E236">
        <v>24.008214149999997</v>
      </c>
      <c r="F236">
        <v>6.8101927199999999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0.4848345</v>
      </c>
    </row>
    <row r="237" spans="1:12" x14ac:dyDescent="0.35">
      <c r="A237" s="3">
        <v>202301</v>
      </c>
      <c r="B237">
        <v>7.1916171699999998</v>
      </c>
      <c r="C237">
        <v>7.1916171699999998</v>
      </c>
      <c r="D237">
        <v>0</v>
      </c>
      <c r="E237">
        <v>24.092442269999999</v>
      </c>
      <c r="F237">
        <v>4.3579303400000002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0.70248979</v>
      </c>
    </row>
    <row r="238" spans="1:12" x14ac:dyDescent="0.35">
      <c r="A238" s="3">
        <v>202302</v>
      </c>
      <c r="B238">
        <v>4.2067537499999998</v>
      </c>
      <c r="C238">
        <v>4.2067537499999998</v>
      </c>
      <c r="D238">
        <v>0</v>
      </c>
      <c r="E238">
        <v>24.868082210000001</v>
      </c>
      <c r="F238">
        <v>3.7549284599999999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0.59019087999999997</v>
      </c>
    </row>
    <row r="239" spans="1:12" x14ac:dyDescent="0.35">
      <c r="A239" s="3">
        <v>202303</v>
      </c>
      <c r="B239">
        <v>2.42404201</v>
      </c>
      <c r="C239">
        <v>2.42404201</v>
      </c>
      <c r="D239">
        <v>0</v>
      </c>
      <c r="E239">
        <v>25.08661871</v>
      </c>
      <c r="F239">
        <v>2.6897248500000002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0.57526741000000003</v>
      </c>
    </row>
    <row r="240" spans="1:12" x14ac:dyDescent="0.35">
      <c r="A240" s="3">
        <v>202304</v>
      </c>
      <c r="B240">
        <v>2.69254185</v>
      </c>
      <c r="C240">
        <v>2.69254185</v>
      </c>
      <c r="D240">
        <v>0</v>
      </c>
      <c r="E240">
        <v>25.34131743</v>
      </c>
      <c r="F240">
        <v>4.7052175999999992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0.50466553999999997</v>
      </c>
    </row>
    <row r="241" spans="1:12" x14ac:dyDescent="0.35">
      <c r="A241" s="3">
        <v>202305</v>
      </c>
      <c r="B241">
        <v>3.8260222599999998</v>
      </c>
      <c r="C241">
        <v>3.8260222599999998</v>
      </c>
      <c r="D241">
        <v>0</v>
      </c>
      <c r="E241">
        <v>26.072009789999999</v>
      </c>
      <c r="F241">
        <v>2.7349024100000001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0.55351753000000004</v>
      </c>
    </row>
    <row r="242" spans="1:12" x14ac:dyDescent="0.35">
      <c r="A242" s="3">
        <v>202306</v>
      </c>
      <c r="B242">
        <v>28.460459800000002</v>
      </c>
      <c r="C242">
        <v>28.460459800000002</v>
      </c>
      <c r="D242">
        <v>0</v>
      </c>
      <c r="E242">
        <v>30.044346090000001</v>
      </c>
      <c r="F242">
        <v>-0.16657131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0.99196582999999994</v>
      </c>
    </row>
    <row r="243" spans="1:12" x14ac:dyDescent="0.35">
      <c r="A243" s="3">
        <v>202307</v>
      </c>
      <c r="B243">
        <v>6.7605631299999995</v>
      </c>
      <c r="C243">
        <v>6.7605631299999995</v>
      </c>
      <c r="D243">
        <v>0</v>
      </c>
      <c r="E243">
        <v>33.209587640000002</v>
      </c>
      <c r="F243">
        <v>2.7269842299999998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0.45130317999999997</v>
      </c>
    </row>
    <row r="244" spans="1:12" x14ac:dyDescent="0.35">
      <c r="A244" s="3">
        <v>202308</v>
      </c>
      <c r="B244">
        <v>432.31630968000002</v>
      </c>
      <c r="C244">
        <v>432.31630968000002</v>
      </c>
      <c r="D244">
        <v>0</v>
      </c>
      <c r="E244">
        <v>36.246622080000002</v>
      </c>
      <c r="F244">
        <v>15.259727529999999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0.54019107</v>
      </c>
    </row>
    <row r="245" spans="1:12" x14ac:dyDescent="0.35">
      <c r="A245" s="3">
        <v>202309</v>
      </c>
      <c r="B245">
        <v>48.403539309999999</v>
      </c>
      <c r="C245">
        <v>48.403539309999999</v>
      </c>
      <c r="D245">
        <v>0</v>
      </c>
      <c r="E245">
        <v>35.089934169999999</v>
      </c>
      <c r="F245">
        <v>0.19456873999999999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0.34206198999999998</v>
      </c>
    </row>
    <row r="246" spans="1:12" x14ac:dyDescent="0.35">
      <c r="A246" s="3">
        <v>202310</v>
      </c>
      <c r="B246">
        <v>15.199330699999999</v>
      </c>
      <c r="C246">
        <v>15.199330699999999</v>
      </c>
      <c r="D246">
        <v>0</v>
      </c>
      <c r="E246">
        <v>39.128861239999999</v>
      </c>
      <c r="F246">
        <v>0.83000096000000001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0.38928077</v>
      </c>
    </row>
    <row r="247" spans="1:12" x14ac:dyDescent="0.35">
      <c r="A247" s="3">
        <v>202311</v>
      </c>
      <c r="B247">
        <v>11.194830550000001</v>
      </c>
      <c r="C247">
        <v>11.194830550000001</v>
      </c>
      <c r="D247">
        <v>0</v>
      </c>
      <c r="E247">
        <v>36.519688939999995</v>
      </c>
      <c r="F247">
        <v>5.6176600300000006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0.5849143</v>
      </c>
    </row>
    <row r="248" spans="1:12" x14ac:dyDescent="0.35">
      <c r="A248" s="3">
        <v>202312</v>
      </c>
      <c r="B248">
        <v>196.53760797000001</v>
      </c>
      <c r="C248">
        <v>196.53760797000001</v>
      </c>
      <c r="D248">
        <v>0</v>
      </c>
      <c r="E248">
        <v>57.332474879999999</v>
      </c>
      <c r="F248">
        <v>4.3176767900000002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0.33409036999999997</v>
      </c>
    </row>
    <row r="249" spans="1:12" x14ac:dyDescent="0.35">
      <c r="A249" s="3">
        <v>202401</v>
      </c>
      <c r="B249">
        <v>6.1782184200000003</v>
      </c>
      <c r="C249">
        <v>6.1782184200000003</v>
      </c>
      <c r="D249">
        <v>0</v>
      </c>
      <c r="E249">
        <v>52.369715720000002</v>
      </c>
      <c r="F249">
        <v>3.0912990599999999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0.35997835</v>
      </c>
    </row>
    <row r="250" spans="1:12" x14ac:dyDescent="0.35">
      <c r="A250" s="3">
        <v>202402</v>
      </c>
      <c r="B250">
        <v>35.668690470000001</v>
      </c>
      <c r="C250">
        <v>35.668690470000001</v>
      </c>
      <c r="D250">
        <v>0</v>
      </c>
      <c r="E250">
        <v>42.369150770000005</v>
      </c>
      <c r="F250">
        <v>4.8779336500000001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0.32341476000000002</v>
      </c>
    </row>
    <row r="251" spans="1:12" x14ac:dyDescent="0.35">
      <c r="A251" s="3">
        <v>202403</v>
      </c>
      <c r="B251">
        <v>36.761880249999997</v>
      </c>
      <c r="C251">
        <v>36.761880249999997</v>
      </c>
      <c r="D251">
        <v>0</v>
      </c>
      <c r="E251">
        <v>41.902621170000003</v>
      </c>
      <c r="F251">
        <v>3.1582614900000001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0.45496846999999996</v>
      </c>
    </row>
    <row r="252" spans="1:12" x14ac:dyDescent="0.35">
      <c r="A252" s="3">
        <v>202404</v>
      </c>
      <c r="B252">
        <v>10.648109679999999</v>
      </c>
      <c r="C252">
        <v>10.648109679999999</v>
      </c>
      <c r="D252">
        <v>0</v>
      </c>
      <c r="E252">
        <v>46.42567339</v>
      </c>
      <c r="F252">
        <v>2.0965871799999998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0.40428563000000001</v>
      </c>
    </row>
    <row r="253" spans="1:12" x14ac:dyDescent="0.35">
      <c r="A253" s="3">
        <v>202405</v>
      </c>
      <c r="B253">
        <v>11.80816594</v>
      </c>
      <c r="C253">
        <v>11.80816594</v>
      </c>
      <c r="D253">
        <v>0</v>
      </c>
      <c r="E253">
        <v>48.513020009999998</v>
      </c>
      <c r="F253">
        <v>0.95310581000000005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0.31776031999999999</v>
      </c>
    </row>
    <row r="254" spans="1:12" x14ac:dyDescent="0.35">
      <c r="A254" s="3">
        <v>202406</v>
      </c>
      <c r="B254">
        <v>415.96654141000005</v>
      </c>
      <c r="C254">
        <v>415.96654141000005</v>
      </c>
      <c r="D254">
        <v>0</v>
      </c>
      <c r="E254">
        <v>52.454007149999995</v>
      </c>
      <c r="F254">
        <v>2.9310052599999996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0.33415301000000003</v>
      </c>
    </row>
    <row r="255" spans="1:12" x14ac:dyDescent="0.35">
      <c r="A255" s="3">
        <v>202407</v>
      </c>
      <c r="B255">
        <v>238.28342668000002</v>
      </c>
      <c r="C255">
        <v>238.28342668000002</v>
      </c>
      <c r="D255">
        <v>0</v>
      </c>
      <c r="E255">
        <v>55.211708430000002</v>
      </c>
      <c r="F255">
        <v>2.2079117699999999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0.31203946000000005</v>
      </c>
    </row>
    <row r="256" spans="1:12" x14ac:dyDescent="0.35">
      <c r="A256" s="3">
        <v>202408</v>
      </c>
      <c r="B256">
        <v>273.99697691</v>
      </c>
      <c r="C256">
        <v>273.99697691</v>
      </c>
      <c r="D256">
        <v>0</v>
      </c>
      <c r="E256">
        <v>57.426478250000002</v>
      </c>
      <c r="F256">
        <v>9.2942953800000012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0.29438799999999998</v>
      </c>
    </row>
    <row r="257" spans="1:12" x14ac:dyDescent="0.35">
      <c r="A257" s="3">
        <v>202409</v>
      </c>
      <c r="B257">
        <v>457.67963981999998</v>
      </c>
      <c r="C257">
        <v>457.67963981999998</v>
      </c>
      <c r="D257">
        <v>0</v>
      </c>
      <c r="E257">
        <v>62.797573319999998</v>
      </c>
      <c r="F257">
        <v>4.3033502800000001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0.55304495999999992</v>
      </c>
    </row>
    <row r="258" spans="1:12" x14ac:dyDescent="0.35">
      <c r="A258" s="3">
        <v>202410</v>
      </c>
      <c r="B258">
        <v>56.458512409999997</v>
      </c>
      <c r="C258">
        <v>56.458512409999997</v>
      </c>
      <c r="D258">
        <v>0</v>
      </c>
      <c r="E258">
        <v>52.192904579999997</v>
      </c>
      <c r="F258">
        <v>7.8310820799999998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0.71320746999999995</v>
      </c>
    </row>
    <row r="259" spans="1:12" x14ac:dyDescent="0.35">
      <c r="A259" s="3">
        <v>202411</v>
      </c>
      <c r="B259">
        <v>23.655083910000002</v>
      </c>
      <c r="C259">
        <v>23.655083910000002</v>
      </c>
      <c r="D259">
        <v>0</v>
      </c>
      <c r="E259">
        <v>62.106947499999997</v>
      </c>
      <c r="F259">
        <v>2.5822496899999998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0.26995418999999998</v>
      </c>
    </row>
    <row r="260" spans="1:12" x14ac:dyDescent="0.35">
      <c r="A260" s="3">
        <v>202412</v>
      </c>
      <c r="B260">
        <v>374.40018577999996</v>
      </c>
      <c r="C260">
        <v>374.40018577999996</v>
      </c>
      <c r="D260">
        <v>0</v>
      </c>
      <c r="E260">
        <v>66.756616260000001</v>
      </c>
      <c r="F260">
        <v>8.4411948399999996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0.23552288000000002</v>
      </c>
    </row>
    <row r="261" spans="1:12" x14ac:dyDescent="0.35">
      <c r="A261" s="3">
        <v>202501</v>
      </c>
      <c r="B261">
        <v>11.21068526</v>
      </c>
      <c r="C261">
        <v>68.202005319999998</v>
      </c>
      <c r="D261">
        <v>2.0885538700000001</v>
      </c>
      <c r="E261">
        <v>11.21068526</v>
      </c>
      <c r="F261">
        <v>0</v>
      </c>
      <c r="G261">
        <v>0</v>
      </c>
      <c r="H261">
        <v>0</v>
      </c>
      <c r="I261">
        <v>0</v>
      </c>
      <c r="J261">
        <v>0.31757099</v>
      </c>
      <c r="K261">
        <v>0</v>
      </c>
      <c r="L261">
        <v>0</v>
      </c>
    </row>
    <row r="262" spans="1:12" x14ac:dyDescent="0.35">
      <c r="A262" s="3">
        <v>202502</v>
      </c>
      <c r="B262">
        <v>168.19064114</v>
      </c>
      <c r="C262">
        <v>168.19064114</v>
      </c>
      <c r="D262">
        <v>0</v>
      </c>
      <c r="E262">
        <v>66.282605349999997</v>
      </c>
      <c r="F262">
        <v>2.61008679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 s="3">
        <v>202503</v>
      </c>
      <c r="B263">
        <v>91.712315379999993</v>
      </c>
      <c r="C263">
        <v>63.046755210000001</v>
      </c>
      <c r="D263">
        <v>1.6305002900000001</v>
      </c>
      <c r="E263">
        <v>91.712315379999993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 s="3">
        <v>202504</v>
      </c>
      <c r="B264">
        <v>27.347296710000002</v>
      </c>
      <c r="C264">
        <v>27.347296710000002</v>
      </c>
      <c r="D264">
        <v>0</v>
      </c>
      <c r="E264">
        <v>71.758264749999995</v>
      </c>
      <c r="F264">
        <v>4.9091575599999997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0.33999248999999998</v>
      </c>
    </row>
    <row r="265" spans="1:12" x14ac:dyDescent="0.35">
      <c r="A265" s="3">
        <v>202505</v>
      </c>
      <c r="B265">
        <v>175.71850199000002</v>
      </c>
      <c r="C265">
        <v>175.71850199000002</v>
      </c>
      <c r="D265">
        <v>0</v>
      </c>
      <c r="E265">
        <v>63.829043679999998</v>
      </c>
      <c r="F265">
        <v>2.92961443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0.37607306000000001</v>
      </c>
    </row>
    <row r="266" spans="1:12" x14ac:dyDescent="0.35">
      <c r="A266" s="3">
        <v>202506</v>
      </c>
      <c r="B266">
        <v>90.676913659999997</v>
      </c>
      <c r="C266">
        <v>90.676913659999997</v>
      </c>
      <c r="D266">
        <v>0</v>
      </c>
      <c r="E266">
        <v>67.322729900000013</v>
      </c>
      <c r="F266">
        <v>7.1088351599999999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0.33667437</v>
      </c>
    </row>
    <row r="267" spans="1:12" x14ac:dyDescent="0.35">
      <c r="A267" s="3">
        <v>202507</v>
      </c>
      <c r="B267">
        <v>35.615244189999999</v>
      </c>
      <c r="C267">
        <v>35.615244189999999</v>
      </c>
      <c r="D267">
        <v>0</v>
      </c>
      <c r="E267">
        <v>72.968361329999993</v>
      </c>
      <c r="F267">
        <v>3.0440953099999999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0.22178376999999999</v>
      </c>
    </row>
    <row r="268" spans="1:12" x14ac:dyDescent="0.35">
      <c r="A268" s="2" t="s">
        <v>24</v>
      </c>
      <c r="B268">
        <v>662.54043799999999</v>
      </c>
      <c r="C268">
        <v>687.31857800000012</v>
      </c>
      <c r="D268">
        <v>5.2960000000000004E-3</v>
      </c>
      <c r="E268">
        <v>338.38589400000001</v>
      </c>
      <c r="F268">
        <v>524.49498299999993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5">
      <c r="A269" s="3">
        <v>202201</v>
      </c>
      <c r="B269">
        <v>0</v>
      </c>
      <c r="C269">
        <v>0</v>
      </c>
      <c r="D269">
        <v>0</v>
      </c>
      <c r="E269">
        <v>5.597728</v>
      </c>
      <c r="F269">
        <v>6.2279000000000001E-2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5">
      <c r="A270" s="3">
        <v>202202</v>
      </c>
      <c r="B270">
        <v>0</v>
      </c>
      <c r="C270">
        <v>0</v>
      </c>
      <c r="D270">
        <v>0</v>
      </c>
      <c r="E270">
        <v>6.2068899999999996</v>
      </c>
      <c r="F270">
        <v>0.29324800000000001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5">
      <c r="A271" s="3">
        <v>202203</v>
      </c>
      <c r="B271">
        <v>0</v>
      </c>
      <c r="C271">
        <v>0</v>
      </c>
      <c r="D271">
        <v>0</v>
      </c>
      <c r="E271">
        <v>5.7044370000000004</v>
      </c>
      <c r="F271">
        <v>2.35E-2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35">
      <c r="A272" s="3">
        <v>202204</v>
      </c>
      <c r="B272">
        <v>0</v>
      </c>
      <c r="C272">
        <v>0</v>
      </c>
      <c r="D272">
        <v>0</v>
      </c>
      <c r="E272">
        <v>5.7698280000000004</v>
      </c>
      <c r="F272">
        <v>1.0442E-2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5">
      <c r="A273" s="3">
        <v>202205</v>
      </c>
      <c r="B273">
        <v>0</v>
      </c>
      <c r="C273">
        <v>0</v>
      </c>
      <c r="D273">
        <v>0</v>
      </c>
      <c r="E273">
        <v>4.1357679999999997</v>
      </c>
      <c r="F273">
        <v>3.0247E-2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 s="3">
        <v>202206</v>
      </c>
      <c r="B274">
        <v>0</v>
      </c>
      <c r="C274">
        <v>0</v>
      </c>
      <c r="D274">
        <v>0</v>
      </c>
      <c r="E274">
        <v>5.8857340000000002</v>
      </c>
      <c r="F274">
        <v>0.14554300000000001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5">
      <c r="A275" s="3">
        <v>202207</v>
      </c>
      <c r="B275">
        <v>0</v>
      </c>
      <c r="C275">
        <v>0</v>
      </c>
      <c r="D275">
        <v>0</v>
      </c>
      <c r="E275">
        <v>25.808126000000001</v>
      </c>
      <c r="F275">
        <v>1.9559999999999998E-3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5">
      <c r="A276" s="3">
        <v>202208</v>
      </c>
      <c r="B276">
        <v>0</v>
      </c>
      <c r="C276">
        <v>0</v>
      </c>
      <c r="D276">
        <v>0</v>
      </c>
      <c r="E276">
        <v>5.2435219999999996</v>
      </c>
      <c r="F276">
        <v>1.9696000000000002E-2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 s="3">
        <v>202209</v>
      </c>
      <c r="B277">
        <v>0</v>
      </c>
      <c r="C277">
        <v>0</v>
      </c>
      <c r="D277">
        <v>0</v>
      </c>
      <c r="E277">
        <v>6.2865849999999996</v>
      </c>
      <c r="F277">
        <v>1.4853E-2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 s="3">
        <v>202210</v>
      </c>
      <c r="B278">
        <v>0</v>
      </c>
      <c r="C278">
        <v>0</v>
      </c>
      <c r="D278">
        <v>0</v>
      </c>
      <c r="E278">
        <v>5.828182</v>
      </c>
      <c r="F278">
        <v>1.1934999999999999E-2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5">
      <c r="A279" s="3">
        <v>202211</v>
      </c>
      <c r="B279">
        <v>0</v>
      </c>
      <c r="C279">
        <v>0</v>
      </c>
      <c r="D279">
        <v>0</v>
      </c>
      <c r="E279">
        <v>5.2718790000000002</v>
      </c>
      <c r="F279">
        <v>1.1065E-2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s="3">
        <v>202212</v>
      </c>
      <c r="B280">
        <v>0</v>
      </c>
      <c r="C280">
        <v>0</v>
      </c>
      <c r="D280">
        <v>0</v>
      </c>
      <c r="E280">
        <v>6.0729550000000003</v>
      </c>
      <c r="F280">
        <v>1.2415000000000001E-2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s="3">
        <v>202301</v>
      </c>
      <c r="B281">
        <v>0</v>
      </c>
      <c r="C281">
        <v>0</v>
      </c>
      <c r="D281">
        <v>0</v>
      </c>
      <c r="E281">
        <v>4.9367979999999996</v>
      </c>
      <c r="F281">
        <v>9.8029999999999992E-3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 s="3">
        <v>202302</v>
      </c>
      <c r="B282">
        <v>6.0141E-2</v>
      </c>
      <c r="C282">
        <v>6.0141E-2</v>
      </c>
      <c r="D282">
        <v>0</v>
      </c>
      <c r="E282">
        <v>7.7824859999999996</v>
      </c>
      <c r="F282">
        <v>7.6508000000000007E-2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s="3">
        <v>202303</v>
      </c>
      <c r="B283">
        <v>0</v>
      </c>
      <c r="C283">
        <v>0</v>
      </c>
      <c r="D283">
        <v>0</v>
      </c>
      <c r="E283">
        <v>5.0290920000000003</v>
      </c>
      <c r="F283">
        <v>8.4042000000000006E-2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5">
      <c r="A284" s="3">
        <v>202304</v>
      </c>
      <c r="B284">
        <v>0</v>
      </c>
      <c r="C284">
        <v>0</v>
      </c>
      <c r="D284">
        <v>0</v>
      </c>
      <c r="E284">
        <v>6.9311530000000001</v>
      </c>
      <c r="F284">
        <v>0.13506000000000001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 s="3">
        <v>202305</v>
      </c>
      <c r="B285">
        <v>0</v>
      </c>
      <c r="C285">
        <v>0</v>
      </c>
      <c r="D285">
        <v>0</v>
      </c>
      <c r="E285">
        <v>6.552524</v>
      </c>
      <c r="F285">
        <v>0.36279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s="3">
        <v>202306</v>
      </c>
      <c r="B286">
        <v>0</v>
      </c>
      <c r="C286">
        <v>0</v>
      </c>
      <c r="D286">
        <v>0</v>
      </c>
      <c r="E286">
        <v>7.8248160000000002</v>
      </c>
      <c r="F286">
        <v>2.6770000000000001E-3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 s="3">
        <v>202307</v>
      </c>
      <c r="B287">
        <v>0</v>
      </c>
      <c r="C287">
        <v>0</v>
      </c>
      <c r="D287">
        <v>0</v>
      </c>
      <c r="E287">
        <v>9.1822040000000005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 s="3">
        <v>202308</v>
      </c>
      <c r="B288">
        <v>1.37E-4</v>
      </c>
      <c r="C288">
        <v>1.37E-4</v>
      </c>
      <c r="D288">
        <v>0</v>
      </c>
      <c r="E288">
        <v>7.3190270000000002</v>
      </c>
      <c r="F288">
        <v>6.5100000000000002E-3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 s="3">
        <v>202309</v>
      </c>
      <c r="B289">
        <v>52.944054000000001</v>
      </c>
      <c r="C289">
        <v>52.944054000000001</v>
      </c>
      <c r="D289">
        <v>0</v>
      </c>
      <c r="E289">
        <v>8.7215640000000008</v>
      </c>
      <c r="F289">
        <v>155.98183499999999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s="3">
        <v>202310</v>
      </c>
      <c r="B290">
        <v>58.225692000000002</v>
      </c>
      <c r="C290">
        <v>58.225692000000002</v>
      </c>
      <c r="D290">
        <v>0</v>
      </c>
      <c r="E290">
        <v>6.4317979999999997</v>
      </c>
      <c r="F290">
        <v>74.699832999999998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 s="3">
        <v>202311</v>
      </c>
      <c r="B291">
        <v>0</v>
      </c>
      <c r="C291">
        <v>0</v>
      </c>
      <c r="D291">
        <v>0</v>
      </c>
      <c r="E291">
        <v>7.0448899999999997</v>
      </c>
      <c r="F291">
        <v>4.0629999999999999E-2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5">
      <c r="A292" s="3">
        <v>202312</v>
      </c>
      <c r="B292">
        <v>0</v>
      </c>
      <c r="C292">
        <v>0</v>
      </c>
      <c r="D292">
        <v>0</v>
      </c>
      <c r="E292">
        <v>7.301266</v>
      </c>
      <c r="F292">
        <v>1.6246E-2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5">
      <c r="A293" s="3">
        <v>202401</v>
      </c>
      <c r="B293">
        <v>0</v>
      </c>
      <c r="C293">
        <v>0</v>
      </c>
      <c r="D293">
        <v>0</v>
      </c>
      <c r="E293">
        <v>6.5112500000000004</v>
      </c>
      <c r="F293">
        <v>4.2950000000000002E-3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 s="3">
        <v>202402</v>
      </c>
      <c r="B294">
        <v>0</v>
      </c>
      <c r="C294">
        <v>0</v>
      </c>
      <c r="D294">
        <v>0</v>
      </c>
      <c r="E294">
        <v>6.4376449999999998</v>
      </c>
      <c r="F294">
        <v>2.385E-3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5">
      <c r="A295" s="3">
        <v>202403</v>
      </c>
      <c r="B295">
        <v>0</v>
      </c>
      <c r="C295">
        <v>0</v>
      </c>
      <c r="D295">
        <v>0</v>
      </c>
      <c r="E295">
        <v>9.2187359999999998</v>
      </c>
      <c r="F295">
        <v>1.6670000000000001E-3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 s="3">
        <v>202404</v>
      </c>
      <c r="B296">
        <v>0</v>
      </c>
      <c r="C296">
        <v>0</v>
      </c>
      <c r="D296">
        <v>0</v>
      </c>
      <c r="E296">
        <v>8.1512899999999995</v>
      </c>
      <c r="F296">
        <v>1.258E-3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 s="3">
        <v>202405</v>
      </c>
      <c r="B297">
        <v>0</v>
      </c>
      <c r="C297">
        <v>0</v>
      </c>
      <c r="D297">
        <v>0</v>
      </c>
      <c r="E297">
        <v>10.765376</v>
      </c>
      <c r="F297">
        <v>1.9919999999999998E-3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 s="3">
        <v>202406</v>
      </c>
      <c r="B298">
        <v>0</v>
      </c>
      <c r="C298">
        <v>0</v>
      </c>
      <c r="D298">
        <v>0</v>
      </c>
      <c r="E298">
        <v>9.5590320000000002</v>
      </c>
      <c r="F298">
        <v>1.9959999999999999E-3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5">
      <c r="A299" s="3">
        <v>202407</v>
      </c>
      <c r="B299">
        <v>0</v>
      </c>
      <c r="C299">
        <v>0</v>
      </c>
      <c r="D299">
        <v>0</v>
      </c>
      <c r="E299">
        <v>9.8558629999999994</v>
      </c>
      <c r="F299">
        <v>9.1100000000000003E-4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5">
      <c r="A300" s="3">
        <v>202408</v>
      </c>
      <c r="B300">
        <v>0</v>
      </c>
      <c r="C300">
        <v>0</v>
      </c>
      <c r="D300">
        <v>0</v>
      </c>
      <c r="E300">
        <v>7.3810979999999997</v>
      </c>
      <c r="F300">
        <v>2.1232999999999998E-2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35">
      <c r="A301" s="3">
        <v>202409</v>
      </c>
      <c r="B301">
        <v>0</v>
      </c>
      <c r="C301">
        <v>0</v>
      </c>
      <c r="D301">
        <v>0</v>
      </c>
      <c r="E301">
        <v>7.6580389999999996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s="3">
        <v>202410</v>
      </c>
      <c r="B302">
        <v>0</v>
      </c>
      <c r="C302">
        <v>0</v>
      </c>
      <c r="D302">
        <v>0</v>
      </c>
      <c r="E302">
        <v>11.003405000000001</v>
      </c>
      <c r="F302">
        <v>3.1799999999999998E-4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s="3">
        <v>202411</v>
      </c>
      <c r="B303">
        <v>0</v>
      </c>
      <c r="C303">
        <v>0</v>
      </c>
      <c r="D303">
        <v>0</v>
      </c>
      <c r="E303">
        <v>9.6270260000000007</v>
      </c>
      <c r="F303">
        <v>3.6319999999999998E-3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s="3">
        <v>202412</v>
      </c>
      <c r="B304">
        <v>0</v>
      </c>
      <c r="C304">
        <v>0</v>
      </c>
      <c r="D304">
        <v>0</v>
      </c>
      <c r="E304">
        <v>8.6692699999999991</v>
      </c>
      <c r="F304">
        <v>1.4803999999999999E-2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s="3">
        <v>202501</v>
      </c>
      <c r="B305">
        <v>0</v>
      </c>
      <c r="C305">
        <v>12.316544</v>
      </c>
      <c r="D305">
        <v>1.255E-3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s="3">
        <v>202502</v>
      </c>
      <c r="B306">
        <v>0</v>
      </c>
      <c r="C306">
        <v>0</v>
      </c>
      <c r="D306">
        <v>0</v>
      </c>
      <c r="E306">
        <v>10.674568000000001</v>
      </c>
      <c r="F306">
        <v>1.5125E-2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 s="3">
        <v>202503</v>
      </c>
      <c r="B307">
        <v>0</v>
      </c>
      <c r="C307">
        <v>12.461596</v>
      </c>
      <c r="D307">
        <v>4.0410000000000003E-3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 s="3">
        <v>202504</v>
      </c>
      <c r="B308">
        <v>0</v>
      </c>
      <c r="C308">
        <v>0</v>
      </c>
      <c r="D308">
        <v>0</v>
      </c>
      <c r="E308">
        <v>12.715451</v>
      </c>
      <c r="F308">
        <v>6.4999999999999997E-3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 s="3">
        <v>202505</v>
      </c>
      <c r="B309">
        <v>0</v>
      </c>
      <c r="C309">
        <v>0</v>
      </c>
      <c r="D309">
        <v>0</v>
      </c>
      <c r="E309">
        <v>12.707136999999999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 s="3">
        <v>202506</v>
      </c>
      <c r="B310">
        <v>551.31041400000004</v>
      </c>
      <c r="C310">
        <v>551.31041400000004</v>
      </c>
      <c r="D310">
        <v>0</v>
      </c>
      <c r="E310">
        <v>13.632663000000001</v>
      </c>
      <c r="F310">
        <v>292.35781300000002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 s="3">
        <v>202507</v>
      </c>
      <c r="B311">
        <v>0</v>
      </c>
      <c r="C311">
        <v>0</v>
      </c>
      <c r="D311">
        <v>0</v>
      </c>
      <c r="E311">
        <v>10.948793</v>
      </c>
      <c r="F311">
        <v>7.9410000000000001E-3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5">
      <c r="A312" s="2" t="s">
        <v>25</v>
      </c>
      <c r="B312">
        <v>831.558044</v>
      </c>
      <c r="C312">
        <v>810.81821500000001</v>
      </c>
      <c r="D312">
        <v>0.80495099999999997</v>
      </c>
      <c r="E312">
        <v>107.02899099999999</v>
      </c>
      <c r="F312">
        <v>289.271072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s="3">
        <v>202201</v>
      </c>
      <c r="B313">
        <v>0.457148</v>
      </c>
      <c r="C313">
        <v>0.457148</v>
      </c>
      <c r="D313">
        <v>0</v>
      </c>
      <c r="E313">
        <v>0.164079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s="3">
        <v>202202</v>
      </c>
      <c r="B314">
        <v>7.066338</v>
      </c>
      <c r="C314">
        <v>7.066338</v>
      </c>
      <c r="D314">
        <v>0</v>
      </c>
      <c r="E314">
        <v>0.16994300000000001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s="3">
        <v>202203</v>
      </c>
      <c r="B315">
        <v>8.5078259999999997</v>
      </c>
      <c r="C315">
        <v>8.5078259999999997</v>
      </c>
      <c r="D315">
        <v>0</v>
      </c>
      <c r="E315">
        <v>0.93540999999999996</v>
      </c>
      <c r="F315">
        <v>2.0880339999999999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 s="3">
        <v>202204</v>
      </c>
      <c r="B316">
        <v>0.151119</v>
      </c>
      <c r="C316">
        <v>0.151119</v>
      </c>
      <c r="D316">
        <v>0</v>
      </c>
      <c r="E316">
        <v>0.35435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 s="3">
        <v>202205</v>
      </c>
      <c r="B317">
        <v>151.42659699999999</v>
      </c>
      <c r="C317">
        <v>151.42659699999999</v>
      </c>
      <c r="D317">
        <v>0</v>
      </c>
      <c r="E317">
        <v>1.3618980000000001</v>
      </c>
      <c r="F317">
        <v>283.03675900000002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 s="3">
        <v>202206</v>
      </c>
      <c r="B318">
        <v>35.288550000000001</v>
      </c>
      <c r="C318">
        <v>35.288550000000001</v>
      </c>
      <c r="D318">
        <v>0</v>
      </c>
      <c r="E318">
        <v>0.31376100000000001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 s="3">
        <v>202207</v>
      </c>
      <c r="B319">
        <v>5.8255610000000004</v>
      </c>
      <c r="C319">
        <v>5.8255610000000004</v>
      </c>
      <c r="D319">
        <v>0</v>
      </c>
      <c r="E319">
        <v>0.54735599999999995</v>
      </c>
      <c r="F319">
        <v>0.16770199999999999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 s="3">
        <v>202208</v>
      </c>
      <c r="B320">
        <v>0</v>
      </c>
      <c r="C320">
        <v>0</v>
      </c>
      <c r="D320">
        <v>0</v>
      </c>
      <c r="E320">
        <v>1.9691909999999999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 s="3">
        <v>202209</v>
      </c>
      <c r="B321">
        <v>22.736191999999999</v>
      </c>
      <c r="C321">
        <v>22.736191999999999</v>
      </c>
      <c r="D321">
        <v>0</v>
      </c>
      <c r="E321">
        <v>1.437171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 s="3">
        <v>202210</v>
      </c>
      <c r="B322">
        <v>19.235600000000002</v>
      </c>
      <c r="C322">
        <v>19.235600000000002</v>
      </c>
      <c r="D322">
        <v>0</v>
      </c>
      <c r="E322">
        <v>0.61564200000000002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5">
      <c r="A323" s="3">
        <v>202211</v>
      </c>
      <c r="B323">
        <v>23.586465</v>
      </c>
      <c r="C323">
        <v>23.586465</v>
      </c>
      <c r="D323">
        <v>0</v>
      </c>
      <c r="E323">
        <v>1.3366979999999999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 s="3">
        <v>202212</v>
      </c>
      <c r="B324">
        <v>42.105125000000001</v>
      </c>
      <c r="C324">
        <v>42.105125000000001</v>
      </c>
      <c r="D324">
        <v>0</v>
      </c>
      <c r="E324">
        <v>1.24312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s="3">
        <v>202301</v>
      </c>
      <c r="B325">
        <v>0</v>
      </c>
      <c r="C325">
        <v>0</v>
      </c>
      <c r="D325">
        <v>0</v>
      </c>
      <c r="E325">
        <v>1.6561999999999999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5">
      <c r="A326" s="3">
        <v>202302</v>
      </c>
      <c r="B326">
        <v>0</v>
      </c>
      <c r="C326">
        <v>0</v>
      </c>
      <c r="D326">
        <v>0</v>
      </c>
      <c r="E326">
        <v>1.199333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s="3">
        <v>202303</v>
      </c>
      <c r="B327">
        <v>14.503830000000001</v>
      </c>
      <c r="C327">
        <v>14.503830000000001</v>
      </c>
      <c r="D327">
        <v>0</v>
      </c>
      <c r="E327">
        <v>0.79379200000000005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 s="3">
        <v>202304</v>
      </c>
      <c r="B328">
        <v>0</v>
      </c>
      <c r="C328">
        <v>0</v>
      </c>
      <c r="D328">
        <v>0</v>
      </c>
      <c r="E328">
        <v>1.603458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5">
      <c r="A329" s="3">
        <v>202305</v>
      </c>
      <c r="B329">
        <v>6.66676</v>
      </c>
      <c r="C329">
        <v>6.66676</v>
      </c>
      <c r="D329">
        <v>0</v>
      </c>
      <c r="E329">
        <v>1.580141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 s="3">
        <v>202306</v>
      </c>
      <c r="B330">
        <v>35.421396000000001</v>
      </c>
      <c r="C330">
        <v>35.421396000000001</v>
      </c>
      <c r="D330">
        <v>0</v>
      </c>
      <c r="E330">
        <v>2.5559850000000002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 s="3">
        <v>202307</v>
      </c>
      <c r="B331">
        <v>0</v>
      </c>
      <c r="C331">
        <v>0</v>
      </c>
      <c r="D331">
        <v>0</v>
      </c>
      <c r="E331">
        <v>1.8856809999999999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 s="3">
        <v>202308</v>
      </c>
      <c r="B332">
        <v>0</v>
      </c>
      <c r="C332">
        <v>0</v>
      </c>
      <c r="D332">
        <v>0</v>
      </c>
      <c r="E332">
        <v>1.62835</v>
      </c>
      <c r="F332">
        <v>0.62166999999999994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 s="3">
        <v>202309</v>
      </c>
      <c r="B333">
        <v>23.702878999999999</v>
      </c>
      <c r="C333">
        <v>23.702878999999999</v>
      </c>
      <c r="D333">
        <v>0</v>
      </c>
      <c r="E333">
        <v>2.2165870000000001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 s="3">
        <v>202310</v>
      </c>
      <c r="B334">
        <v>0</v>
      </c>
      <c r="C334">
        <v>0</v>
      </c>
      <c r="D334">
        <v>0</v>
      </c>
      <c r="E334">
        <v>1.346956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5">
      <c r="A335" s="3">
        <v>202311</v>
      </c>
      <c r="B335">
        <v>11.05</v>
      </c>
      <c r="C335">
        <v>11.05</v>
      </c>
      <c r="D335">
        <v>0</v>
      </c>
      <c r="E335">
        <v>1.4730399999999999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s="3">
        <v>202312</v>
      </c>
      <c r="B336">
        <v>21.482838999999998</v>
      </c>
      <c r="C336">
        <v>21.482838999999998</v>
      </c>
      <c r="D336">
        <v>0</v>
      </c>
      <c r="E336">
        <v>0.89541700000000002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s="3">
        <v>202401</v>
      </c>
      <c r="B337">
        <v>0</v>
      </c>
      <c r="C337">
        <v>0</v>
      </c>
      <c r="D337">
        <v>0</v>
      </c>
      <c r="E337">
        <v>2.037477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s="3">
        <v>202402</v>
      </c>
      <c r="B338">
        <v>3.4956520000000002</v>
      </c>
      <c r="C338">
        <v>3.4956520000000002</v>
      </c>
      <c r="D338">
        <v>0</v>
      </c>
      <c r="E338">
        <v>1.8306260000000001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 s="3">
        <v>202403</v>
      </c>
      <c r="B339">
        <v>12.975320999999999</v>
      </c>
      <c r="C339">
        <v>12.975320999999999</v>
      </c>
      <c r="D339">
        <v>0</v>
      </c>
      <c r="E339">
        <v>1.4796309999999999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 s="3">
        <v>202404</v>
      </c>
      <c r="B340">
        <v>18.013110999999999</v>
      </c>
      <c r="C340">
        <v>18.013110999999999</v>
      </c>
      <c r="D340">
        <v>0</v>
      </c>
      <c r="E340">
        <v>2.3306339999999999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 s="3">
        <v>202405</v>
      </c>
      <c r="B341">
        <v>28.259499000000002</v>
      </c>
      <c r="C341">
        <v>28.259499000000002</v>
      </c>
      <c r="D341">
        <v>0</v>
      </c>
      <c r="E341">
        <v>2.0957159999999999</v>
      </c>
      <c r="F341">
        <v>1.1596599999999999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 s="3">
        <v>202406</v>
      </c>
      <c r="B342">
        <v>39.467444</v>
      </c>
      <c r="C342">
        <v>39.467444</v>
      </c>
      <c r="D342">
        <v>0</v>
      </c>
      <c r="E342">
        <v>1.7998989999999999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 s="3">
        <v>202407</v>
      </c>
      <c r="B343">
        <v>6.3947789999999998</v>
      </c>
      <c r="C343">
        <v>6.3947789999999998</v>
      </c>
      <c r="D343">
        <v>0</v>
      </c>
      <c r="E343">
        <v>0.72242600000000001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 s="3">
        <v>202408</v>
      </c>
      <c r="B344">
        <v>3.6797900000000001</v>
      </c>
      <c r="C344">
        <v>3.6797900000000001</v>
      </c>
      <c r="D344">
        <v>0</v>
      </c>
      <c r="E344">
        <v>1.563806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5">
      <c r="A345" s="3">
        <v>202409</v>
      </c>
      <c r="B345">
        <v>30.705638</v>
      </c>
      <c r="C345">
        <v>30.705638</v>
      </c>
      <c r="D345">
        <v>0</v>
      </c>
      <c r="E345">
        <v>1.9502889999999999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5">
      <c r="A346" s="3">
        <v>202410</v>
      </c>
      <c r="B346">
        <v>21.383555000000001</v>
      </c>
      <c r="C346">
        <v>21.383555000000001</v>
      </c>
      <c r="D346">
        <v>0</v>
      </c>
      <c r="E346">
        <v>2.3763209999999999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 s="3">
        <v>202411</v>
      </c>
      <c r="B347">
        <v>14.505708</v>
      </c>
      <c r="C347">
        <v>14.505708</v>
      </c>
      <c r="D347">
        <v>0</v>
      </c>
      <c r="E347">
        <v>2.9448500000000002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 s="3">
        <v>202412</v>
      </c>
      <c r="B348">
        <v>2.5908890000000002</v>
      </c>
      <c r="C348">
        <v>2.5908890000000002</v>
      </c>
      <c r="D348">
        <v>0</v>
      </c>
      <c r="E348">
        <v>2.0017339999999999</v>
      </c>
      <c r="F348">
        <v>2.197247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5">
      <c r="A349" s="3">
        <v>202501</v>
      </c>
      <c r="B349">
        <v>12.339663</v>
      </c>
      <c r="C349">
        <v>2.6459239999999999</v>
      </c>
      <c r="D349">
        <v>0</v>
      </c>
      <c r="E349">
        <v>12.339663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 s="3">
        <v>202502</v>
      </c>
      <c r="B350">
        <v>9.4821390000000001</v>
      </c>
      <c r="C350">
        <v>9.4821390000000001</v>
      </c>
      <c r="D350">
        <v>0</v>
      </c>
      <c r="E350">
        <v>0.45052399999999998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 s="3">
        <v>202503</v>
      </c>
      <c r="B351">
        <v>15.512409</v>
      </c>
      <c r="C351">
        <v>4.4663190000000004</v>
      </c>
      <c r="D351">
        <v>0.80495099999999997</v>
      </c>
      <c r="E351">
        <v>15.512409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5">
      <c r="A352" s="3">
        <v>202504</v>
      </c>
      <c r="B352">
        <v>0</v>
      </c>
      <c r="C352">
        <v>0</v>
      </c>
      <c r="D352">
        <v>0</v>
      </c>
      <c r="E352">
        <v>19.966663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5">
      <c r="A353" s="3">
        <v>202505</v>
      </c>
      <c r="B353">
        <v>68.200642000000002</v>
      </c>
      <c r="C353">
        <v>68.200642000000002</v>
      </c>
      <c r="D353">
        <v>0</v>
      </c>
      <c r="E353">
        <v>0.70203899999999997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 s="3">
        <v>202506</v>
      </c>
      <c r="B354">
        <v>63.855728999999997</v>
      </c>
      <c r="C354">
        <v>63.855728999999997</v>
      </c>
      <c r="D354">
        <v>0</v>
      </c>
      <c r="E354">
        <v>4.866422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35">
      <c r="A355" s="3">
        <v>202507</v>
      </c>
      <c r="B355">
        <v>51.481850999999999</v>
      </c>
      <c r="C355">
        <v>51.481850999999999</v>
      </c>
      <c r="D355">
        <v>0</v>
      </c>
      <c r="E355">
        <v>0.77430299999999996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 s="2" t="s">
        <v>26</v>
      </c>
      <c r="B356">
        <v>5045.7057570000024</v>
      </c>
      <c r="C356">
        <v>4094.319969000001</v>
      </c>
      <c r="D356">
        <v>40.639830000000003</v>
      </c>
      <c r="E356">
        <v>8764.5677980000019</v>
      </c>
      <c r="F356">
        <v>690.8588420000001</v>
      </c>
      <c r="G356">
        <v>552.82520199999999</v>
      </c>
      <c r="H356">
        <v>499.78340000000003</v>
      </c>
      <c r="I356">
        <v>101.616147</v>
      </c>
      <c r="J356">
        <v>47.837650000000004</v>
      </c>
      <c r="K356">
        <v>682.90742499999988</v>
      </c>
      <c r="L356">
        <v>1026.7465889999999</v>
      </c>
    </row>
    <row r="357" spans="1:12" x14ac:dyDescent="0.35">
      <c r="A357" s="3">
        <v>202201</v>
      </c>
      <c r="B357">
        <v>6.8139139999999996</v>
      </c>
      <c r="C357">
        <v>6.8139139999999996</v>
      </c>
      <c r="D357">
        <v>0</v>
      </c>
      <c r="E357">
        <v>152.94596100000001</v>
      </c>
      <c r="F357">
        <v>0</v>
      </c>
      <c r="G357">
        <v>0.27071600000000001</v>
      </c>
      <c r="H357">
        <v>0.27071600000000001</v>
      </c>
      <c r="I357">
        <v>0</v>
      </c>
      <c r="J357">
        <v>0</v>
      </c>
      <c r="K357">
        <v>12.688641000000001</v>
      </c>
      <c r="L357">
        <v>19.054772</v>
      </c>
    </row>
    <row r="358" spans="1:12" x14ac:dyDescent="0.35">
      <c r="A358" s="3">
        <v>202202</v>
      </c>
      <c r="B358">
        <v>6.433732</v>
      </c>
      <c r="C358">
        <v>6.433732</v>
      </c>
      <c r="D358">
        <v>0</v>
      </c>
      <c r="E358">
        <v>112.823048</v>
      </c>
      <c r="F358">
        <v>0</v>
      </c>
      <c r="G358">
        <v>0.22903499999999999</v>
      </c>
      <c r="H358">
        <v>0.22903499999999999</v>
      </c>
      <c r="I358">
        <v>0</v>
      </c>
      <c r="J358">
        <v>0</v>
      </c>
      <c r="K358">
        <v>14.467909000000001</v>
      </c>
      <c r="L358">
        <v>10.830709000000001</v>
      </c>
    </row>
    <row r="359" spans="1:12" x14ac:dyDescent="0.35">
      <c r="A359" s="3">
        <v>202203</v>
      </c>
      <c r="B359">
        <v>12.798505</v>
      </c>
      <c r="C359">
        <v>12.798505</v>
      </c>
      <c r="D359">
        <v>0</v>
      </c>
      <c r="E359">
        <v>163.10106200000001</v>
      </c>
      <c r="F359">
        <v>0</v>
      </c>
      <c r="G359">
        <v>8.8575630000000007</v>
      </c>
      <c r="H359">
        <v>8.8575630000000007</v>
      </c>
      <c r="I359">
        <v>0</v>
      </c>
      <c r="J359">
        <v>0</v>
      </c>
      <c r="K359">
        <v>8.2428500000000007</v>
      </c>
      <c r="L359">
        <v>10.196756000000001</v>
      </c>
    </row>
    <row r="360" spans="1:12" x14ac:dyDescent="0.35">
      <c r="A360" s="3">
        <v>202204</v>
      </c>
      <c r="B360">
        <v>3.8737379999999999</v>
      </c>
      <c r="C360">
        <v>3.8737379999999999</v>
      </c>
      <c r="D360">
        <v>0</v>
      </c>
      <c r="E360">
        <v>140.457448</v>
      </c>
      <c r="F360">
        <v>0</v>
      </c>
      <c r="G360">
        <v>1.6045990000000001</v>
      </c>
      <c r="H360">
        <v>1.6045990000000001</v>
      </c>
      <c r="I360">
        <v>0</v>
      </c>
      <c r="J360">
        <v>0</v>
      </c>
      <c r="K360">
        <v>12.393143999999999</v>
      </c>
      <c r="L360">
        <v>13.102937000000001</v>
      </c>
    </row>
    <row r="361" spans="1:12" x14ac:dyDescent="0.35">
      <c r="A361" s="3">
        <v>202205</v>
      </c>
      <c r="B361">
        <v>10.797017</v>
      </c>
      <c r="C361">
        <v>10.797017</v>
      </c>
      <c r="D361">
        <v>0</v>
      </c>
      <c r="E361">
        <v>142.39202700000001</v>
      </c>
      <c r="F361">
        <v>0</v>
      </c>
      <c r="G361">
        <v>0.19085199999999999</v>
      </c>
      <c r="H361">
        <v>0.19085199999999999</v>
      </c>
      <c r="I361">
        <v>0</v>
      </c>
      <c r="J361">
        <v>0</v>
      </c>
      <c r="K361">
        <v>13.86567</v>
      </c>
      <c r="L361">
        <v>14.162811</v>
      </c>
    </row>
    <row r="362" spans="1:12" x14ac:dyDescent="0.35">
      <c r="A362" s="3">
        <v>202206</v>
      </c>
      <c r="B362">
        <v>1.809299</v>
      </c>
      <c r="C362">
        <v>1.809299</v>
      </c>
      <c r="D362">
        <v>0</v>
      </c>
      <c r="E362">
        <v>129.99734699999999</v>
      </c>
      <c r="F362">
        <v>0</v>
      </c>
      <c r="G362">
        <v>0.57960100000000003</v>
      </c>
      <c r="H362">
        <v>0.57960100000000003</v>
      </c>
      <c r="I362">
        <v>0</v>
      </c>
      <c r="J362">
        <v>0</v>
      </c>
      <c r="K362">
        <v>16.632116</v>
      </c>
      <c r="L362">
        <v>20.625682000000001</v>
      </c>
    </row>
    <row r="363" spans="1:12" x14ac:dyDescent="0.35">
      <c r="A363" s="3">
        <v>202207</v>
      </c>
      <c r="B363">
        <v>3.6658010000000001</v>
      </c>
      <c r="C363">
        <v>3.6658010000000001</v>
      </c>
      <c r="D363">
        <v>0</v>
      </c>
      <c r="E363">
        <v>136.196234</v>
      </c>
      <c r="F363">
        <v>8.9309999999999997E-3</v>
      </c>
      <c r="G363">
        <v>4.9040000000000004E-3</v>
      </c>
      <c r="H363">
        <v>4.9040000000000004E-3</v>
      </c>
      <c r="I363">
        <v>0</v>
      </c>
      <c r="J363">
        <v>0</v>
      </c>
      <c r="K363">
        <v>9.3609419999999997</v>
      </c>
      <c r="L363">
        <v>20.568625999999998</v>
      </c>
    </row>
    <row r="364" spans="1:12" x14ac:dyDescent="0.35">
      <c r="A364" s="3">
        <v>202208</v>
      </c>
      <c r="B364">
        <v>304.257766</v>
      </c>
      <c r="C364">
        <v>304.257766</v>
      </c>
      <c r="D364">
        <v>0</v>
      </c>
      <c r="E364">
        <v>170.36874700000001</v>
      </c>
      <c r="F364">
        <v>0</v>
      </c>
      <c r="G364">
        <v>55.733832</v>
      </c>
      <c r="H364">
        <v>2.6954820000000002</v>
      </c>
      <c r="I364">
        <v>53.038350000000001</v>
      </c>
      <c r="J364">
        <v>0</v>
      </c>
      <c r="K364">
        <v>12.765401000000001</v>
      </c>
      <c r="L364">
        <v>17.999451000000001</v>
      </c>
    </row>
    <row r="365" spans="1:12" x14ac:dyDescent="0.35">
      <c r="A365" s="3">
        <v>202209</v>
      </c>
      <c r="B365">
        <v>3.5257909999999999</v>
      </c>
      <c r="C365">
        <v>3.5257909999999999</v>
      </c>
      <c r="D365">
        <v>0</v>
      </c>
      <c r="E365">
        <v>164.47165799999999</v>
      </c>
      <c r="F365">
        <v>0</v>
      </c>
      <c r="G365">
        <v>1.8220000000000001E-3</v>
      </c>
      <c r="H365">
        <v>1.8220000000000001E-3</v>
      </c>
      <c r="I365">
        <v>0</v>
      </c>
      <c r="J365">
        <v>0</v>
      </c>
      <c r="K365">
        <v>14.903053999999999</v>
      </c>
      <c r="L365">
        <v>26.858314</v>
      </c>
    </row>
    <row r="366" spans="1:12" x14ac:dyDescent="0.35">
      <c r="A366" s="3">
        <v>202210</v>
      </c>
      <c r="B366">
        <v>2.3630460000000002</v>
      </c>
      <c r="C366">
        <v>2.3630460000000002</v>
      </c>
      <c r="D366">
        <v>0</v>
      </c>
      <c r="E366">
        <v>133.737787</v>
      </c>
      <c r="F366">
        <v>0</v>
      </c>
      <c r="G366">
        <v>2.7185999999999998E-2</v>
      </c>
      <c r="H366">
        <v>2.7185999999999998E-2</v>
      </c>
      <c r="I366">
        <v>0</v>
      </c>
      <c r="J366">
        <v>0</v>
      </c>
      <c r="K366">
        <v>17.598488</v>
      </c>
      <c r="L366">
        <v>40.260492999999997</v>
      </c>
    </row>
    <row r="367" spans="1:12" x14ac:dyDescent="0.35">
      <c r="A367" s="3">
        <v>202211</v>
      </c>
      <c r="B367">
        <v>3.3502160000000001</v>
      </c>
      <c r="C367">
        <v>3.3502160000000001</v>
      </c>
      <c r="D367">
        <v>0</v>
      </c>
      <c r="E367">
        <v>147.52501000000001</v>
      </c>
      <c r="F367">
        <v>0</v>
      </c>
      <c r="G367">
        <v>5.7876149999999997</v>
      </c>
      <c r="H367">
        <v>5.7876149999999997</v>
      </c>
      <c r="I367">
        <v>0</v>
      </c>
      <c r="J367">
        <v>0</v>
      </c>
      <c r="K367">
        <v>16.485804000000002</v>
      </c>
      <c r="L367">
        <v>26.741551999999999</v>
      </c>
    </row>
    <row r="368" spans="1:12" x14ac:dyDescent="0.35">
      <c r="A368" s="3">
        <v>202212</v>
      </c>
      <c r="B368">
        <v>1.830436</v>
      </c>
      <c r="C368">
        <v>1.830436</v>
      </c>
      <c r="D368">
        <v>0</v>
      </c>
      <c r="E368">
        <v>139.760794</v>
      </c>
      <c r="F368">
        <v>0</v>
      </c>
      <c r="G368">
        <v>7.3859899999999996</v>
      </c>
      <c r="H368">
        <v>7.3859899999999996</v>
      </c>
      <c r="I368">
        <v>0</v>
      </c>
      <c r="J368">
        <v>0</v>
      </c>
      <c r="K368">
        <v>21.242028000000001</v>
      </c>
      <c r="L368">
        <v>27.161757000000001</v>
      </c>
    </row>
    <row r="369" spans="1:12" x14ac:dyDescent="0.35">
      <c r="A369" s="3">
        <v>202301</v>
      </c>
      <c r="B369">
        <v>3.5795270000000001</v>
      </c>
      <c r="C369">
        <v>3.5795270000000001</v>
      </c>
      <c r="D369">
        <v>0</v>
      </c>
      <c r="E369">
        <v>143.00295399999999</v>
      </c>
      <c r="F369">
        <v>17.145257000000001</v>
      </c>
      <c r="G369">
        <v>1.199606</v>
      </c>
      <c r="H369">
        <v>1.199606</v>
      </c>
      <c r="I369">
        <v>0</v>
      </c>
      <c r="J369">
        <v>0</v>
      </c>
      <c r="K369">
        <v>22.180007</v>
      </c>
      <c r="L369">
        <v>29.627109999999998</v>
      </c>
    </row>
    <row r="370" spans="1:12" x14ac:dyDescent="0.35">
      <c r="A370" s="3">
        <v>202302</v>
      </c>
      <c r="B370">
        <v>4.1942589999999997</v>
      </c>
      <c r="C370">
        <v>4.1942589999999997</v>
      </c>
      <c r="D370">
        <v>0</v>
      </c>
      <c r="E370">
        <v>93.696096999999995</v>
      </c>
      <c r="F370">
        <v>19.326298000000001</v>
      </c>
      <c r="G370">
        <v>19.182442999999999</v>
      </c>
      <c r="H370">
        <v>19.182442999999999</v>
      </c>
      <c r="I370">
        <v>0</v>
      </c>
      <c r="J370">
        <v>0</v>
      </c>
      <c r="K370">
        <v>10.890502</v>
      </c>
      <c r="L370">
        <v>4.1337149999999996</v>
      </c>
    </row>
    <row r="371" spans="1:12" x14ac:dyDescent="0.35">
      <c r="A371" s="3">
        <v>202303</v>
      </c>
      <c r="B371">
        <v>3.9651239999999999</v>
      </c>
      <c r="C371">
        <v>3.9651239999999999</v>
      </c>
      <c r="D371">
        <v>0</v>
      </c>
      <c r="E371">
        <v>158.595708</v>
      </c>
      <c r="F371">
        <v>18.121794000000001</v>
      </c>
      <c r="G371">
        <v>0.87045300000000003</v>
      </c>
      <c r="H371">
        <v>0.87045300000000003</v>
      </c>
      <c r="I371">
        <v>0</v>
      </c>
      <c r="J371">
        <v>0</v>
      </c>
      <c r="K371">
        <v>9.9024009999999993</v>
      </c>
      <c r="L371">
        <v>27.504511000000001</v>
      </c>
    </row>
    <row r="372" spans="1:12" x14ac:dyDescent="0.35">
      <c r="A372" s="3">
        <v>202304</v>
      </c>
      <c r="B372">
        <v>2.4431029999999998</v>
      </c>
      <c r="C372">
        <v>2.4431029999999998</v>
      </c>
      <c r="D372">
        <v>0</v>
      </c>
      <c r="E372">
        <v>122.585314</v>
      </c>
      <c r="F372">
        <v>8.1639949999999999</v>
      </c>
      <c r="G372">
        <v>1.3351999999999999E-2</v>
      </c>
      <c r="H372">
        <v>9.9000000000000008E-3</v>
      </c>
      <c r="I372">
        <v>3.4520000000000002E-3</v>
      </c>
      <c r="J372">
        <v>0</v>
      </c>
      <c r="K372">
        <v>22.185722999999999</v>
      </c>
      <c r="L372">
        <v>32.668612000000003</v>
      </c>
    </row>
    <row r="373" spans="1:12" x14ac:dyDescent="0.35">
      <c r="A373" s="3">
        <v>202305</v>
      </c>
      <c r="B373">
        <v>0.546539</v>
      </c>
      <c r="C373">
        <v>0.546539</v>
      </c>
      <c r="D373">
        <v>0</v>
      </c>
      <c r="E373">
        <v>157.31024099999999</v>
      </c>
      <c r="F373">
        <v>19.810065999999999</v>
      </c>
      <c r="G373">
        <v>0.15144099999999999</v>
      </c>
      <c r="H373">
        <v>0.15144099999999999</v>
      </c>
      <c r="I373">
        <v>0</v>
      </c>
      <c r="J373">
        <v>0</v>
      </c>
      <c r="K373">
        <v>13.965182</v>
      </c>
      <c r="L373">
        <v>47.542521999999998</v>
      </c>
    </row>
    <row r="374" spans="1:12" x14ac:dyDescent="0.35">
      <c r="A374" s="3">
        <v>202306</v>
      </c>
      <c r="B374">
        <v>3.7346780000000002</v>
      </c>
      <c r="C374">
        <v>3.7346780000000002</v>
      </c>
      <c r="D374">
        <v>0</v>
      </c>
      <c r="E374">
        <v>140.18099799999999</v>
      </c>
      <c r="F374">
        <v>21.945139999999999</v>
      </c>
      <c r="G374">
        <v>0.280084</v>
      </c>
      <c r="H374">
        <v>0.280084</v>
      </c>
      <c r="I374">
        <v>0</v>
      </c>
      <c r="J374">
        <v>0</v>
      </c>
      <c r="K374">
        <v>17.030228999999999</v>
      </c>
      <c r="L374">
        <v>38.198222000000001</v>
      </c>
    </row>
    <row r="375" spans="1:12" x14ac:dyDescent="0.35">
      <c r="A375" s="3">
        <v>202307</v>
      </c>
      <c r="B375">
        <v>2.5329190000000001</v>
      </c>
      <c r="C375">
        <v>2.5329190000000001</v>
      </c>
      <c r="D375">
        <v>0</v>
      </c>
      <c r="E375">
        <v>137.93648300000001</v>
      </c>
      <c r="F375">
        <v>16.181477000000001</v>
      </c>
      <c r="G375">
        <v>0</v>
      </c>
      <c r="H375">
        <v>0</v>
      </c>
      <c r="I375">
        <v>0</v>
      </c>
      <c r="J375">
        <v>0</v>
      </c>
      <c r="K375">
        <v>20.636251999999999</v>
      </c>
      <c r="L375">
        <v>25.642571</v>
      </c>
    </row>
    <row r="376" spans="1:12" x14ac:dyDescent="0.35">
      <c r="A376" s="3">
        <v>202308</v>
      </c>
      <c r="B376">
        <v>3.5451800000000002</v>
      </c>
      <c r="C376">
        <v>3.5451800000000002</v>
      </c>
      <c r="D376">
        <v>0</v>
      </c>
      <c r="E376">
        <v>179.65678199999999</v>
      </c>
      <c r="F376">
        <v>29.99905</v>
      </c>
      <c r="G376">
        <v>2.5107940000000002</v>
      </c>
      <c r="H376">
        <v>2.5107940000000002</v>
      </c>
      <c r="I376">
        <v>0</v>
      </c>
      <c r="J376">
        <v>0</v>
      </c>
      <c r="K376">
        <v>17.916820999999999</v>
      </c>
      <c r="L376">
        <v>29.452134999999998</v>
      </c>
    </row>
    <row r="377" spans="1:12" x14ac:dyDescent="0.35">
      <c r="A377" s="3">
        <v>202309</v>
      </c>
      <c r="B377">
        <v>3.361872</v>
      </c>
      <c r="C377">
        <v>3.361872</v>
      </c>
      <c r="D377">
        <v>0</v>
      </c>
      <c r="E377">
        <v>170.69227900000001</v>
      </c>
      <c r="F377">
        <v>7.9681959999999998</v>
      </c>
      <c r="G377">
        <v>0.10141</v>
      </c>
      <c r="H377">
        <v>0.10141</v>
      </c>
      <c r="I377">
        <v>0</v>
      </c>
      <c r="J377">
        <v>0</v>
      </c>
      <c r="K377">
        <v>16.179231000000001</v>
      </c>
      <c r="L377">
        <v>22.388627</v>
      </c>
    </row>
    <row r="378" spans="1:12" x14ac:dyDescent="0.35">
      <c r="A378" s="3">
        <v>202310</v>
      </c>
      <c r="B378">
        <v>1.051061</v>
      </c>
      <c r="C378">
        <v>1.051061</v>
      </c>
      <c r="D378">
        <v>0</v>
      </c>
      <c r="E378">
        <v>181.67281500000001</v>
      </c>
      <c r="F378">
        <v>5.6052720000000003</v>
      </c>
      <c r="G378">
        <v>152.80385699999999</v>
      </c>
      <c r="H378">
        <v>152.80385699999999</v>
      </c>
      <c r="I378">
        <v>0</v>
      </c>
      <c r="J378">
        <v>0</v>
      </c>
      <c r="K378">
        <v>14.507285</v>
      </c>
      <c r="L378">
        <v>33.096375000000002</v>
      </c>
    </row>
    <row r="379" spans="1:12" x14ac:dyDescent="0.35">
      <c r="A379" s="3">
        <v>202311</v>
      </c>
      <c r="B379">
        <v>79.377405999999993</v>
      </c>
      <c r="C379">
        <v>79.377405999999993</v>
      </c>
      <c r="D379">
        <v>0</v>
      </c>
      <c r="E379">
        <v>156.77121500000001</v>
      </c>
      <c r="F379">
        <v>14.67183</v>
      </c>
      <c r="G379">
        <v>0</v>
      </c>
      <c r="H379">
        <v>0</v>
      </c>
      <c r="I379">
        <v>0</v>
      </c>
      <c r="J379">
        <v>0</v>
      </c>
      <c r="K379">
        <v>10.851616999999999</v>
      </c>
      <c r="L379">
        <v>22.288962999999999</v>
      </c>
    </row>
    <row r="380" spans="1:12" x14ac:dyDescent="0.35">
      <c r="A380" s="3">
        <v>202312</v>
      </c>
      <c r="B380">
        <v>2347.3166959999999</v>
      </c>
      <c r="C380">
        <v>2347.3166959999999</v>
      </c>
      <c r="D380">
        <v>0</v>
      </c>
      <c r="E380">
        <v>140.17443299999999</v>
      </c>
      <c r="F380">
        <v>12.940623</v>
      </c>
      <c r="G380">
        <v>8.4286750000000001</v>
      </c>
      <c r="H380">
        <v>8.4286750000000001</v>
      </c>
      <c r="I380">
        <v>0</v>
      </c>
      <c r="J380">
        <v>0</v>
      </c>
      <c r="K380">
        <v>14.072452999999999</v>
      </c>
      <c r="L380">
        <v>22.518965999999999</v>
      </c>
    </row>
    <row r="381" spans="1:12" x14ac:dyDescent="0.35">
      <c r="A381" s="3">
        <v>202401</v>
      </c>
      <c r="B381">
        <v>2.395073</v>
      </c>
      <c r="C381">
        <v>2.395073</v>
      </c>
      <c r="D381">
        <v>0</v>
      </c>
      <c r="E381">
        <v>214.186847</v>
      </c>
      <c r="F381">
        <v>19.777273000000001</v>
      </c>
      <c r="G381">
        <v>5.9047000000000002E-2</v>
      </c>
      <c r="H381">
        <v>5.9047000000000002E-2</v>
      </c>
      <c r="I381">
        <v>0</v>
      </c>
      <c r="J381">
        <v>0</v>
      </c>
      <c r="K381">
        <v>18.313523</v>
      </c>
      <c r="L381">
        <v>30.062114999999999</v>
      </c>
    </row>
    <row r="382" spans="1:12" x14ac:dyDescent="0.35">
      <c r="A382" s="3">
        <v>202402</v>
      </c>
      <c r="B382">
        <v>16.374701000000002</v>
      </c>
      <c r="C382">
        <v>16.374701000000002</v>
      </c>
      <c r="D382">
        <v>0</v>
      </c>
      <c r="E382">
        <v>169.923509</v>
      </c>
      <c r="F382">
        <v>15.741733</v>
      </c>
      <c r="G382">
        <v>2.9973E-2</v>
      </c>
      <c r="H382">
        <v>2.9973E-2</v>
      </c>
      <c r="I382">
        <v>0</v>
      </c>
      <c r="J382">
        <v>0</v>
      </c>
      <c r="K382">
        <v>9.0622779999999992</v>
      </c>
      <c r="L382">
        <v>16.037673000000002</v>
      </c>
    </row>
    <row r="383" spans="1:12" x14ac:dyDescent="0.35">
      <c r="A383" s="3">
        <v>202403</v>
      </c>
      <c r="B383">
        <v>0.71143500000000004</v>
      </c>
      <c r="C383">
        <v>0.71143500000000004</v>
      </c>
      <c r="D383">
        <v>0</v>
      </c>
      <c r="E383">
        <v>157.83381900000001</v>
      </c>
      <c r="F383">
        <v>22.494160999999998</v>
      </c>
      <c r="G383">
        <v>7.3090000000000002E-2</v>
      </c>
      <c r="H383">
        <v>7.3090000000000002E-2</v>
      </c>
      <c r="I383">
        <v>0</v>
      </c>
      <c r="J383">
        <v>0</v>
      </c>
      <c r="K383">
        <v>11.741175999999999</v>
      </c>
      <c r="L383">
        <v>12.036047</v>
      </c>
    </row>
    <row r="384" spans="1:12" x14ac:dyDescent="0.35">
      <c r="A384" s="3">
        <v>202404</v>
      </c>
      <c r="B384">
        <v>0.16904</v>
      </c>
      <c r="C384">
        <v>0.16904</v>
      </c>
      <c r="D384">
        <v>0</v>
      </c>
      <c r="E384">
        <v>235.693016</v>
      </c>
      <c r="F384">
        <v>33.437455999999997</v>
      </c>
      <c r="G384">
        <v>2.8349999999999998E-3</v>
      </c>
      <c r="H384">
        <v>2.8349999999999998E-3</v>
      </c>
      <c r="I384">
        <v>0</v>
      </c>
      <c r="J384">
        <v>0</v>
      </c>
      <c r="K384">
        <v>15.907197999999999</v>
      </c>
      <c r="L384">
        <v>23.024771999999999</v>
      </c>
    </row>
    <row r="385" spans="1:12" x14ac:dyDescent="0.35">
      <c r="A385" s="3">
        <v>202405</v>
      </c>
      <c r="B385">
        <v>2.520375</v>
      </c>
      <c r="C385">
        <v>2.520375</v>
      </c>
      <c r="D385">
        <v>0</v>
      </c>
      <c r="E385">
        <v>204.81688199999999</v>
      </c>
      <c r="F385">
        <v>17.005019999999998</v>
      </c>
      <c r="G385">
        <v>8.3029999999999996E-3</v>
      </c>
      <c r="H385">
        <v>8.3029999999999996E-3</v>
      </c>
      <c r="I385">
        <v>0</v>
      </c>
      <c r="J385">
        <v>0</v>
      </c>
      <c r="K385">
        <v>16.159476999999999</v>
      </c>
      <c r="L385">
        <v>24.981217000000001</v>
      </c>
    </row>
    <row r="386" spans="1:12" x14ac:dyDescent="0.35">
      <c r="A386" s="3">
        <v>202406</v>
      </c>
      <c r="B386">
        <v>0.32084800000000002</v>
      </c>
      <c r="C386">
        <v>0.32084800000000002</v>
      </c>
      <c r="D386">
        <v>0</v>
      </c>
      <c r="E386">
        <v>134.18836099999999</v>
      </c>
      <c r="F386">
        <v>11.407088</v>
      </c>
      <c r="G386">
        <v>0</v>
      </c>
      <c r="H386">
        <v>0</v>
      </c>
      <c r="I386">
        <v>0</v>
      </c>
      <c r="J386">
        <v>0</v>
      </c>
      <c r="K386">
        <v>14.336425999999999</v>
      </c>
      <c r="L386">
        <v>28.466277000000002</v>
      </c>
    </row>
    <row r="387" spans="1:12" x14ac:dyDescent="0.35">
      <c r="A387" s="3">
        <v>202407</v>
      </c>
      <c r="B387">
        <v>6.3972000000000001E-2</v>
      </c>
      <c r="C387">
        <v>6.3972000000000001E-2</v>
      </c>
      <c r="D387">
        <v>0</v>
      </c>
      <c r="E387">
        <v>206.28580299999999</v>
      </c>
      <c r="F387">
        <v>29.802797999999999</v>
      </c>
      <c r="G387">
        <v>0.35711999999999999</v>
      </c>
      <c r="H387">
        <v>0.35711999999999999</v>
      </c>
      <c r="I387">
        <v>0</v>
      </c>
      <c r="J387">
        <v>0</v>
      </c>
      <c r="K387">
        <v>11.645187</v>
      </c>
      <c r="L387">
        <v>21.718347999999999</v>
      </c>
    </row>
    <row r="388" spans="1:12" x14ac:dyDescent="0.35">
      <c r="A388" s="3">
        <v>202408</v>
      </c>
      <c r="B388">
        <v>0.39193499999999998</v>
      </c>
      <c r="C388">
        <v>0.39193499999999998</v>
      </c>
      <c r="D388">
        <v>0</v>
      </c>
      <c r="E388">
        <v>211.028651</v>
      </c>
      <c r="F388">
        <v>9.4489090000000004</v>
      </c>
      <c r="G388">
        <v>2.988251</v>
      </c>
      <c r="H388">
        <v>2.988251</v>
      </c>
      <c r="I388">
        <v>0</v>
      </c>
      <c r="J388">
        <v>0</v>
      </c>
      <c r="K388">
        <v>28.58201</v>
      </c>
      <c r="L388">
        <v>30.185531999999998</v>
      </c>
    </row>
    <row r="389" spans="1:12" x14ac:dyDescent="0.35">
      <c r="A389" s="3">
        <v>202409</v>
      </c>
      <c r="B389">
        <v>0.39425900000000003</v>
      </c>
      <c r="C389">
        <v>0.39425900000000003</v>
      </c>
      <c r="D389">
        <v>0</v>
      </c>
      <c r="E389">
        <v>259.45690000000002</v>
      </c>
      <c r="F389">
        <v>15.406145</v>
      </c>
      <c r="G389">
        <v>10.189685000000001</v>
      </c>
      <c r="H389">
        <v>10.189685000000001</v>
      </c>
      <c r="I389">
        <v>0</v>
      </c>
      <c r="J389">
        <v>0</v>
      </c>
      <c r="K389">
        <v>28.568016</v>
      </c>
      <c r="L389">
        <v>20.305446</v>
      </c>
    </row>
    <row r="390" spans="1:12" x14ac:dyDescent="0.35">
      <c r="A390" s="3">
        <v>202410</v>
      </c>
      <c r="B390">
        <v>1.406358</v>
      </c>
      <c r="C390">
        <v>1.406358</v>
      </c>
      <c r="D390">
        <v>0</v>
      </c>
      <c r="E390">
        <v>218.742895</v>
      </c>
      <c r="F390">
        <v>5.9418730000000002</v>
      </c>
      <c r="G390">
        <v>77.628260999999995</v>
      </c>
      <c r="H390">
        <v>77.628260999999995</v>
      </c>
      <c r="I390">
        <v>0</v>
      </c>
      <c r="J390">
        <v>0</v>
      </c>
      <c r="K390">
        <v>26.100919000000001</v>
      </c>
      <c r="L390">
        <v>27.187488999999999</v>
      </c>
    </row>
    <row r="391" spans="1:12" x14ac:dyDescent="0.35">
      <c r="A391" s="3">
        <v>202411</v>
      </c>
      <c r="B391">
        <v>13.041494999999999</v>
      </c>
      <c r="C391">
        <v>13.041494999999999</v>
      </c>
      <c r="D391">
        <v>0</v>
      </c>
      <c r="E391">
        <v>227.83342400000001</v>
      </c>
      <c r="F391">
        <v>27.521988</v>
      </c>
      <c r="G391">
        <v>0</v>
      </c>
      <c r="H391">
        <v>0</v>
      </c>
      <c r="I391">
        <v>0</v>
      </c>
      <c r="J391">
        <v>0</v>
      </c>
      <c r="K391">
        <v>15.195948</v>
      </c>
      <c r="L391">
        <v>22.077895000000002</v>
      </c>
    </row>
    <row r="392" spans="1:12" x14ac:dyDescent="0.35">
      <c r="A392" s="3">
        <v>202412</v>
      </c>
      <c r="B392">
        <v>701.27461600000004</v>
      </c>
      <c r="C392">
        <v>701.27461600000004</v>
      </c>
      <c r="D392">
        <v>0</v>
      </c>
      <c r="E392">
        <v>277.79386399999999</v>
      </c>
      <c r="F392">
        <v>32.657862999999999</v>
      </c>
      <c r="G392">
        <v>18.540669999999999</v>
      </c>
      <c r="H392">
        <v>18.540669999999999</v>
      </c>
      <c r="I392">
        <v>0</v>
      </c>
      <c r="J392">
        <v>0</v>
      </c>
      <c r="K392">
        <v>19.399277000000001</v>
      </c>
      <c r="L392">
        <v>16.009121</v>
      </c>
    </row>
    <row r="393" spans="1:12" x14ac:dyDescent="0.35">
      <c r="A393" s="3">
        <v>202501</v>
      </c>
      <c r="B393">
        <v>1466.644534</v>
      </c>
      <c r="C393">
        <v>247.61716999999999</v>
      </c>
      <c r="D393">
        <v>26.840927000000001</v>
      </c>
      <c r="E393">
        <v>1466.644534</v>
      </c>
      <c r="F393">
        <v>0</v>
      </c>
      <c r="G393">
        <v>0.168879</v>
      </c>
      <c r="H393">
        <v>0.168879</v>
      </c>
      <c r="I393">
        <v>22.948989999999998</v>
      </c>
      <c r="J393">
        <v>36.449890000000003</v>
      </c>
      <c r="K393">
        <v>0.168879</v>
      </c>
      <c r="L393">
        <v>0</v>
      </c>
    </row>
    <row r="394" spans="1:12" x14ac:dyDescent="0.35">
      <c r="A394" s="3">
        <v>202502</v>
      </c>
      <c r="B394">
        <v>0.163859</v>
      </c>
      <c r="C394">
        <v>0.163859</v>
      </c>
      <c r="D394">
        <v>0</v>
      </c>
      <c r="E394">
        <v>173.11343199999999</v>
      </c>
      <c r="F394">
        <v>36.837721999999999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12.385680000000001</v>
      </c>
    </row>
    <row r="395" spans="1:12" x14ac:dyDescent="0.35">
      <c r="A395" s="3">
        <v>202503</v>
      </c>
      <c r="B395">
        <v>16.337388000000001</v>
      </c>
      <c r="C395">
        <v>283.97896400000002</v>
      </c>
      <c r="D395">
        <v>13.798902999999999</v>
      </c>
      <c r="E395">
        <v>16.337388000000001</v>
      </c>
      <c r="F395">
        <v>0</v>
      </c>
      <c r="G395">
        <v>0</v>
      </c>
      <c r="H395">
        <v>0</v>
      </c>
      <c r="I395">
        <v>25.625354999999999</v>
      </c>
      <c r="J395">
        <v>11.38776</v>
      </c>
      <c r="K395">
        <v>0</v>
      </c>
      <c r="L395">
        <v>25.625354999999999</v>
      </c>
    </row>
    <row r="396" spans="1:12" x14ac:dyDescent="0.35">
      <c r="A396" s="3">
        <v>202504</v>
      </c>
      <c r="B396">
        <v>5.3453410000000003</v>
      </c>
      <c r="C396">
        <v>5.3453410000000003</v>
      </c>
      <c r="D396">
        <v>0</v>
      </c>
      <c r="E396">
        <v>254.243368</v>
      </c>
      <c r="F396">
        <v>15.653416999999999</v>
      </c>
      <c r="G396">
        <v>0</v>
      </c>
      <c r="H396">
        <v>0</v>
      </c>
      <c r="I396">
        <v>0</v>
      </c>
      <c r="J396">
        <v>0</v>
      </c>
      <c r="K396">
        <v>30.019068000000001</v>
      </c>
      <c r="L396">
        <v>23.839389000000001</v>
      </c>
    </row>
    <row r="397" spans="1:12" x14ac:dyDescent="0.35">
      <c r="A397" s="3">
        <v>202505</v>
      </c>
      <c r="B397">
        <v>0.95557899999999996</v>
      </c>
      <c r="C397">
        <v>0.95557899999999996</v>
      </c>
      <c r="D397">
        <v>0</v>
      </c>
      <c r="E397">
        <v>275.39671199999998</v>
      </c>
      <c r="F397">
        <v>22.240773999999998</v>
      </c>
      <c r="G397">
        <v>176.56325799999999</v>
      </c>
      <c r="H397">
        <v>176.56325799999999</v>
      </c>
      <c r="I397">
        <v>0</v>
      </c>
      <c r="J397">
        <v>0</v>
      </c>
      <c r="K397">
        <v>19.993922000000001</v>
      </c>
      <c r="L397">
        <v>31.283089</v>
      </c>
    </row>
    <row r="398" spans="1:12" x14ac:dyDescent="0.35">
      <c r="A398" s="3">
        <v>202506</v>
      </c>
      <c r="B398">
        <v>9.1999999999999998E-3</v>
      </c>
      <c r="C398">
        <v>9.1999999999999998E-3</v>
      </c>
      <c r="D398">
        <v>0</v>
      </c>
      <c r="E398">
        <v>271.61345399999999</v>
      </c>
      <c r="F398">
        <v>19.750792000000001</v>
      </c>
      <c r="G398">
        <v>0</v>
      </c>
      <c r="H398">
        <v>0</v>
      </c>
      <c r="I398">
        <v>0</v>
      </c>
      <c r="J398">
        <v>0</v>
      </c>
      <c r="K398">
        <v>20.65991</v>
      </c>
      <c r="L398">
        <v>41.384430999999999</v>
      </c>
    </row>
    <row r="399" spans="1:12" x14ac:dyDescent="0.35">
      <c r="A399" s="3">
        <v>202507</v>
      </c>
      <c r="B399">
        <v>1.8124000000000001E-2</v>
      </c>
      <c r="C399">
        <v>1.8124000000000001E-2</v>
      </c>
      <c r="D399">
        <v>0</v>
      </c>
      <c r="E399">
        <v>273.382497</v>
      </c>
      <c r="F399">
        <v>163.845901</v>
      </c>
      <c r="G399">
        <v>0</v>
      </c>
      <c r="H399">
        <v>0</v>
      </c>
      <c r="I399">
        <v>0</v>
      </c>
      <c r="J399">
        <v>0</v>
      </c>
      <c r="K399">
        <v>36.090460999999998</v>
      </c>
      <c r="L399">
        <v>37.510523999999997</v>
      </c>
    </row>
    <row r="400" spans="1:12" x14ac:dyDescent="0.35">
      <c r="A400" s="2" t="s">
        <v>27</v>
      </c>
      <c r="B400">
        <v>1737.6504880599996</v>
      </c>
      <c r="C400">
        <v>1657.1295645899995</v>
      </c>
      <c r="D400">
        <v>1.33358786</v>
      </c>
      <c r="E400">
        <v>2151.9291754800001</v>
      </c>
      <c r="F400">
        <v>82.338240009999993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s="3">
        <v>202201</v>
      </c>
      <c r="B401">
        <v>10.615907</v>
      </c>
      <c r="C401">
        <v>10.615907</v>
      </c>
      <c r="D401">
        <v>0</v>
      </c>
      <c r="E401">
        <v>13.335493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 s="3">
        <v>202202</v>
      </c>
      <c r="B402">
        <v>51.188648000000001</v>
      </c>
      <c r="C402">
        <v>51.188648000000001</v>
      </c>
      <c r="D402">
        <v>0</v>
      </c>
      <c r="E402">
        <v>16.247454000000001</v>
      </c>
      <c r="F402">
        <v>2.1542919999999999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5">
      <c r="A403" s="3">
        <v>202203</v>
      </c>
      <c r="B403">
        <v>15.674823930000001</v>
      </c>
      <c r="C403">
        <v>15.674823930000001</v>
      </c>
      <c r="D403">
        <v>0</v>
      </c>
      <c r="E403">
        <v>8.5433928599999991</v>
      </c>
      <c r="F403">
        <v>2.84789694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5">
      <c r="A404" s="3">
        <v>202204</v>
      </c>
      <c r="B404">
        <v>63.345997709999999</v>
      </c>
      <c r="C404">
        <v>63.345997709999999</v>
      </c>
      <c r="D404">
        <v>0</v>
      </c>
      <c r="E404">
        <v>22.594940010000002</v>
      </c>
      <c r="F404">
        <v>0.91408920999999999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s="3">
        <v>202205</v>
      </c>
      <c r="B405">
        <v>30.90759293</v>
      </c>
      <c r="C405">
        <v>30.90759293</v>
      </c>
      <c r="D405">
        <v>0</v>
      </c>
      <c r="E405">
        <v>13.42481832</v>
      </c>
      <c r="F405">
        <v>3.6107097599999998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 s="3">
        <v>202206</v>
      </c>
      <c r="B406">
        <v>147.04925399999999</v>
      </c>
      <c r="C406">
        <v>147.04925399999999</v>
      </c>
      <c r="D406">
        <v>0</v>
      </c>
      <c r="E406">
        <v>14.553468000000001</v>
      </c>
      <c r="F406">
        <v>0.81656399999999996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 s="3">
        <v>202207</v>
      </c>
      <c r="B407">
        <v>22.653679</v>
      </c>
      <c r="C407">
        <v>22.653679</v>
      </c>
      <c r="D407">
        <v>0</v>
      </c>
      <c r="E407">
        <v>14.174401</v>
      </c>
      <c r="F407">
        <v>0.47081499999999998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 s="3">
        <v>202208</v>
      </c>
      <c r="B408">
        <v>38.466374000000002</v>
      </c>
      <c r="C408">
        <v>38.466374000000002</v>
      </c>
      <c r="D408">
        <v>0</v>
      </c>
      <c r="E408">
        <v>18.468387</v>
      </c>
      <c r="F408">
        <v>7.1908279999999998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5">
      <c r="A409" s="3">
        <v>202209</v>
      </c>
      <c r="B409">
        <v>57.756398439999998</v>
      </c>
      <c r="C409">
        <v>57.756398439999998</v>
      </c>
      <c r="D409">
        <v>0</v>
      </c>
      <c r="E409">
        <v>13.27158966</v>
      </c>
      <c r="F409">
        <v>2.173476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5">
      <c r="A410" s="3">
        <v>202210</v>
      </c>
      <c r="B410">
        <v>24.904759100000003</v>
      </c>
      <c r="C410">
        <v>24.904759100000003</v>
      </c>
      <c r="D410">
        <v>0</v>
      </c>
      <c r="E410">
        <v>12.54914657</v>
      </c>
      <c r="F410">
        <v>0.93226699999999996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s="3">
        <v>202211</v>
      </c>
      <c r="B411">
        <v>26.286930329999997</v>
      </c>
      <c r="C411">
        <v>26.286930329999997</v>
      </c>
      <c r="D411">
        <v>0</v>
      </c>
      <c r="E411">
        <v>18.74776597</v>
      </c>
      <c r="F411">
        <v>1.29596694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5">
      <c r="A412" s="3">
        <v>202212</v>
      </c>
      <c r="B412">
        <v>42.61071201</v>
      </c>
      <c r="C412">
        <v>42.61071201</v>
      </c>
      <c r="D412">
        <v>0</v>
      </c>
      <c r="E412">
        <v>34.213362939999996</v>
      </c>
      <c r="F412">
        <v>1.8648471499999999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5">
      <c r="A413" s="3">
        <v>202301</v>
      </c>
      <c r="B413">
        <v>28.452680440000002</v>
      </c>
      <c r="C413">
        <v>28.452680440000002</v>
      </c>
      <c r="D413">
        <v>0</v>
      </c>
      <c r="E413">
        <v>25.464078449999999</v>
      </c>
      <c r="F413">
        <v>2.2387467200000004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 s="3">
        <v>202302</v>
      </c>
      <c r="B414">
        <v>51.989725790000001</v>
      </c>
      <c r="C414">
        <v>51.989725790000001</v>
      </c>
      <c r="D414">
        <v>0</v>
      </c>
      <c r="E414">
        <v>30.554654719999998</v>
      </c>
      <c r="F414">
        <v>6.89479489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5">
      <c r="A415" s="3">
        <v>202303</v>
      </c>
      <c r="B415">
        <v>32.073962080000001</v>
      </c>
      <c r="C415">
        <v>32.073962080000001</v>
      </c>
      <c r="D415">
        <v>0</v>
      </c>
      <c r="E415">
        <v>21.858664699999999</v>
      </c>
      <c r="F415">
        <v>0.56153308999999996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5">
      <c r="A416" s="3">
        <v>202304</v>
      </c>
      <c r="B416">
        <v>20.181631760000002</v>
      </c>
      <c r="C416">
        <v>20.181631760000002</v>
      </c>
      <c r="D416">
        <v>0</v>
      </c>
      <c r="E416">
        <v>29.527265059999998</v>
      </c>
      <c r="F416">
        <v>3.5081294300000003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5">
      <c r="A417" s="3">
        <v>202305</v>
      </c>
      <c r="B417">
        <v>38.075817100000002</v>
      </c>
      <c r="C417">
        <v>38.075817100000002</v>
      </c>
      <c r="D417">
        <v>0</v>
      </c>
      <c r="E417">
        <v>31.056322730000002</v>
      </c>
      <c r="F417">
        <v>0.23127861999999999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s="3">
        <v>202306</v>
      </c>
      <c r="B418">
        <v>29.780670969999999</v>
      </c>
      <c r="C418">
        <v>29.780670969999999</v>
      </c>
      <c r="D418">
        <v>0</v>
      </c>
      <c r="E418">
        <v>39.575961799999995</v>
      </c>
      <c r="F418">
        <v>2.2962827200000002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35">
      <c r="A419" s="3">
        <v>202307</v>
      </c>
      <c r="B419">
        <v>28.027537149999997</v>
      </c>
      <c r="C419">
        <v>28.027537149999997</v>
      </c>
      <c r="D419">
        <v>0</v>
      </c>
      <c r="E419">
        <v>43.302821209999998</v>
      </c>
      <c r="F419">
        <v>3.16521696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 s="3">
        <v>202308</v>
      </c>
      <c r="B420">
        <v>21.309319940000002</v>
      </c>
      <c r="C420">
        <v>21.309319940000002</v>
      </c>
      <c r="D420">
        <v>0</v>
      </c>
      <c r="E420">
        <v>53.161161030000002</v>
      </c>
      <c r="F420">
        <v>2.91117136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35">
      <c r="A421" s="3">
        <v>202309</v>
      </c>
      <c r="B421">
        <v>25.221989780000001</v>
      </c>
      <c r="C421">
        <v>25.221989780000001</v>
      </c>
      <c r="D421">
        <v>0</v>
      </c>
      <c r="E421">
        <v>72.139439780000004</v>
      </c>
      <c r="F421">
        <v>0.72476733999999998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s="3">
        <v>202310</v>
      </c>
      <c r="B422">
        <v>19.121259970000001</v>
      </c>
      <c r="C422">
        <v>19.121259970000001</v>
      </c>
      <c r="D422">
        <v>0</v>
      </c>
      <c r="E422">
        <v>59.744477289999999</v>
      </c>
      <c r="F422">
        <v>10.921543779999999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5">
      <c r="A423" s="3">
        <v>202311</v>
      </c>
      <c r="B423">
        <v>15.89615667</v>
      </c>
      <c r="C423">
        <v>15.89615667</v>
      </c>
      <c r="D423">
        <v>0</v>
      </c>
      <c r="E423">
        <v>141.75704922</v>
      </c>
      <c r="F423">
        <v>0.99464970999999991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s="3">
        <v>202312</v>
      </c>
      <c r="B424">
        <v>119.12997820999999</v>
      </c>
      <c r="C424">
        <v>119.12997820999999</v>
      </c>
      <c r="D424">
        <v>0</v>
      </c>
      <c r="E424">
        <v>23.379755979999999</v>
      </c>
      <c r="F424">
        <v>0.17082217000000002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 s="3">
        <v>202401</v>
      </c>
      <c r="B425">
        <v>11.093302380000001</v>
      </c>
      <c r="C425">
        <v>11.093302380000001</v>
      </c>
      <c r="D425">
        <v>0</v>
      </c>
      <c r="E425">
        <v>32.466459139999998</v>
      </c>
      <c r="F425">
        <v>3.2165059199999999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s="3">
        <v>202402</v>
      </c>
      <c r="B426">
        <v>63.919368390000002</v>
      </c>
      <c r="C426">
        <v>63.919368390000002</v>
      </c>
      <c r="D426">
        <v>0</v>
      </c>
      <c r="E426">
        <v>14.208004970000001</v>
      </c>
      <c r="F426">
        <v>2.62138955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5">
      <c r="A427" s="3">
        <v>202403</v>
      </c>
      <c r="B427">
        <v>19.973696780000001</v>
      </c>
      <c r="C427">
        <v>19.973696780000001</v>
      </c>
      <c r="D427">
        <v>0</v>
      </c>
      <c r="E427">
        <v>115.13369440000001</v>
      </c>
      <c r="F427">
        <v>0.68116296999999992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5">
      <c r="A428" s="3">
        <v>202404</v>
      </c>
      <c r="B428">
        <v>30.3630131</v>
      </c>
      <c r="C428">
        <v>30.3630131</v>
      </c>
      <c r="D428">
        <v>0</v>
      </c>
      <c r="E428">
        <v>73.627235670000005</v>
      </c>
      <c r="F428">
        <v>0.72238384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s="3">
        <v>202405</v>
      </c>
      <c r="B429">
        <v>14.931954279999999</v>
      </c>
      <c r="C429">
        <v>14.931954279999999</v>
      </c>
      <c r="D429">
        <v>0</v>
      </c>
      <c r="E429">
        <v>73.443410270000001</v>
      </c>
      <c r="F429">
        <v>0.57387765000000002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 s="3">
        <v>202406</v>
      </c>
      <c r="B430">
        <v>57.389620030000003</v>
      </c>
      <c r="C430">
        <v>57.11876822</v>
      </c>
      <c r="D430">
        <v>0.27085180999999997</v>
      </c>
      <c r="E430">
        <v>68.816168180000005</v>
      </c>
      <c r="F430">
        <v>3.9666782400000002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 s="3">
        <v>202407</v>
      </c>
      <c r="B431">
        <v>46.433946599999999</v>
      </c>
      <c r="C431">
        <v>46.433946599999999</v>
      </c>
      <c r="D431">
        <v>0</v>
      </c>
      <c r="E431">
        <v>60.577587100000002</v>
      </c>
      <c r="F431">
        <v>0.51195880999999999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5">
      <c r="A432" s="3">
        <v>202408</v>
      </c>
      <c r="B432">
        <v>54.329041100000005</v>
      </c>
      <c r="C432">
        <v>54.329041100000005</v>
      </c>
      <c r="D432">
        <v>0</v>
      </c>
      <c r="E432">
        <v>61.157300030000002</v>
      </c>
      <c r="F432">
        <v>0.36236377000000003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5">
      <c r="A433" s="3">
        <v>202409</v>
      </c>
      <c r="B433">
        <v>68.74483484000001</v>
      </c>
      <c r="C433">
        <v>68.74483484000001</v>
      </c>
      <c r="D433">
        <v>0</v>
      </c>
      <c r="E433">
        <v>163.13679288999998</v>
      </c>
      <c r="F433">
        <v>0.73159288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s="3">
        <v>202410</v>
      </c>
      <c r="B434">
        <v>24.80574794</v>
      </c>
      <c r="C434">
        <v>24.80574794</v>
      </c>
      <c r="D434">
        <v>0</v>
      </c>
      <c r="E434">
        <v>44.155444150000001</v>
      </c>
      <c r="F434">
        <v>5.4756432000000004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5">
      <c r="A435" s="3">
        <v>202411</v>
      </c>
      <c r="B435">
        <v>16.960809559999998</v>
      </c>
      <c r="C435">
        <v>16.960809559999998</v>
      </c>
      <c r="D435">
        <v>0</v>
      </c>
      <c r="E435">
        <v>37.977517290000002</v>
      </c>
      <c r="F435">
        <v>1.0721430000000001E-2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 s="3">
        <v>202412</v>
      </c>
      <c r="B436">
        <v>74.053127119999999</v>
      </c>
      <c r="C436">
        <v>74.04896045000001</v>
      </c>
      <c r="D436">
        <v>4.1666699999999999E-3</v>
      </c>
      <c r="E436">
        <v>147.37941053</v>
      </c>
      <c r="F436">
        <v>0.67665401999999997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 s="3">
        <v>202501</v>
      </c>
      <c r="B437">
        <v>58.46484675</v>
      </c>
      <c r="C437">
        <v>75.406581489999994</v>
      </c>
      <c r="D437">
        <v>0.11510535000000001</v>
      </c>
      <c r="E437">
        <v>58.46484675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5">
      <c r="A438" s="3">
        <v>202502</v>
      </c>
      <c r="B438">
        <v>30.469520410000001</v>
      </c>
      <c r="C438">
        <v>30.469520410000001</v>
      </c>
      <c r="D438">
        <v>0</v>
      </c>
      <c r="E438">
        <v>35.20419725</v>
      </c>
      <c r="F438">
        <v>1.4796002500000001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 s="3">
        <v>202503</v>
      </c>
      <c r="B439">
        <v>132.61582122999999</v>
      </c>
      <c r="C439">
        <v>35.428181500000001</v>
      </c>
      <c r="D439">
        <v>0.94346403000000001</v>
      </c>
      <c r="E439">
        <v>132.61582122999999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35">
      <c r="A440" s="3">
        <v>202504</v>
      </c>
      <c r="B440">
        <v>22.157071850000001</v>
      </c>
      <c r="C440">
        <v>22.157071850000001</v>
      </c>
      <c r="D440">
        <v>0</v>
      </c>
      <c r="E440">
        <v>49.780474599999998</v>
      </c>
      <c r="F440">
        <v>0.17385528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s="3">
        <v>202505</v>
      </c>
      <c r="B441">
        <v>18.212561129999997</v>
      </c>
      <c r="C441">
        <v>18.212561129999997</v>
      </c>
      <c r="D441">
        <v>0</v>
      </c>
      <c r="E441">
        <v>76.558580079999999</v>
      </c>
      <c r="F441">
        <v>6.577725999999999E-2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s="3">
        <v>202506</v>
      </c>
      <c r="B442">
        <v>24.42215002</v>
      </c>
      <c r="C442">
        <v>24.42215002</v>
      </c>
      <c r="D442">
        <v>0</v>
      </c>
      <c r="E442">
        <v>64.905324329999999</v>
      </c>
      <c r="F442">
        <v>0.62204443000000009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 s="3">
        <v>202507</v>
      </c>
      <c r="B443">
        <v>7.5882482400000004</v>
      </c>
      <c r="C443">
        <v>7.5882482400000004</v>
      </c>
      <c r="D443">
        <v>0</v>
      </c>
      <c r="E443">
        <v>70.675035319999992</v>
      </c>
      <c r="F443">
        <v>1.5553417199999999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 s="2" t="s">
        <v>28</v>
      </c>
      <c r="B444">
        <v>342.36377900000002</v>
      </c>
      <c r="C444">
        <v>896.024539</v>
      </c>
      <c r="D444">
        <v>0</v>
      </c>
      <c r="E444">
        <v>4922.5410249999995</v>
      </c>
      <c r="F444">
        <v>0</v>
      </c>
      <c r="G444">
        <v>10.173848</v>
      </c>
      <c r="H444">
        <v>10.173848</v>
      </c>
      <c r="I444">
        <v>0</v>
      </c>
      <c r="J444">
        <v>0</v>
      </c>
      <c r="K444">
        <v>0</v>
      </c>
      <c r="L444">
        <v>0</v>
      </c>
    </row>
    <row r="445" spans="1:12" x14ac:dyDescent="0.35">
      <c r="A445" s="3">
        <v>202201</v>
      </c>
      <c r="B445">
        <v>0</v>
      </c>
      <c r="C445">
        <v>0</v>
      </c>
      <c r="D445">
        <v>0</v>
      </c>
      <c r="E445">
        <v>28.876581999999999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5">
      <c r="A446" s="3">
        <v>202202</v>
      </c>
      <c r="B446">
        <v>0</v>
      </c>
      <c r="C446">
        <v>0</v>
      </c>
      <c r="D446">
        <v>0</v>
      </c>
      <c r="E446">
        <v>29.574432999999999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5">
      <c r="A447" s="3">
        <v>202203</v>
      </c>
      <c r="B447">
        <v>0</v>
      </c>
      <c r="C447">
        <v>0</v>
      </c>
      <c r="D447">
        <v>0</v>
      </c>
      <c r="E447">
        <v>31.380115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35">
      <c r="A448" s="3">
        <v>202204</v>
      </c>
      <c r="B448">
        <v>0</v>
      </c>
      <c r="C448">
        <v>0</v>
      </c>
      <c r="D448">
        <v>0</v>
      </c>
      <c r="E448">
        <v>29.523330999999999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5">
      <c r="A449" s="3">
        <v>202205</v>
      </c>
      <c r="B449">
        <v>120.24718</v>
      </c>
      <c r="C449">
        <v>120.24718</v>
      </c>
      <c r="D449">
        <v>0</v>
      </c>
      <c r="E449">
        <v>28.583815999999999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5">
      <c r="A450" s="3">
        <v>202206</v>
      </c>
      <c r="B450">
        <v>0</v>
      </c>
      <c r="C450">
        <v>0</v>
      </c>
      <c r="D450">
        <v>0</v>
      </c>
      <c r="E450">
        <v>32.178795999999998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5">
      <c r="A451" s="3">
        <v>202207</v>
      </c>
      <c r="B451">
        <v>0</v>
      </c>
      <c r="C451">
        <v>0</v>
      </c>
      <c r="D451">
        <v>0</v>
      </c>
      <c r="E451">
        <v>31.797671999999999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5">
      <c r="A452" s="3">
        <v>202208</v>
      </c>
      <c r="B452">
        <v>0</v>
      </c>
      <c r="C452">
        <v>0</v>
      </c>
      <c r="D452">
        <v>0</v>
      </c>
      <c r="E452">
        <v>38.611407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5">
      <c r="A453" s="3">
        <v>202209</v>
      </c>
      <c r="B453">
        <v>0</v>
      </c>
      <c r="C453">
        <v>0</v>
      </c>
      <c r="D453">
        <v>0</v>
      </c>
      <c r="E453">
        <v>31.398629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 s="3">
        <v>202210</v>
      </c>
      <c r="B454">
        <v>0</v>
      </c>
      <c r="C454">
        <v>0</v>
      </c>
      <c r="D454">
        <v>0</v>
      </c>
      <c r="E454">
        <v>38.921447999999998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35">
      <c r="A455" s="3">
        <v>202211</v>
      </c>
      <c r="B455">
        <v>0</v>
      </c>
      <c r="C455">
        <v>0</v>
      </c>
      <c r="D455">
        <v>0</v>
      </c>
      <c r="E455">
        <v>42.812047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 s="3">
        <v>202212</v>
      </c>
      <c r="B456">
        <v>0</v>
      </c>
      <c r="C456">
        <v>0</v>
      </c>
      <c r="D456">
        <v>0</v>
      </c>
      <c r="E456">
        <v>47.555050999999999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5">
      <c r="A457" s="3">
        <v>202301</v>
      </c>
      <c r="B457">
        <v>0</v>
      </c>
      <c r="C457">
        <v>0</v>
      </c>
      <c r="D457">
        <v>0</v>
      </c>
      <c r="E457">
        <v>41.460197999999998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5">
      <c r="A458" s="3">
        <v>202302</v>
      </c>
      <c r="B458">
        <v>0</v>
      </c>
      <c r="C458">
        <v>0</v>
      </c>
      <c r="D458">
        <v>0</v>
      </c>
      <c r="E458">
        <v>50.148330999999999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35">
      <c r="A459" s="3">
        <v>202303</v>
      </c>
      <c r="B459">
        <v>0</v>
      </c>
      <c r="C459">
        <v>0</v>
      </c>
      <c r="D459">
        <v>0</v>
      </c>
      <c r="E459">
        <v>50.547992000000001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5">
      <c r="A460" s="3">
        <v>202304</v>
      </c>
      <c r="B460">
        <v>0</v>
      </c>
      <c r="C460">
        <v>0</v>
      </c>
      <c r="D460">
        <v>0</v>
      </c>
      <c r="E460">
        <v>51.683405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 s="3">
        <v>202305</v>
      </c>
      <c r="B461">
        <v>0</v>
      </c>
      <c r="C461">
        <v>0</v>
      </c>
      <c r="D461">
        <v>0</v>
      </c>
      <c r="E461">
        <v>60.665329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5">
      <c r="A462" s="3">
        <v>202306</v>
      </c>
      <c r="B462">
        <v>0</v>
      </c>
      <c r="C462">
        <v>0</v>
      </c>
      <c r="D462">
        <v>0</v>
      </c>
      <c r="E462">
        <v>50.328429999999997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s="3">
        <v>202307</v>
      </c>
      <c r="B463">
        <v>0</v>
      </c>
      <c r="C463">
        <v>0</v>
      </c>
      <c r="D463">
        <v>0</v>
      </c>
      <c r="E463">
        <v>63.723063000000003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s="3">
        <v>202308</v>
      </c>
      <c r="B464">
        <v>0</v>
      </c>
      <c r="C464">
        <v>0</v>
      </c>
      <c r="D464">
        <v>0</v>
      </c>
      <c r="E464">
        <v>75.264048000000003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s="3">
        <v>202309</v>
      </c>
      <c r="B465">
        <v>0</v>
      </c>
      <c r="C465">
        <v>0</v>
      </c>
      <c r="D465">
        <v>0</v>
      </c>
      <c r="E465">
        <v>68.311238000000003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s="3">
        <v>202310</v>
      </c>
      <c r="B466">
        <v>0</v>
      </c>
      <c r="C466">
        <v>0</v>
      </c>
      <c r="D466">
        <v>0</v>
      </c>
      <c r="E466">
        <v>78.538946999999993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5">
      <c r="A467" s="3">
        <v>202311</v>
      </c>
      <c r="B467">
        <v>0</v>
      </c>
      <c r="C467">
        <v>0</v>
      </c>
      <c r="D467">
        <v>0</v>
      </c>
      <c r="E467">
        <v>140.719582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 s="3">
        <v>202312</v>
      </c>
      <c r="B468">
        <v>0</v>
      </c>
      <c r="C468">
        <v>0</v>
      </c>
      <c r="D468">
        <v>0</v>
      </c>
      <c r="E468">
        <v>143.74682100000001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35">
      <c r="A469" s="3">
        <v>202401</v>
      </c>
      <c r="B469">
        <v>0</v>
      </c>
      <c r="C469">
        <v>0</v>
      </c>
      <c r="D469">
        <v>0</v>
      </c>
      <c r="E469">
        <v>139.49791300000001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5">
      <c r="A470" s="3">
        <v>202402</v>
      </c>
      <c r="B470">
        <v>115.85732299999999</v>
      </c>
      <c r="C470">
        <v>115.85732299999999</v>
      </c>
      <c r="D470">
        <v>0</v>
      </c>
      <c r="E470">
        <v>165.34315900000001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5">
      <c r="A471" s="3">
        <v>202403</v>
      </c>
      <c r="B471">
        <v>0</v>
      </c>
      <c r="C471">
        <v>0</v>
      </c>
      <c r="D471">
        <v>0</v>
      </c>
      <c r="E471">
        <v>148.40714800000001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s="3">
        <v>202404</v>
      </c>
      <c r="B472">
        <v>0</v>
      </c>
      <c r="C472">
        <v>0</v>
      </c>
      <c r="D472">
        <v>0</v>
      </c>
      <c r="E472">
        <v>176.337648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5">
      <c r="A473" s="3">
        <v>202405</v>
      </c>
      <c r="B473">
        <v>0</v>
      </c>
      <c r="C473">
        <v>0</v>
      </c>
      <c r="D473">
        <v>0</v>
      </c>
      <c r="E473">
        <v>173.23462499999999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5">
      <c r="A474" s="3">
        <v>202406</v>
      </c>
      <c r="B474">
        <v>0</v>
      </c>
      <c r="C474">
        <v>0</v>
      </c>
      <c r="D474">
        <v>0</v>
      </c>
      <c r="E474">
        <v>156.961412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5">
      <c r="A475" s="3">
        <v>202407</v>
      </c>
      <c r="B475">
        <v>0</v>
      </c>
      <c r="C475">
        <v>0</v>
      </c>
      <c r="D475">
        <v>0</v>
      </c>
      <c r="E475">
        <v>191.68056300000001</v>
      </c>
      <c r="F475">
        <v>0</v>
      </c>
      <c r="G475">
        <v>10.173848</v>
      </c>
      <c r="H475">
        <v>10.173848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 s="3">
        <v>202408</v>
      </c>
      <c r="B476">
        <v>0</v>
      </c>
      <c r="C476">
        <v>0</v>
      </c>
      <c r="D476">
        <v>0</v>
      </c>
      <c r="E476">
        <v>194.03174000000001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5">
      <c r="A477" s="3">
        <v>202409</v>
      </c>
      <c r="B477">
        <v>0</v>
      </c>
      <c r="C477">
        <v>0</v>
      </c>
      <c r="D477">
        <v>0</v>
      </c>
      <c r="E477">
        <v>194.40343999999999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5">
      <c r="A478" s="3">
        <v>202410</v>
      </c>
      <c r="B478">
        <v>0</v>
      </c>
      <c r="C478">
        <v>0</v>
      </c>
      <c r="D478">
        <v>0</v>
      </c>
      <c r="E478">
        <v>204.37579700000001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35">
      <c r="A479" s="3">
        <v>202411</v>
      </c>
      <c r="B479">
        <v>0</v>
      </c>
      <c r="C479">
        <v>0</v>
      </c>
      <c r="D479">
        <v>0</v>
      </c>
      <c r="E479">
        <v>216.533029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s="3">
        <v>202412</v>
      </c>
      <c r="B480">
        <v>0</v>
      </c>
      <c r="C480">
        <v>0</v>
      </c>
      <c r="D480">
        <v>0</v>
      </c>
      <c r="E480">
        <v>224.18751800000001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5">
      <c r="A481" s="3">
        <v>202501</v>
      </c>
      <c r="B481">
        <v>0</v>
      </c>
      <c r="C481">
        <v>248.09147400000001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s="3">
        <v>202502</v>
      </c>
      <c r="B482">
        <v>0</v>
      </c>
      <c r="C482">
        <v>0</v>
      </c>
      <c r="D482">
        <v>0</v>
      </c>
      <c r="E482">
        <v>266.89748800000001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s="3">
        <v>202503</v>
      </c>
      <c r="B483">
        <v>0</v>
      </c>
      <c r="C483">
        <v>305.56928599999998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5">
      <c r="A484" s="3">
        <v>202504</v>
      </c>
      <c r="B484">
        <v>106.259276</v>
      </c>
      <c r="C484">
        <v>106.259276</v>
      </c>
      <c r="D484">
        <v>0</v>
      </c>
      <c r="E484">
        <v>309.97352899999998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s="3">
        <v>202505</v>
      </c>
      <c r="B485">
        <v>0</v>
      </c>
      <c r="C485">
        <v>0</v>
      </c>
      <c r="D485">
        <v>0</v>
      </c>
      <c r="E485">
        <v>253.463843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 s="3">
        <v>202506</v>
      </c>
      <c r="B486">
        <v>0</v>
      </c>
      <c r="C486">
        <v>0</v>
      </c>
      <c r="D486">
        <v>0</v>
      </c>
      <c r="E486">
        <v>273.72756700000002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35">
      <c r="A487" s="3">
        <v>202507</v>
      </c>
      <c r="B487">
        <v>0</v>
      </c>
      <c r="C487">
        <v>0</v>
      </c>
      <c r="D487">
        <v>0</v>
      </c>
      <c r="E487">
        <v>347.133895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5">
      <c r="A488" s="2" t="s">
        <v>62</v>
      </c>
      <c r="B488">
        <v>1.1016629999999998</v>
      </c>
      <c r="C488">
        <v>1.1016629999999998</v>
      </c>
      <c r="D488">
        <v>0</v>
      </c>
      <c r="E488">
        <v>0.67528899999999992</v>
      </c>
      <c r="F488">
        <v>0.55698800000000004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5">
      <c r="A489" s="3">
        <v>202202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35">
      <c r="A490" s="3">
        <v>202204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5">
      <c r="A491" s="3">
        <v>202205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s="3">
        <v>202206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s="3">
        <v>202207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5">
      <c r="A494" s="3">
        <v>202208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5">
      <c r="A495" s="3">
        <v>202209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35">
      <c r="A496" s="3">
        <v>202210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5">
      <c r="A497" s="3">
        <v>202211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s="3">
        <v>202212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5">
      <c r="A499" s="3">
        <v>202301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35">
      <c r="A500" s="3">
        <v>202302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5">
      <c r="A501" s="3">
        <v>202303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5">
      <c r="A502" s="3">
        <v>202304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5">
      <c r="A503" s="3">
        <v>202305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 s="3">
        <v>202306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5">
      <c r="A505" s="3">
        <v>202307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5">
      <c r="A506" s="3">
        <v>202308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 s="3">
        <v>202309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 s="3">
        <v>202310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 s="3">
        <v>202311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 s="3">
        <v>202312</v>
      </c>
      <c r="B510">
        <v>0.53451599999999999</v>
      </c>
      <c r="C510">
        <v>0.53451599999999999</v>
      </c>
      <c r="D510">
        <v>0</v>
      </c>
      <c r="E510">
        <v>7.0904999999999996E-2</v>
      </c>
      <c r="F510">
        <v>0.55698800000000004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35">
      <c r="A511" s="3">
        <v>202401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5">
      <c r="A512" s="3">
        <v>202402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5">
      <c r="A513" s="3">
        <v>202403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5">
      <c r="A514" s="3">
        <v>202404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5">
      <c r="A515" s="3">
        <v>202405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5">
      <c r="A516" s="3">
        <v>202406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5">
      <c r="A517" s="3">
        <v>202407</v>
      </c>
      <c r="B517">
        <v>0.56714699999999996</v>
      </c>
      <c r="C517">
        <v>0.56714699999999996</v>
      </c>
      <c r="D517">
        <v>0</v>
      </c>
      <c r="E517">
        <v>0.56714699999999996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5">
      <c r="A518" s="3">
        <v>202408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5">
      <c r="A519" s="3">
        <v>202409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5">
      <c r="A520" s="3">
        <v>202410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35">
      <c r="A521" s="3">
        <v>202411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35">
      <c r="A522" s="3">
        <v>202412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s="3">
        <v>202501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s="3">
        <v>202502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s="3">
        <v>202503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5">
      <c r="A526" s="3">
        <v>202504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5">
      <c r="A527" s="3">
        <v>202505</v>
      </c>
      <c r="B527">
        <v>0</v>
      </c>
      <c r="C527">
        <v>0</v>
      </c>
      <c r="D527">
        <v>0</v>
      </c>
      <c r="E527">
        <v>3.7236999999999999E-2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5">
      <c r="A528" s="3">
        <v>202506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 s="3">
        <v>202507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s="2" t="s">
        <v>29</v>
      </c>
      <c r="B530">
        <v>1695.629972</v>
      </c>
      <c r="C530">
        <v>1895.4559240000001</v>
      </c>
      <c r="D530">
        <v>2.8459000000000002E-2</v>
      </c>
      <c r="E530">
        <v>3493.3567610000005</v>
      </c>
      <c r="F530">
        <v>56.679766000000001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 s="3">
        <v>202201</v>
      </c>
      <c r="B531">
        <v>6.9119789999999997</v>
      </c>
      <c r="C531">
        <v>6.9119789999999997</v>
      </c>
      <c r="D531">
        <v>0</v>
      </c>
      <c r="E531">
        <v>55.651857999999997</v>
      </c>
      <c r="F531">
        <v>0.13624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 s="3">
        <v>202202</v>
      </c>
      <c r="B532">
        <v>0.49284299999999998</v>
      </c>
      <c r="C532">
        <v>0.49284299999999998</v>
      </c>
      <c r="D532">
        <v>0</v>
      </c>
      <c r="E532">
        <v>38.400877000000001</v>
      </c>
      <c r="F532">
        <v>2.1350000000000001E-2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5">
      <c r="A533" s="3">
        <v>202203</v>
      </c>
      <c r="B533">
        <v>0.31722499999999998</v>
      </c>
      <c r="C533">
        <v>0.31722499999999998</v>
      </c>
      <c r="D533">
        <v>0</v>
      </c>
      <c r="E533">
        <v>53.550829999999998</v>
      </c>
      <c r="F533">
        <v>2.7289999999999998E-2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35">
      <c r="A534" s="3">
        <v>202204</v>
      </c>
      <c r="B534">
        <v>9.2739999999999993E-3</v>
      </c>
      <c r="C534">
        <v>9.2739999999999993E-3</v>
      </c>
      <c r="D534">
        <v>0</v>
      </c>
      <c r="E534">
        <v>47.785091000000001</v>
      </c>
      <c r="F534">
        <v>0.101686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5">
      <c r="A535" s="3">
        <v>202205</v>
      </c>
      <c r="B535">
        <v>8.8875999999999997E-2</v>
      </c>
      <c r="C535">
        <v>8.8875999999999997E-2</v>
      </c>
      <c r="D535">
        <v>0</v>
      </c>
      <c r="E535">
        <v>49.066239000000003</v>
      </c>
      <c r="F535">
        <v>2.5432E-2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5">
      <c r="A536" s="3">
        <v>202206</v>
      </c>
      <c r="B536">
        <v>2.1329000000000001E-2</v>
      </c>
      <c r="C536">
        <v>2.1329000000000001E-2</v>
      </c>
      <c r="D536">
        <v>0</v>
      </c>
      <c r="E536">
        <v>46.444288</v>
      </c>
      <c r="F536">
        <v>1.7187999999999998E-2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 s="3">
        <v>202207</v>
      </c>
      <c r="B537">
        <v>0.174015</v>
      </c>
      <c r="C537">
        <v>0.174015</v>
      </c>
      <c r="D537">
        <v>0</v>
      </c>
      <c r="E537">
        <v>70.381963999999996</v>
      </c>
      <c r="F537">
        <v>5.9041999999999997E-2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5">
      <c r="A538" s="3">
        <v>202208</v>
      </c>
      <c r="B538">
        <v>3.5977000000000002E-2</v>
      </c>
      <c r="C538">
        <v>3.5977000000000002E-2</v>
      </c>
      <c r="D538">
        <v>0</v>
      </c>
      <c r="E538">
        <v>57.803291000000002</v>
      </c>
      <c r="F538">
        <v>4.1922000000000001E-2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 s="3">
        <v>202209</v>
      </c>
      <c r="B539">
        <v>0.13572999999999999</v>
      </c>
      <c r="C539">
        <v>0.13572999999999999</v>
      </c>
      <c r="D539">
        <v>0</v>
      </c>
      <c r="E539">
        <v>47.274265</v>
      </c>
      <c r="F539">
        <v>0.19464799999999999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5">
      <c r="A540" s="3">
        <v>202210</v>
      </c>
      <c r="B540">
        <v>9.3132000000000006E-2</v>
      </c>
      <c r="C540">
        <v>9.3132000000000006E-2</v>
      </c>
      <c r="D540">
        <v>0</v>
      </c>
      <c r="E540">
        <v>56.710647000000002</v>
      </c>
      <c r="F540">
        <v>9.8433000000000007E-2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5">
      <c r="A541" s="3">
        <v>202211</v>
      </c>
      <c r="B541">
        <v>18.431412000000002</v>
      </c>
      <c r="C541">
        <v>18.431412000000002</v>
      </c>
      <c r="D541">
        <v>0</v>
      </c>
      <c r="E541">
        <v>51.331477</v>
      </c>
      <c r="F541">
        <v>0.15218499999999999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35">
      <c r="A542" s="3">
        <v>202212</v>
      </c>
      <c r="B542">
        <v>0.52290700000000001</v>
      </c>
      <c r="C542">
        <v>0.52290700000000001</v>
      </c>
      <c r="D542">
        <v>0</v>
      </c>
      <c r="E542">
        <v>61.707081000000002</v>
      </c>
      <c r="F542">
        <v>7.6710940000000001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5">
      <c r="A543" s="3">
        <v>202301</v>
      </c>
      <c r="B543">
        <v>1.9279000000000001E-2</v>
      </c>
      <c r="C543">
        <v>1.9279000000000001E-2</v>
      </c>
      <c r="D543">
        <v>0</v>
      </c>
      <c r="E543">
        <v>72.805623999999995</v>
      </c>
      <c r="F543">
        <v>1.3217E-2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 s="3">
        <v>202302</v>
      </c>
      <c r="B544">
        <v>0.27916800000000003</v>
      </c>
      <c r="C544">
        <v>0.27916800000000003</v>
      </c>
      <c r="D544">
        <v>0</v>
      </c>
      <c r="E544">
        <v>48.474846999999997</v>
      </c>
      <c r="F544">
        <v>3.8928999999999998E-2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5">
      <c r="A545" s="3">
        <v>202303</v>
      </c>
      <c r="B545">
        <v>3.3119999999999998E-3</v>
      </c>
      <c r="C545">
        <v>3.3119999999999998E-3</v>
      </c>
      <c r="D545">
        <v>0</v>
      </c>
      <c r="E545">
        <v>63.256033000000002</v>
      </c>
      <c r="F545">
        <v>0.11637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5">
      <c r="A546" s="3">
        <v>202304</v>
      </c>
      <c r="B546">
        <v>400.939752</v>
      </c>
      <c r="C546">
        <v>400.939752</v>
      </c>
      <c r="D546">
        <v>0</v>
      </c>
      <c r="E546">
        <v>62.709291999999998</v>
      </c>
      <c r="F546">
        <v>0.31920100000000001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5">
      <c r="A547" s="3">
        <v>202305</v>
      </c>
      <c r="B547">
        <v>328.48998399999999</v>
      </c>
      <c r="C547">
        <v>328.48998399999999</v>
      </c>
      <c r="D547">
        <v>0</v>
      </c>
      <c r="E547">
        <v>56.201448999999997</v>
      </c>
      <c r="F547">
        <v>0.576152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5">
      <c r="A548" s="3">
        <v>202306</v>
      </c>
      <c r="B548">
        <v>2.7202299999999999</v>
      </c>
      <c r="C548">
        <v>2.7202299999999999</v>
      </c>
      <c r="D548">
        <v>0</v>
      </c>
      <c r="E548">
        <v>71.739356000000001</v>
      </c>
      <c r="F548">
        <v>2.7557999999999999E-2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 s="3">
        <v>202307</v>
      </c>
      <c r="B549">
        <v>1.5374000000000001E-2</v>
      </c>
      <c r="C549">
        <v>1.5374000000000001E-2</v>
      </c>
      <c r="D549">
        <v>0</v>
      </c>
      <c r="E549">
        <v>88.288724000000002</v>
      </c>
      <c r="F549">
        <v>2.3882E-2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5">
      <c r="A550" s="3">
        <v>202308</v>
      </c>
      <c r="B550">
        <v>0.47906300000000002</v>
      </c>
      <c r="C550">
        <v>0.47906300000000002</v>
      </c>
      <c r="D550">
        <v>0</v>
      </c>
      <c r="E550">
        <v>72.344652999999994</v>
      </c>
      <c r="F550">
        <v>1.4945E-2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5">
      <c r="A551" s="3">
        <v>202309</v>
      </c>
      <c r="B551">
        <v>135.10688300000001</v>
      </c>
      <c r="C551">
        <v>135.10688300000001</v>
      </c>
      <c r="D551">
        <v>0</v>
      </c>
      <c r="E551">
        <v>135.68107599999999</v>
      </c>
      <c r="F551">
        <v>18.620519999999999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 s="3">
        <v>202310</v>
      </c>
      <c r="B552">
        <v>0.83582199999999995</v>
      </c>
      <c r="C552">
        <v>0.83582199999999995</v>
      </c>
      <c r="D552">
        <v>0</v>
      </c>
      <c r="E552">
        <v>155.12697499999999</v>
      </c>
      <c r="F552">
        <v>1.2167000000000001E-2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5">
      <c r="A553" s="3">
        <v>202311</v>
      </c>
      <c r="B553">
        <v>4.1809999999999998E-3</v>
      </c>
      <c r="C553">
        <v>4.1809999999999998E-3</v>
      </c>
      <c r="D553">
        <v>0</v>
      </c>
      <c r="E553">
        <v>153.235015</v>
      </c>
      <c r="F553">
        <v>7.4398000000000006E-2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 s="3">
        <v>202312</v>
      </c>
      <c r="B554">
        <v>0.30431599999999998</v>
      </c>
      <c r="C554">
        <v>0.30431599999999998</v>
      </c>
      <c r="D554">
        <v>0</v>
      </c>
      <c r="E554">
        <v>109.150795</v>
      </c>
      <c r="F554">
        <v>0.295653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5">
      <c r="A555" s="3">
        <v>202401</v>
      </c>
      <c r="B555">
        <v>9.7646999999999998E-2</v>
      </c>
      <c r="C555">
        <v>9.7646999999999998E-2</v>
      </c>
      <c r="D555">
        <v>0</v>
      </c>
      <c r="E555">
        <v>114.49453099999999</v>
      </c>
      <c r="F555">
        <v>2.0975000000000001E-2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5">
      <c r="A556" s="3">
        <v>202402</v>
      </c>
      <c r="B556">
        <v>1.4293999999999999E-2</v>
      </c>
      <c r="C556">
        <v>1.4293999999999999E-2</v>
      </c>
      <c r="D556">
        <v>0</v>
      </c>
      <c r="E556">
        <v>102.391353</v>
      </c>
      <c r="F556">
        <v>0.223132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5">
      <c r="A557" s="3">
        <v>202403</v>
      </c>
      <c r="B557">
        <v>6.7219999999999997E-3</v>
      </c>
      <c r="C557">
        <v>6.7219999999999997E-3</v>
      </c>
      <c r="D557">
        <v>0</v>
      </c>
      <c r="E557">
        <v>85.559607</v>
      </c>
      <c r="F557">
        <v>1.5077999999999999E-2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s="3">
        <v>202404</v>
      </c>
      <c r="B558">
        <v>0.43281199999999997</v>
      </c>
      <c r="C558">
        <v>0.43281199999999997</v>
      </c>
      <c r="D558">
        <v>0</v>
      </c>
      <c r="E558">
        <v>89.207902000000004</v>
      </c>
      <c r="F558">
        <v>1.9269000000000001E-2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35">
      <c r="A559" s="3">
        <v>202405</v>
      </c>
      <c r="B559">
        <v>2.4077999999999999E-2</v>
      </c>
      <c r="C559">
        <v>2.4077999999999999E-2</v>
      </c>
      <c r="D559">
        <v>0</v>
      </c>
      <c r="E559">
        <v>110.925546</v>
      </c>
      <c r="F559">
        <v>1.519E-2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5">
      <c r="A560" s="3">
        <v>202406</v>
      </c>
      <c r="B560">
        <v>1.83E-4</v>
      </c>
      <c r="C560">
        <v>1.83E-4</v>
      </c>
      <c r="D560">
        <v>0</v>
      </c>
      <c r="E560">
        <v>85.190715999999995</v>
      </c>
      <c r="F560">
        <v>5.4350999999999997E-2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35">
      <c r="A561" s="3">
        <v>202407</v>
      </c>
      <c r="B561">
        <v>5.1433E-2</v>
      </c>
      <c r="C561">
        <v>5.1433E-2</v>
      </c>
      <c r="D561">
        <v>0</v>
      </c>
      <c r="E561">
        <v>112.964</v>
      </c>
      <c r="F561">
        <v>7.4549000000000004E-2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5">
      <c r="A562" s="3">
        <v>202408</v>
      </c>
      <c r="B562">
        <v>7.5085430000000004</v>
      </c>
      <c r="C562">
        <v>7.5085430000000004</v>
      </c>
      <c r="D562">
        <v>0</v>
      </c>
      <c r="E562">
        <v>117.17300299999999</v>
      </c>
      <c r="F562">
        <v>2.5998E-2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 s="3">
        <v>202409</v>
      </c>
      <c r="B563">
        <v>4.2345759999999997</v>
      </c>
      <c r="C563">
        <v>4.2345759999999997</v>
      </c>
      <c r="D563">
        <v>0</v>
      </c>
      <c r="E563">
        <v>91.718695999999994</v>
      </c>
      <c r="F563">
        <v>4.731E-3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5">
      <c r="A564" s="3">
        <v>202410</v>
      </c>
      <c r="B564">
        <v>1.5839190000000001</v>
      </c>
      <c r="C564">
        <v>1.5839190000000001</v>
      </c>
      <c r="D564">
        <v>0</v>
      </c>
      <c r="E564">
        <v>107.774236</v>
      </c>
      <c r="F564">
        <v>3.7997999999999997E-2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s="3">
        <v>202411</v>
      </c>
      <c r="B565">
        <v>761.88951199999997</v>
      </c>
      <c r="C565">
        <v>761.88951199999997</v>
      </c>
      <c r="D565">
        <v>0</v>
      </c>
      <c r="E565">
        <v>99.593174000000005</v>
      </c>
      <c r="F565">
        <v>17.805121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35">
      <c r="A566" s="3">
        <v>202412</v>
      </c>
      <c r="B566">
        <v>1.1640109999999999</v>
      </c>
      <c r="C566">
        <v>1.1640109999999999</v>
      </c>
      <c r="D566">
        <v>0</v>
      </c>
      <c r="E566">
        <v>128.513048</v>
      </c>
      <c r="F566">
        <v>9.3129489999999997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35">
      <c r="A567" s="3">
        <v>202501</v>
      </c>
      <c r="B567">
        <v>2.560781</v>
      </c>
      <c r="C567">
        <v>105.41974</v>
      </c>
      <c r="D567">
        <v>2.0879000000000002E-2</v>
      </c>
      <c r="E567">
        <v>2.560781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35">
      <c r="A568" s="3">
        <v>202502</v>
      </c>
      <c r="B568">
        <v>5.805606</v>
      </c>
      <c r="C568">
        <v>5.805606</v>
      </c>
      <c r="D568">
        <v>0</v>
      </c>
      <c r="E568">
        <v>75.348663999999999</v>
      </c>
      <c r="F568">
        <v>1.064E-2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5">
      <c r="A569" s="3">
        <v>202503</v>
      </c>
      <c r="B569">
        <v>0.79854800000000004</v>
      </c>
      <c r="C569">
        <v>97.765540999999999</v>
      </c>
      <c r="D569">
        <v>7.5799999999999999E-3</v>
      </c>
      <c r="E569">
        <v>0.79854800000000004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 s="3">
        <v>202504</v>
      </c>
      <c r="B570">
        <v>3.7882169999999999</v>
      </c>
      <c r="C570">
        <v>3.7882169999999999</v>
      </c>
      <c r="D570">
        <v>0</v>
      </c>
      <c r="E570">
        <v>104.171581</v>
      </c>
      <c r="F570">
        <v>2.0702000000000002E-2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35">
      <c r="A571" s="3">
        <v>202505</v>
      </c>
      <c r="B571">
        <v>4.6487829999999999</v>
      </c>
      <c r="C571">
        <v>4.6487829999999999</v>
      </c>
      <c r="D571">
        <v>0</v>
      </c>
      <c r="E571">
        <v>94.435177999999993</v>
      </c>
      <c r="F571">
        <v>0.28067599999999998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35">
      <c r="A572" s="3">
        <v>202506</v>
      </c>
      <c r="B572">
        <v>3.317879</v>
      </c>
      <c r="C572">
        <v>3.317879</v>
      </c>
      <c r="D572">
        <v>0</v>
      </c>
      <c r="E572">
        <v>106.31018299999999</v>
      </c>
      <c r="F572">
        <v>1.5237000000000001E-2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35">
      <c r="A573" s="3">
        <v>202507</v>
      </c>
      <c r="B573">
        <v>1.270365</v>
      </c>
      <c r="C573">
        <v>1.270365</v>
      </c>
      <c r="D573">
        <v>0</v>
      </c>
      <c r="E573">
        <v>139.10426699999999</v>
      </c>
      <c r="F573">
        <v>6.3668000000000002E-2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 s="2" t="s">
        <v>30</v>
      </c>
      <c r="B574">
        <v>5510.6835084700006</v>
      </c>
      <c r="C574">
        <v>7989.3821382300011</v>
      </c>
      <c r="D574">
        <v>350.82520909000004</v>
      </c>
      <c r="E574">
        <v>46201.787253269998</v>
      </c>
      <c r="F574">
        <v>7278.5363743699982</v>
      </c>
      <c r="G574">
        <v>178.77713066000001</v>
      </c>
      <c r="H574">
        <v>182.87339939</v>
      </c>
      <c r="I574">
        <v>97.202098970000009</v>
      </c>
      <c r="J574">
        <v>96.088448459999995</v>
      </c>
      <c r="K574">
        <v>902.56255302000011</v>
      </c>
      <c r="L574">
        <v>238.67648934000005</v>
      </c>
    </row>
    <row r="575" spans="1:12" x14ac:dyDescent="0.35">
      <c r="A575" s="3">
        <v>202201</v>
      </c>
      <c r="B575">
        <v>202.98479850000001</v>
      </c>
      <c r="C575">
        <v>202.98479850000001</v>
      </c>
      <c r="D575">
        <v>0</v>
      </c>
      <c r="E575">
        <v>758.95794341999999</v>
      </c>
      <c r="F575">
        <v>217.54231605000001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5">
      <c r="A576" s="3">
        <v>202202</v>
      </c>
      <c r="B576">
        <v>87.122049290000007</v>
      </c>
      <c r="C576">
        <v>87.122049290000007</v>
      </c>
      <c r="D576">
        <v>0</v>
      </c>
      <c r="E576">
        <v>784.1253183099999</v>
      </c>
      <c r="F576">
        <v>236.28647784999998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5">
      <c r="A577" s="3">
        <v>202203</v>
      </c>
      <c r="B577">
        <v>102.52608481</v>
      </c>
      <c r="C577">
        <v>102.52608481</v>
      </c>
      <c r="D577">
        <v>0</v>
      </c>
      <c r="E577">
        <v>823.09823169000003</v>
      </c>
      <c r="F577">
        <v>276.01002726999997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5">
      <c r="A578" s="3">
        <v>202204</v>
      </c>
      <c r="B578">
        <v>76.513828619999998</v>
      </c>
      <c r="C578">
        <v>76.513245730000008</v>
      </c>
      <c r="D578">
        <v>0</v>
      </c>
      <c r="E578">
        <v>849.24666021000007</v>
      </c>
      <c r="F578">
        <v>140.04152845999999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5">
      <c r="A579" s="3">
        <v>202205</v>
      </c>
      <c r="B579">
        <v>72.802496950000005</v>
      </c>
      <c r="C579">
        <v>72.802413139999999</v>
      </c>
      <c r="D579">
        <v>0</v>
      </c>
      <c r="E579">
        <v>761.81915932000004</v>
      </c>
      <c r="F579">
        <v>185.26830000000001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5">
      <c r="A580" s="3">
        <v>202206</v>
      </c>
      <c r="B580">
        <v>64.111251600000003</v>
      </c>
      <c r="C580">
        <v>64.110430280000003</v>
      </c>
      <c r="D580">
        <v>0</v>
      </c>
      <c r="E580">
        <v>730.16856703999997</v>
      </c>
      <c r="F580">
        <v>137.70846054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35">
      <c r="A581" s="3">
        <v>202207</v>
      </c>
      <c r="B581">
        <v>315.57492643</v>
      </c>
      <c r="C581">
        <v>315.57476821</v>
      </c>
      <c r="D581">
        <v>0</v>
      </c>
      <c r="E581">
        <v>865.41361890999997</v>
      </c>
      <c r="F581">
        <v>165.33906119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5">
      <c r="A582" s="3">
        <v>202208</v>
      </c>
      <c r="B582">
        <v>89.553545270000001</v>
      </c>
      <c r="C582">
        <v>89.553470140000002</v>
      </c>
      <c r="D582">
        <v>0</v>
      </c>
      <c r="E582">
        <v>920.46678569000005</v>
      </c>
      <c r="F582">
        <v>125.73309689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5">
      <c r="A583" s="3">
        <v>202209</v>
      </c>
      <c r="B583">
        <v>56.710294159999997</v>
      </c>
      <c r="C583">
        <v>56.710294159999997</v>
      </c>
      <c r="D583">
        <v>0</v>
      </c>
      <c r="E583">
        <v>890.73016044000008</v>
      </c>
      <c r="F583">
        <v>141.37334108000002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5">
      <c r="A584" s="3">
        <v>202210</v>
      </c>
      <c r="B584">
        <v>62.933200859999999</v>
      </c>
      <c r="C584">
        <v>62.932121860000002</v>
      </c>
      <c r="D584">
        <v>0</v>
      </c>
      <c r="E584">
        <v>892.42597336999995</v>
      </c>
      <c r="F584">
        <v>183.07034937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35">
      <c r="A585" s="3">
        <v>202211</v>
      </c>
      <c r="B585">
        <v>80.734733579999997</v>
      </c>
      <c r="C585">
        <v>80.734733579999997</v>
      </c>
      <c r="D585">
        <v>0</v>
      </c>
      <c r="E585">
        <v>936.45483815</v>
      </c>
      <c r="F585">
        <v>207.69630025000001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5">
      <c r="A586" s="3">
        <v>202212</v>
      </c>
      <c r="B586">
        <v>325.26447200000001</v>
      </c>
      <c r="C586">
        <v>325.26342399999999</v>
      </c>
      <c r="D586">
        <v>0</v>
      </c>
      <c r="E586">
        <v>1038.18231457</v>
      </c>
      <c r="F586">
        <v>207.0741639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5">
      <c r="A587" s="3">
        <v>202301</v>
      </c>
      <c r="B587">
        <v>47.568236770000006</v>
      </c>
      <c r="C587">
        <v>47.568236770000006</v>
      </c>
      <c r="D587">
        <v>0</v>
      </c>
      <c r="E587">
        <v>1113.8893330799999</v>
      </c>
      <c r="F587">
        <v>164.64799063999999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5">
      <c r="A588" s="3">
        <v>202302</v>
      </c>
      <c r="B588">
        <v>65.38812811999999</v>
      </c>
      <c r="C588">
        <v>65.38812811999999</v>
      </c>
      <c r="D588">
        <v>0</v>
      </c>
      <c r="E588">
        <v>1069.3183936299999</v>
      </c>
      <c r="F588">
        <v>147.05222943999999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5">
      <c r="A589" s="3">
        <v>202303</v>
      </c>
      <c r="B589">
        <v>78.740011249999995</v>
      </c>
      <c r="C589">
        <v>78.740011249999995</v>
      </c>
      <c r="D589">
        <v>0</v>
      </c>
      <c r="E589">
        <v>1154.1886167499999</v>
      </c>
      <c r="F589">
        <v>139.12339034999999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5">
      <c r="A590" s="3">
        <v>202304</v>
      </c>
      <c r="B590">
        <v>154.9043508</v>
      </c>
      <c r="C590">
        <v>154.9043508</v>
      </c>
      <c r="D590">
        <v>0</v>
      </c>
      <c r="E590">
        <v>1104.4182933699999</v>
      </c>
      <c r="F590">
        <v>135.47045365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5">
      <c r="A591" s="3">
        <v>202305</v>
      </c>
      <c r="B591">
        <v>311.63356069000002</v>
      </c>
      <c r="C591">
        <v>311.63354742000001</v>
      </c>
      <c r="D591">
        <v>0</v>
      </c>
      <c r="E591">
        <v>1039.4925968099999</v>
      </c>
      <c r="F591">
        <v>181.51969106000001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 s="3">
        <v>202306</v>
      </c>
      <c r="B592">
        <v>48.666432409999999</v>
      </c>
      <c r="C592">
        <v>48.666432409999999</v>
      </c>
      <c r="D592">
        <v>0</v>
      </c>
      <c r="E592">
        <v>1000.46120487</v>
      </c>
      <c r="F592">
        <v>177.78889483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 s="3">
        <v>202307</v>
      </c>
      <c r="B593">
        <v>68.397693450000006</v>
      </c>
      <c r="C593">
        <v>68.397693450000006</v>
      </c>
      <c r="D593">
        <v>0</v>
      </c>
      <c r="E593">
        <v>1195.2543662200001</v>
      </c>
      <c r="F593">
        <v>212.8869775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5">
      <c r="A594" s="3">
        <v>202308</v>
      </c>
      <c r="B594">
        <v>70.429715029999997</v>
      </c>
      <c r="C594">
        <v>70.429715029999997</v>
      </c>
      <c r="D594">
        <v>0</v>
      </c>
      <c r="E594">
        <v>1342.5666030299999</v>
      </c>
      <c r="F594">
        <v>164.24415043000002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35">
      <c r="A595" s="3">
        <v>202309</v>
      </c>
      <c r="B595">
        <v>73.976180859999999</v>
      </c>
      <c r="C595">
        <v>73.976180859999999</v>
      </c>
      <c r="D595">
        <v>0</v>
      </c>
      <c r="E595">
        <v>1254.2826285000001</v>
      </c>
      <c r="F595">
        <v>203.38931334999998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s="3">
        <v>202310</v>
      </c>
      <c r="B596">
        <v>204.80198958000003</v>
      </c>
      <c r="C596">
        <v>204.80191855999999</v>
      </c>
      <c r="D596">
        <v>0</v>
      </c>
      <c r="E596">
        <v>1317.28925916</v>
      </c>
      <c r="F596">
        <v>203.35328013999998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s="3">
        <v>202311</v>
      </c>
      <c r="B597">
        <v>131.84552629000001</v>
      </c>
      <c r="C597">
        <v>131.84533851</v>
      </c>
      <c r="D597">
        <v>0</v>
      </c>
      <c r="E597">
        <v>1231.4914172700001</v>
      </c>
      <c r="F597">
        <v>164.21511036999999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35">
      <c r="A598" s="3">
        <v>202312</v>
      </c>
      <c r="B598">
        <v>186.10463622999998</v>
      </c>
      <c r="C598">
        <v>186.10461587</v>
      </c>
      <c r="D598">
        <v>0</v>
      </c>
      <c r="E598">
        <v>1348.15474032</v>
      </c>
      <c r="F598">
        <v>183.55348716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s="3">
        <v>202401</v>
      </c>
      <c r="B599">
        <v>127.62998359999999</v>
      </c>
      <c r="C599">
        <v>127.62988885</v>
      </c>
      <c r="D599">
        <v>0</v>
      </c>
      <c r="E599">
        <v>1487.5069668199999</v>
      </c>
      <c r="F599">
        <v>152.41285221999999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s="3">
        <v>202402</v>
      </c>
      <c r="B600">
        <v>327.67941530000002</v>
      </c>
      <c r="C600">
        <v>327.67941530000002</v>
      </c>
      <c r="D600">
        <v>0</v>
      </c>
      <c r="E600">
        <v>1373.40238279</v>
      </c>
      <c r="F600">
        <v>177.42420888999999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5">
      <c r="A601" s="3">
        <v>202403</v>
      </c>
      <c r="B601">
        <v>75.302616610000001</v>
      </c>
      <c r="C601">
        <v>75.302616610000001</v>
      </c>
      <c r="D601">
        <v>0</v>
      </c>
      <c r="E601">
        <v>1347.1370077399999</v>
      </c>
      <c r="F601">
        <v>226.18117419999999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5">
      <c r="A602" s="3">
        <v>202404</v>
      </c>
      <c r="B602">
        <v>138.32750862999998</v>
      </c>
      <c r="C602">
        <v>138.32730122000001</v>
      </c>
      <c r="D602">
        <v>0</v>
      </c>
      <c r="E602">
        <v>1361.3140012700001</v>
      </c>
      <c r="F602">
        <v>165.94356361000001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s="3">
        <v>202405</v>
      </c>
      <c r="B603">
        <v>111.52415659</v>
      </c>
      <c r="C603">
        <v>111.52415659</v>
      </c>
      <c r="D603">
        <v>0</v>
      </c>
      <c r="E603">
        <v>1154.77155831</v>
      </c>
      <c r="F603">
        <v>243.57021644999998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s="3">
        <v>202406</v>
      </c>
      <c r="B604">
        <v>61.871041840000004</v>
      </c>
      <c r="C604">
        <v>61.871041840000004</v>
      </c>
      <c r="D604">
        <v>0</v>
      </c>
      <c r="E604">
        <v>1041.8408038</v>
      </c>
      <c r="F604">
        <v>147.90525668000001</v>
      </c>
      <c r="G604">
        <v>7.79113831</v>
      </c>
      <c r="H604">
        <v>7.79113831</v>
      </c>
      <c r="I604">
        <v>0</v>
      </c>
      <c r="J604">
        <v>0</v>
      </c>
      <c r="K604">
        <v>66.549384469999993</v>
      </c>
      <c r="L604">
        <v>12.12521946</v>
      </c>
    </row>
    <row r="605" spans="1:12" x14ac:dyDescent="0.35">
      <c r="A605" s="3">
        <v>202407</v>
      </c>
      <c r="B605">
        <v>104.79038698999999</v>
      </c>
      <c r="C605">
        <v>104.79038698999999</v>
      </c>
      <c r="D605">
        <v>0</v>
      </c>
      <c r="E605">
        <v>1223.87666184</v>
      </c>
      <c r="F605">
        <v>238.09057607</v>
      </c>
      <c r="G605">
        <v>23.347267370000001</v>
      </c>
      <c r="H605">
        <v>23.347267370000001</v>
      </c>
      <c r="I605">
        <v>0</v>
      </c>
      <c r="J605">
        <v>0</v>
      </c>
      <c r="K605">
        <v>70.617026049999993</v>
      </c>
      <c r="L605">
        <v>16.207788439999998</v>
      </c>
    </row>
    <row r="606" spans="1:12" x14ac:dyDescent="0.35">
      <c r="A606" s="3">
        <v>202408</v>
      </c>
      <c r="B606">
        <v>99.097685420000005</v>
      </c>
      <c r="C606">
        <v>99.097685420000005</v>
      </c>
      <c r="D606">
        <v>0</v>
      </c>
      <c r="E606">
        <v>1203.0990882000001</v>
      </c>
      <c r="F606">
        <v>166.53517545</v>
      </c>
      <c r="G606">
        <v>0.52397229999999995</v>
      </c>
      <c r="H606">
        <v>0.52364701000000002</v>
      </c>
      <c r="I606">
        <v>0</v>
      </c>
      <c r="J606">
        <v>3.2529E-4</v>
      </c>
      <c r="K606">
        <v>57.30892351</v>
      </c>
      <c r="L606">
        <v>10.404869919999999</v>
      </c>
    </row>
    <row r="607" spans="1:12" x14ac:dyDescent="0.35">
      <c r="A607" s="3">
        <v>202409</v>
      </c>
      <c r="B607">
        <v>429.31593253</v>
      </c>
      <c r="C607">
        <v>429.31593253</v>
      </c>
      <c r="D607">
        <v>0</v>
      </c>
      <c r="E607">
        <v>1144.19420343</v>
      </c>
      <c r="F607">
        <v>151.75113069</v>
      </c>
      <c r="G607">
        <v>9.911566220000001</v>
      </c>
      <c r="H607">
        <v>9.911566220000001</v>
      </c>
      <c r="I607">
        <v>0</v>
      </c>
      <c r="J607">
        <v>0</v>
      </c>
      <c r="K607">
        <v>68.385806290000005</v>
      </c>
      <c r="L607">
        <v>12.446200660000001</v>
      </c>
    </row>
    <row r="608" spans="1:12" x14ac:dyDescent="0.35">
      <c r="A608" s="3">
        <v>202410</v>
      </c>
      <c r="B608">
        <v>71.899552439999994</v>
      </c>
      <c r="C608">
        <v>71.899552439999994</v>
      </c>
      <c r="D608">
        <v>0</v>
      </c>
      <c r="E608">
        <v>1214.80497089</v>
      </c>
      <c r="F608">
        <v>173.66780090999998</v>
      </c>
      <c r="G608">
        <v>30.771960750000002</v>
      </c>
      <c r="H608">
        <v>30.771960750000002</v>
      </c>
      <c r="I608">
        <v>0</v>
      </c>
      <c r="J608">
        <v>0</v>
      </c>
      <c r="K608">
        <v>74.724591920000009</v>
      </c>
      <c r="L608">
        <v>11.75448192</v>
      </c>
    </row>
    <row r="609" spans="1:12" x14ac:dyDescent="0.35">
      <c r="A609" s="3">
        <v>202411</v>
      </c>
      <c r="B609">
        <v>85.370088349999989</v>
      </c>
      <c r="C609">
        <v>85.370088349999989</v>
      </c>
      <c r="D609">
        <v>0</v>
      </c>
      <c r="E609">
        <v>1225.1272698900002</v>
      </c>
      <c r="F609">
        <v>187.79755384000001</v>
      </c>
      <c r="G609">
        <v>2.0923628299999999</v>
      </c>
      <c r="H609">
        <v>0.11660255999999999</v>
      </c>
      <c r="I609">
        <v>0</v>
      </c>
      <c r="J609">
        <v>1.9757602700000001</v>
      </c>
      <c r="K609">
        <v>99.555839609999992</v>
      </c>
      <c r="L609">
        <v>12.923121980000001</v>
      </c>
    </row>
    <row r="610" spans="1:12" x14ac:dyDescent="0.35">
      <c r="A610" s="3">
        <v>202412</v>
      </c>
      <c r="B610">
        <v>108.35800157</v>
      </c>
      <c r="C610">
        <v>108.35800157</v>
      </c>
      <c r="D610">
        <v>0</v>
      </c>
      <c r="E610">
        <v>1289.38538382</v>
      </c>
      <c r="F610">
        <v>183.80643702</v>
      </c>
      <c r="G610">
        <v>17.661060350000003</v>
      </c>
      <c r="H610">
        <v>17.661060350000003</v>
      </c>
      <c r="I610">
        <v>0</v>
      </c>
      <c r="J610">
        <v>0</v>
      </c>
      <c r="K610">
        <v>100.80874109999999</v>
      </c>
      <c r="L610">
        <v>15.766049519999999</v>
      </c>
    </row>
    <row r="611" spans="1:12" x14ac:dyDescent="0.35">
      <c r="A611" s="3">
        <v>202501</v>
      </c>
      <c r="B611">
        <v>96.61122263</v>
      </c>
      <c r="C611">
        <v>1314.0147823699999</v>
      </c>
      <c r="D611">
        <v>152.23662851</v>
      </c>
      <c r="E611">
        <v>96.61122263</v>
      </c>
      <c r="F611">
        <v>0</v>
      </c>
      <c r="G611">
        <v>31.888519590000001</v>
      </c>
      <c r="H611">
        <v>31.888442480000002</v>
      </c>
      <c r="I611">
        <v>79.042434319999998</v>
      </c>
      <c r="J611">
        <v>13.72007675</v>
      </c>
      <c r="K611">
        <v>31.888442480000002</v>
      </c>
      <c r="L611">
        <v>0</v>
      </c>
    </row>
    <row r="612" spans="1:12" x14ac:dyDescent="0.35">
      <c r="A612" s="3">
        <v>202502</v>
      </c>
      <c r="B612">
        <v>234.36910112999999</v>
      </c>
      <c r="C612">
        <v>234.36910112999999</v>
      </c>
      <c r="D612">
        <v>0</v>
      </c>
      <c r="E612">
        <v>1255.50416946</v>
      </c>
      <c r="F612">
        <v>123.84570653</v>
      </c>
      <c r="G612">
        <v>0</v>
      </c>
      <c r="H612">
        <v>6.0725734100000004</v>
      </c>
      <c r="I612">
        <v>6.0724602300000008</v>
      </c>
      <c r="J612">
        <v>0</v>
      </c>
      <c r="K612">
        <v>6.0725734100000004</v>
      </c>
      <c r="L612">
        <v>77.969574690000002</v>
      </c>
    </row>
    <row r="613" spans="1:12" x14ac:dyDescent="0.35">
      <c r="A613" s="3">
        <v>202503</v>
      </c>
      <c r="B613">
        <v>96.104827680000014</v>
      </c>
      <c r="C613">
        <v>1357.4043406600001</v>
      </c>
      <c r="D613">
        <v>198.58858058000001</v>
      </c>
      <c r="E613">
        <v>96.104827680000014</v>
      </c>
      <c r="F613">
        <v>0</v>
      </c>
      <c r="G613">
        <v>1.3710000000000001E-5</v>
      </c>
      <c r="H613">
        <v>0</v>
      </c>
      <c r="I613">
        <v>12.087204419999999</v>
      </c>
      <c r="J613">
        <v>80.39215784999999</v>
      </c>
      <c r="K613">
        <v>0</v>
      </c>
      <c r="L613">
        <v>12.087190710000002</v>
      </c>
    </row>
    <row r="614" spans="1:12" x14ac:dyDescent="0.35">
      <c r="A614" s="3">
        <v>202504</v>
      </c>
      <c r="B614">
        <v>91.178079189999991</v>
      </c>
      <c r="C614">
        <v>91.178079189999991</v>
      </c>
      <c r="D614">
        <v>0</v>
      </c>
      <c r="E614">
        <v>1381.84428437</v>
      </c>
      <c r="F614">
        <v>136.08202498</v>
      </c>
      <c r="G614">
        <v>7.4412982899999998</v>
      </c>
      <c r="H614">
        <v>7.4412982899999998</v>
      </c>
      <c r="I614">
        <v>0</v>
      </c>
      <c r="J614">
        <v>0</v>
      </c>
      <c r="K614">
        <v>88.306900580000004</v>
      </c>
      <c r="L614">
        <v>13.797651220000001</v>
      </c>
    </row>
    <row r="615" spans="1:12" x14ac:dyDescent="0.35">
      <c r="A615" s="3">
        <v>202505</v>
      </c>
      <c r="B615">
        <v>77.080653220000002</v>
      </c>
      <c r="C615">
        <v>77.080653220000002</v>
      </c>
      <c r="D615">
        <v>0</v>
      </c>
      <c r="E615">
        <v>1323.1874954300001</v>
      </c>
      <c r="F615">
        <v>195.19206409</v>
      </c>
      <c r="G615">
        <v>20.561849769999998</v>
      </c>
      <c r="H615">
        <v>20.561849769999998</v>
      </c>
      <c r="I615">
        <v>0</v>
      </c>
      <c r="J615">
        <v>0</v>
      </c>
      <c r="K615">
        <v>84.00725159000001</v>
      </c>
      <c r="L615">
        <v>12.433718279999999</v>
      </c>
    </row>
    <row r="616" spans="1:12" x14ac:dyDescent="0.35">
      <c r="A616" s="3">
        <v>202506</v>
      </c>
      <c r="B616">
        <v>70.641013170000008</v>
      </c>
      <c r="C616">
        <v>70.641013170000008</v>
      </c>
      <c r="D616">
        <v>0</v>
      </c>
      <c r="E616">
        <v>1201.86515882</v>
      </c>
      <c r="F616">
        <v>142.51053569999999</v>
      </c>
      <c r="G616">
        <v>12.00720881</v>
      </c>
      <c r="H616">
        <v>12.00720881</v>
      </c>
      <c r="I616">
        <v>0</v>
      </c>
      <c r="J616">
        <v>0</v>
      </c>
      <c r="K616">
        <v>69.303592469999998</v>
      </c>
      <c r="L616">
        <v>13.69185002</v>
      </c>
    </row>
    <row r="617" spans="1:12" x14ac:dyDescent="0.35">
      <c r="A617" s="3">
        <v>202507</v>
      </c>
      <c r="B617">
        <v>124.24409803</v>
      </c>
      <c r="C617">
        <v>124.24409803</v>
      </c>
      <c r="D617">
        <v>0</v>
      </c>
      <c r="E617">
        <v>1358.3127719500001</v>
      </c>
      <c r="F617">
        <v>165.43170527000001</v>
      </c>
      <c r="G617">
        <v>14.77891236</v>
      </c>
      <c r="H617">
        <v>14.778784060000001</v>
      </c>
      <c r="I617">
        <v>0</v>
      </c>
      <c r="J617">
        <v>1.283E-4</v>
      </c>
      <c r="K617">
        <v>85.033479540000002</v>
      </c>
      <c r="L617">
        <v>17.06877252</v>
      </c>
    </row>
    <row r="618" spans="1:12" x14ac:dyDescent="0.35">
      <c r="A618" s="2" t="s">
        <v>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s="3">
        <v>202201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s="3">
        <v>202202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s="3">
        <v>202203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s="3">
        <v>202204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s="3">
        <v>202205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s="3">
        <v>202206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5">
      <c r="A625" s="3">
        <v>202207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s="3">
        <v>202208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s="3">
        <v>202209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s="3">
        <v>202210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35">
      <c r="A629" s="3">
        <v>202211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35">
      <c r="A630" s="3">
        <v>202212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 s="3">
        <v>202301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s="3">
        <v>202302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 s="3">
        <v>202303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s="3">
        <v>202304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 s="3">
        <v>202305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5">
      <c r="A636" s="3">
        <v>202306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5">
      <c r="A637" s="3">
        <v>202307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5">
      <c r="A638" s="3">
        <v>202308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5">
      <c r="A639" s="3">
        <v>202309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 s="3">
        <v>202310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 s="3">
        <v>202311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 s="3">
        <v>202312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35">
      <c r="A643" s="3">
        <v>202401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5">
      <c r="A644" s="3">
        <v>202402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5">
      <c r="A645" s="3">
        <v>202403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s="3">
        <v>202404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5">
      <c r="A647" s="3">
        <v>202405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s="3">
        <v>202406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5">
      <c r="A649" s="3">
        <v>202407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s="3">
        <v>202408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s="3">
        <v>202409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s="3">
        <v>202410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s="3">
        <v>202411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5">
      <c r="A654" s="3">
        <v>202412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 s="3">
        <v>202501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s="3">
        <v>202502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s="3">
        <v>202503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s="3">
        <v>202504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s="3">
        <v>202505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5">
      <c r="A660" s="3">
        <v>202506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 s="3">
        <v>202507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s="2" t="s">
        <v>32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35">
      <c r="A663" s="3">
        <v>202201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 s="3">
        <v>202202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35">
      <c r="A665" s="3">
        <v>202203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5">
      <c r="A666" s="3">
        <v>202204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 s="3">
        <v>202205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5">
      <c r="A668" s="3">
        <v>202206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s="3">
        <v>202207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5">
      <c r="A670" s="3">
        <v>202208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5">
      <c r="A671" s="3">
        <v>202209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5">
      <c r="A672" s="3">
        <v>202210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35">
      <c r="A673" s="3">
        <v>202211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5">
      <c r="A674" s="3">
        <v>202212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s="3">
        <v>202301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 s="3">
        <v>202302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5">
      <c r="A677" s="3">
        <v>202303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s="3">
        <v>202304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35">
      <c r="A679" s="3">
        <v>202305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s="3">
        <v>202306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s="3">
        <v>202307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 s="3">
        <v>202308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 s="3">
        <v>202309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s="3">
        <v>202310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35">
      <c r="A685" s="3">
        <v>202311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 s="3">
        <v>202312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s="3">
        <v>202401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 s="3">
        <v>202402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 s="3">
        <v>202403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s="3">
        <v>202404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35">
      <c r="A691" s="3">
        <v>202405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s="3">
        <v>202406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s="3">
        <v>202407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s="3">
        <v>202408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s="3">
        <v>202409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5">
      <c r="A696" s="3">
        <v>202410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5">
      <c r="A697" s="3">
        <v>202411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35">
      <c r="A698" s="3">
        <v>202412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5">
      <c r="A699" s="3">
        <v>202501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s="3">
        <v>202502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35">
      <c r="A701" s="3">
        <v>202503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s="3">
        <v>202504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5">
      <c r="A703" s="3">
        <v>202505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5">
      <c r="A704" s="3">
        <v>202506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s="3">
        <v>202507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s="2" t="s">
        <v>33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35">
      <c r="A707" s="3">
        <v>202201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s="3">
        <v>202202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5">
      <c r="A709" s="3">
        <v>202203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5">
      <c r="A710" s="3">
        <v>202204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5">
      <c r="A711" s="3">
        <v>202205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35">
      <c r="A712" s="3">
        <v>202206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5">
      <c r="A713" s="3">
        <v>202207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s="3">
        <v>202208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s="3">
        <v>202209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s="3">
        <v>202210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s="3">
        <v>202211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5">
      <c r="A718" s="3">
        <v>202212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s="3">
        <v>202301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5">
      <c r="A720" s="3">
        <v>202302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s="3">
        <v>202303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s="3">
        <v>202304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s="3">
        <v>202305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s="3">
        <v>202306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s="3">
        <v>202307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s="3">
        <v>202308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s="3">
        <v>202309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s="3">
        <v>202310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s="3">
        <v>202311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s="3">
        <v>202312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s="3">
        <v>202401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s="3">
        <v>202402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 s="3">
        <v>202403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 s="3">
        <v>202404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5">
      <c r="A735" s="3">
        <v>202405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5">
      <c r="A736" s="3">
        <v>202406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s="3">
        <v>202407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35">
      <c r="A738" s="3">
        <v>202408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5">
      <c r="A739" s="3">
        <v>202409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5">
      <c r="A740" s="3">
        <v>202410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35">
      <c r="A741" s="3">
        <v>202411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35">
      <c r="A742" s="3">
        <v>202412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5">
      <c r="A743" s="3">
        <v>202501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5">
      <c r="A744" s="3">
        <v>202502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35">
      <c r="A745" s="3">
        <v>202503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5">
      <c r="A746" s="3">
        <v>202504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 s="3">
        <v>202505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5">
      <c r="A748" s="3">
        <v>202506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 s="3">
        <v>202507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 s="2" t="s">
        <v>34</v>
      </c>
      <c r="B750">
        <v>309.98812475999995</v>
      </c>
      <c r="C750">
        <v>308.49346373999998</v>
      </c>
      <c r="D750">
        <v>0.36552053999999995</v>
      </c>
      <c r="E750">
        <v>1.0194081100000001</v>
      </c>
      <c r="F750">
        <v>5.6428376099999999</v>
      </c>
      <c r="G750">
        <v>185.12182210999998</v>
      </c>
      <c r="H750">
        <v>178.77890253999996</v>
      </c>
      <c r="I750">
        <v>8.855716000000001</v>
      </c>
      <c r="J750">
        <v>0.18509830999999999</v>
      </c>
      <c r="K750">
        <v>1.7794602500000001</v>
      </c>
      <c r="L750">
        <v>1.71709026</v>
      </c>
    </row>
    <row r="751" spans="1:12" x14ac:dyDescent="0.35">
      <c r="A751" s="3">
        <v>202201</v>
      </c>
      <c r="B751">
        <v>2.3732070000000001E-2</v>
      </c>
      <c r="C751">
        <v>2.3732070000000001E-2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35">
      <c r="A752" s="3">
        <v>202202</v>
      </c>
      <c r="B752">
        <v>68.61633458</v>
      </c>
      <c r="C752">
        <v>68.615739660000003</v>
      </c>
      <c r="D752">
        <v>0</v>
      </c>
      <c r="E752">
        <v>0</v>
      </c>
      <c r="F752">
        <v>5.9790290000000003E-2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5">
      <c r="A753" s="3">
        <v>202203</v>
      </c>
      <c r="B753">
        <v>0.76820549999999999</v>
      </c>
      <c r="C753">
        <v>0.76820549999999999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s="3">
        <v>202204</v>
      </c>
      <c r="B754">
        <v>17.188411760000001</v>
      </c>
      <c r="C754">
        <v>17.188411760000001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 s="3">
        <v>202205</v>
      </c>
      <c r="B755">
        <v>5.8638400000000004E-3</v>
      </c>
      <c r="C755">
        <v>5.8638400000000004E-3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5">
      <c r="A756" s="3">
        <v>202206</v>
      </c>
      <c r="B756">
        <v>0.40927292999999998</v>
      </c>
      <c r="C756">
        <v>0.40927292999999998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s="3">
        <v>202207</v>
      </c>
      <c r="B757">
        <v>0.39460429999999996</v>
      </c>
      <c r="C757">
        <v>0.39460429999999996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 s="3">
        <v>202208</v>
      </c>
      <c r="B758">
        <v>0.23302526000000001</v>
      </c>
      <c r="C758">
        <v>0.23302526000000001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5">
      <c r="A759" s="3">
        <v>202209</v>
      </c>
      <c r="B759">
        <v>0.20334099999999999</v>
      </c>
      <c r="C759">
        <v>0.20334099999999999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s="3">
        <v>202210</v>
      </c>
      <c r="B760">
        <v>0.59727584999999994</v>
      </c>
      <c r="C760">
        <v>0.57507581000000008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s="3">
        <v>202211</v>
      </c>
      <c r="B761">
        <v>33.704246399999995</v>
      </c>
      <c r="C761">
        <v>33.687694530000002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5">
      <c r="A762" s="3">
        <v>202212</v>
      </c>
      <c r="B762">
        <v>1.8235066000000002</v>
      </c>
      <c r="C762">
        <v>1.7867988300000002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 s="3">
        <v>202301</v>
      </c>
      <c r="B763">
        <v>14.62088196</v>
      </c>
      <c r="C763">
        <v>14.53501681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35">
      <c r="A764" s="3">
        <v>202302</v>
      </c>
      <c r="B764">
        <v>97.277559909999994</v>
      </c>
      <c r="C764">
        <v>97.277559909999994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35">
      <c r="A765" s="3">
        <v>202303</v>
      </c>
      <c r="B765">
        <v>0.38659729999999998</v>
      </c>
      <c r="C765">
        <v>0.38637539000000004</v>
      </c>
      <c r="D765">
        <v>2.234E-5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5">
      <c r="A766" s="3">
        <v>202304</v>
      </c>
      <c r="B766">
        <v>0.21229901000000001</v>
      </c>
      <c r="C766">
        <v>0.16168110999999999</v>
      </c>
      <c r="D766">
        <v>7.8425000000000005E-3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35">
      <c r="A767" s="3">
        <v>202305</v>
      </c>
      <c r="B767">
        <v>2.8948459999999999E-2</v>
      </c>
      <c r="C767">
        <v>2.8273819999999998E-2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s="3">
        <v>202306</v>
      </c>
      <c r="B768">
        <v>49.024877279999998</v>
      </c>
      <c r="C768">
        <v>48.945877729999999</v>
      </c>
      <c r="D768">
        <v>7.5687169999999998E-2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5">
      <c r="A769" s="3">
        <v>202307</v>
      </c>
      <c r="B769">
        <v>0.88549734000000002</v>
      </c>
      <c r="C769">
        <v>0.87654667000000008</v>
      </c>
      <c r="D769">
        <v>1.9718499999999998E-3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35">
      <c r="A770" s="3">
        <v>202308</v>
      </c>
      <c r="B770">
        <v>2.1175100599999999</v>
      </c>
      <c r="C770">
        <v>2.0716332899999998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35">
      <c r="A771" s="3">
        <v>202309</v>
      </c>
      <c r="B771">
        <v>0.10986114999999999</v>
      </c>
      <c r="C771">
        <v>0.10547419</v>
      </c>
      <c r="D771">
        <v>4.3869599999999996E-3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 s="3">
        <v>202310</v>
      </c>
      <c r="B772">
        <v>0.71422631999999997</v>
      </c>
      <c r="C772">
        <v>0.66762323999999995</v>
      </c>
      <c r="D772">
        <v>4.6603080000000005E-2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s="3">
        <v>202311</v>
      </c>
      <c r="B773">
        <v>2.45257506</v>
      </c>
      <c r="C773">
        <v>2.4158930699999996</v>
      </c>
      <c r="D773">
        <v>3.6681989999999998E-2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 s="3">
        <v>202312</v>
      </c>
      <c r="B774">
        <v>0.35709182</v>
      </c>
      <c r="C774">
        <v>0.35709165000000004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35">
      <c r="A775" s="3">
        <v>202401</v>
      </c>
      <c r="B775">
        <v>0.15886479000000001</v>
      </c>
      <c r="C775">
        <v>0.11935883</v>
      </c>
      <c r="D775">
        <v>3.4588099999999997E-2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35">
      <c r="A776" s="3">
        <v>202402</v>
      </c>
      <c r="B776">
        <v>8.6389090000000002E-2</v>
      </c>
      <c r="C776">
        <v>8.6389090000000002E-2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s="3">
        <v>202403</v>
      </c>
      <c r="B777">
        <v>0.12456848</v>
      </c>
      <c r="C777">
        <v>0.12375492</v>
      </c>
      <c r="D777">
        <v>8.1355999999999996E-4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5">
      <c r="A778" s="3">
        <v>202404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7.3646453699999999</v>
      </c>
      <c r="H778">
        <v>0.74715578999999999</v>
      </c>
      <c r="I778">
        <v>6.61748958</v>
      </c>
      <c r="J778">
        <v>0</v>
      </c>
      <c r="K778">
        <v>0</v>
      </c>
      <c r="L778">
        <v>0</v>
      </c>
    </row>
    <row r="779" spans="1:12" x14ac:dyDescent="0.35">
      <c r="A779" s="3">
        <v>202405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0.60869534999999997</v>
      </c>
      <c r="H779">
        <v>0.57942722999999996</v>
      </c>
      <c r="I779">
        <v>2.9268119999999998E-2</v>
      </c>
      <c r="J779">
        <v>0</v>
      </c>
      <c r="K779">
        <v>0</v>
      </c>
      <c r="L779">
        <v>0</v>
      </c>
    </row>
    <row r="780" spans="1:12" x14ac:dyDescent="0.35">
      <c r="A780" s="3">
        <v>202406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2.4584793500000002</v>
      </c>
      <c r="H780">
        <v>2.4584793500000002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s="3">
        <v>202407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5.3575853600000007</v>
      </c>
      <c r="H781">
        <v>5.3560172800000005</v>
      </c>
      <c r="I781">
        <v>0</v>
      </c>
      <c r="J781">
        <v>1.5680799999999999E-3</v>
      </c>
      <c r="K781">
        <v>0</v>
      </c>
      <c r="L781">
        <v>0</v>
      </c>
    </row>
    <row r="782" spans="1:12" x14ac:dyDescent="0.35">
      <c r="A782" s="3">
        <v>202408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152.08632790999999</v>
      </c>
      <c r="H782">
        <v>152.07499453</v>
      </c>
      <c r="I782">
        <v>0</v>
      </c>
      <c r="J782">
        <v>1.1333379999999999E-2</v>
      </c>
      <c r="K782">
        <v>0</v>
      </c>
      <c r="L782">
        <v>0</v>
      </c>
    </row>
    <row r="783" spans="1:12" x14ac:dyDescent="0.35">
      <c r="A783" s="3">
        <v>202409</v>
      </c>
      <c r="B783">
        <v>0</v>
      </c>
      <c r="C783">
        <v>0</v>
      </c>
      <c r="D783">
        <v>0</v>
      </c>
      <c r="E783">
        <v>0</v>
      </c>
      <c r="F783">
        <v>2.7792300000000002E-3</v>
      </c>
      <c r="G783">
        <v>8.2132144999999994</v>
      </c>
      <c r="H783">
        <v>8.2132144999999994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s="3">
        <v>202410</v>
      </c>
      <c r="B784">
        <v>0.28483536999999998</v>
      </c>
      <c r="C784">
        <v>0.28483536999999998</v>
      </c>
      <c r="D784">
        <v>0</v>
      </c>
      <c r="E784">
        <v>0</v>
      </c>
      <c r="F784">
        <v>0.47234590000000004</v>
      </c>
      <c r="G784">
        <v>0.16844314999999999</v>
      </c>
      <c r="H784">
        <v>0.16697735</v>
      </c>
      <c r="I784">
        <v>1.4658E-3</v>
      </c>
      <c r="J784">
        <v>0</v>
      </c>
      <c r="K784">
        <v>0</v>
      </c>
      <c r="L784">
        <v>0</v>
      </c>
    </row>
    <row r="785" spans="1:12" x14ac:dyDescent="0.35">
      <c r="A785" s="3">
        <v>202411</v>
      </c>
      <c r="B785">
        <v>0</v>
      </c>
      <c r="C785">
        <v>0</v>
      </c>
      <c r="D785">
        <v>0</v>
      </c>
      <c r="E785">
        <v>0</v>
      </c>
      <c r="F785">
        <v>0.50555874999999995</v>
      </c>
      <c r="G785">
        <v>3.98357625</v>
      </c>
      <c r="H785">
        <v>3.98339102</v>
      </c>
      <c r="I785">
        <v>0</v>
      </c>
      <c r="J785">
        <v>1.8522999999999999E-4</v>
      </c>
      <c r="K785">
        <v>0</v>
      </c>
      <c r="L785">
        <v>0</v>
      </c>
    </row>
    <row r="786" spans="1:12" x14ac:dyDescent="0.35">
      <c r="A786" s="3">
        <v>202412</v>
      </c>
      <c r="B786">
        <v>0</v>
      </c>
      <c r="C786">
        <v>0</v>
      </c>
      <c r="D786">
        <v>0</v>
      </c>
      <c r="E786">
        <v>0</v>
      </c>
      <c r="F786">
        <v>3.5726910000000001E-2</v>
      </c>
      <c r="G786">
        <v>0.11977997</v>
      </c>
      <c r="H786">
        <v>0.11977997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s="3">
        <v>202501</v>
      </c>
      <c r="B787">
        <v>0.41878729999999997</v>
      </c>
      <c r="C787">
        <v>0</v>
      </c>
      <c r="D787">
        <v>7.2175199999999995E-2</v>
      </c>
      <c r="E787">
        <v>0.41878729999999997</v>
      </c>
      <c r="F787">
        <v>0</v>
      </c>
      <c r="G787">
        <v>1.28905801</v>
      </c>
      <c r="H787">
        <v>1.28905801</v>
      </c>
      <c r="I787">
        <v>0</v>
      </c>
      <c r="J787">
        <v>0</v>
      </c>
      <c r="K787">
        <v>1.28905801</v>
      </c>
      <c r="L787">
        <v>0</v>
      </c>
    </row>
    <row r="788" spans="1:12" x14ac:dyDescent="0.35">
      <c r="A788" s="3">
        <v>202502</v>
      </c>
      <c r="B788">
        <v>0</v>
      </c>
      <c r="C788">
        <v>0</v>
      </c>
      <c r="D788">
        <v>0</v>
      </c>
      <c r="E788">
        <v>0</v>
      </c>
      <c r="F788">
        <v>0.15782142999999998</v>
      </c>
      <c r="G788">
        <v>0</v>
      </c>
      <c r="H788">
        <v>0.49040223999999999</v>
      </c>
      <c r="I788">
        <v>0.49040223999999999</v>
      </c>
      <c r="J788">
        <v>0</v>
      </c>
      <c r="K788">
        <v>0.49040223999999999</v>
      </c>
      <c r="L788">
        <v>0</v>
      </c>
    </row>
    <row r="789" spans="1:12" x14ac:dyDescent="0.35">
      <c r="A789" s="3">
        <v>202503</v>
      </c>
      <c r="B789">
        <v>0.60062081</v>
      </c>
      <c r="C789">
        <v>0</v>
      </c>
      <c r="D789">
        <v>8.474778999999999E-2</v>
      </c>
      <c r="E789">
        <v>0.60062081</v>
      </c>
      <c r="F789">
        <v>0</v>
      </c>
      <c r="G789">
        <v>0</v>
      </c>
      <c r="H789">
        <v>0</v>
      </c>
      <c r="I789">
        <v>1.71709026</v>
      </c>
      <c r="J789">
        <v>0</v>
      </c>
      <c r="K789">
        <v>0</v>
      </c>
      <c r="L789">
        <v>1.71709026</v>
      </c>
    </row>
    <row r="790" spans="1:12" x14ac:dyDescent="0.35">
      <c r="A790" s="3">
        <v>202504</v>
      </c>
      <c r="B790">
        <v>0.60282795</v>
      </c>
      <c r="C790">
        <v>0.60282795</v>
      </c>
      <c r="D790">
        <v>0</v>
      </c>
      <c r="E790">
        <v>0</v>
      </c>
      <c r="F790">
        <v>5.4150100000000005E-3</v>
      </c>
      <c r="G790">
        <v>0.95638401000000006</v>
      </c>
      <c r="H790">
        <v>0.95638401000000006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s="3">
        <v>202505</v>
      </c>
      <c r="B791">
        <v>0</v>
      </c>
      <c r="C791">
        <v>0</v>
      </c>
      <c r="D791">
        <v>0</v>
      </c>
      <c r="E791">
        <v>0</v>
      </c>
      <c r="F791">
        <v>4.4034000899999999</v>
      </c>
      <c r="G791">
        <v>0.18505005999999999</v>
      </c>
      <c r="H791">
        <v>0.18505005999999999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s="3">
        <v>202506</v>
      </c>
      <c r="B792">
        <v>15.22416572</v>
      </c>
      <c r="C792">
        <v>15.22416572</v>
      </c>
      <c r="D792">
        <v>0</v>
      </c>
      <c r="E792">
        <v>0</v>
      </c>
      <c r="F792">
        <v>0</v>
      </c>
      <c r="G792">
        <v>1.7750988999999999</v>
      </c>
      <c r="H792">
        <v>1.7750988999999999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 s="3">
        <v>202507</v>
      </c>
      <c r="B793">
        <v>0.33131948999999999</v>
      </c>
      <c r="C793">
        <v>0.33131948999999999</v>
      </c>
      <c r="D793">
        <v>0</v>
      </c>
      <c r="E793">
        <v>0</v>
      </c>
      <c r="F793">
        <v>0</v>
      </c>
      <c r="G793">
        <v>0.55548392000000002</v>
      </c>
      <c r="H793">
        <v>0.38347229999999999</v>
      </c>
      <c r="I793">
        <v>0</v>
      </c>
      <c r="J793">
        <v>0.17201162</v>
      </c>
      <c r="K793">
        <v>0</v>
      </c>
      <c r="L793">
        <v>0</v>
      </c>
    </row>
    <row r="794" spans="1:12" x14ac:dyDescent="0.35">
      <c r="A794" s="2" t="s">
        <v>35</v>
      </c>
      <c r="B794">
        <v>1130.7678510000003</v>
      </c>
      <c r="C794">
        <v>1112.2282120000002</v>
      </c>
      <c r="D794">
        <v>14.993618</v>
      </c>
      <c r="E794">
        <v>7.694306000000001</v>
      </c>
      <c r="F794">
        <v>2.4119359999999999</v>
      </c>
      <c r="G794">
        <v>10.265677</v>
      </c>
      <c r="H794">
        <v>10.296704</v>
      </c>
      <c r="I794">
        <v>3.1026999999999999E-2</v>
      </c>
      <c r="J794">
        <v>0</v>
      </c>
      <c r="K794">
        <v>3.1026999999999999E-2</v>
      </c>
      <c r="L794">
        <v>8.0585730000000009</v>
      </c>
    </row>
    <row r="795" spans="1:12" x14ac:dyDescent="0.35">
      <c r="A795" s="3">
        <v>202201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s="3">
        <v>202202</v>
      </c>
      <c r="B796">
        <v>0</v>
      </c>
      <c r="C796">
        <v>0</v>
      </c>
      <c r="D796">
        <v>0</v>
      </c>
      <c r="E796">
        <v>0</v>
      </c>
      <c r="F796">
        <v>1.2218979999999999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s="3">
        <v>202203</v>
      </c>
      <c r="B797">
        <v>63.213974</v>
      </c>
      <c r="C797">
        <v>63.213974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9.4899999999999997E-4</v>
      </c>
    </row>
    <row r="798" spans="1:12" x14ac:dyDescent="0.35">
      <c r="A798" s="3">
        <v>202204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s="3">
        <v>202205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s="3">
        <v>202206</v>
      </c>
      <c r="B800">
        <v>63.004564000000002</v>
      </c>
      <c r="C800">
        <v>63.004564000000002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s="3">
        <v>202207</v>
      </c>
      <c r="B801">
        <v>26.364296</v>
      </c>
      <c r="C801">
        <v>26.364296</v>
      </c>
      <c r="D801">
        <v>0</v>
      </c>
      <c r="E801">
        <v>0</v>
      </c>
      <c r="F801">
        <v>0</v>
      </c>
      <c r="G801">
        <v>0.35684500000000002</v>
      </c>
      <c r="H801">
        <v>0.35684500000000002</v>
      </c>
      <c r="I801">
        <v>0</v>
      </c>
      <c r="J801">
        <v>0</v>
      </c>
      <c r="K801">
        <v>0</v>
      </c>
      <c r="L801">
        <v>1.938302</v>
      </c>
    </row>
    <row r="802" spans="1:12" x14ac:dyDescent="0.35">
      <c r="A802" s="3">
        <v>202208</v>
      </c>
      <c r="B802">
        <v>26.124327000000001</v>
      </c>
      <c r="C802">
        <v>26.124327000000001</v>
      </c>
      <c r="D802">
        <v>0</v>
      </c>
      <c r="E802">
        <v>0</v>
      </c>
      <c r="F802">
        <v>0</v>
      </c>
      <c r="G802">
        <v>6.9281999999999996E-2</v>
      </c>
      <c r="H802">
        <v>6.9281999999999996E-2</v>
      </c>
      <c r="I802">
        <v>0</v>
      </c>
      <c r="J802">
        <v>0</v>
      </c>
      <c r="K802">
        <v>0</v>
      </c>
      <c r="L802">
        <v>1.7483550000000001</v>
      </c>
    </row>
    <row r="803" spans="1:12" x14ac:dyDescent="0.35">
      <c r="A803" s="3">
        <v>202209</v>
      </c>
      <c r="B803">
        <v>9.9565339999999996</v>
      </c>
      <c r="C803">
        <v>9.9565339999999996</v>
      </c>
      <c r="D803">
        <v>0</v>
      </c>
      <c r="E803">
        <v>0</v>
      </c>
      <c r="F803">
        <v>0</v>
      </c>
      <c r="G803">
        <v>2.3046000000000001E-2</v>
      </c>
      <c r="H803">
        <v>2.3046000000000001E-2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 s="3">
        <v>202210</v>
      </c>
      <c r="B804">
        <v>6.6069699999999996</v>
      </c>
      <c r="C804">
        <v>6.6069699999999996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0.64729700000000001</v>
      </c>
    </row>
    <row r="805" spans="1:12" x14ac:dyDescent="0.35">
      <c r="A805" s="3">
        <v>202211</v>
      </c>
      <c r="B805">
        <v>31.928567000000001</v>
      </c>
      <c r="C805">
        <v>31.928567000000001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2.0269300000000001</v>
      </c>
    </row>
    <row r="806" spans="1:12" x14ac:dyDescent="0.35">
      <c r="A806" s="3">
        <v>202212</v>
      </c>
      <c r="B806">
        <v>27.237496</v>
      </c>
      <c r="C806">
        <v>27.237496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5">
      <c r="A807" s="3">
        <v>202301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35">
      <c r="A808" s="3">
        <v>202302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 s="3">
        <v>202303</v>
      </c>
      <c r="B809">
        <v>45.001497000000001</v>
      </c>
      <c r="C809">
        <v>45.001497000000001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1.4667300000000001</v>
      </c>
    </row>
    <row r="810" spans="1:12" x14ac:dyDescent="0.35">
      <c r="A810" s="3">
        <v>202304</v>
      </c>
      <c r="B810">
        <v>25.152932</v>
      </c>
      <c r="C810">
        <v>25.152932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s="3">
        <v>202305</v>
      </c>
      <c r="B811">
        <v>24.996556999999999</v>
      </c>
      <c r="C811">
        <v>24.996556999999999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5">
      <c r="A812" s="3">
        <v>202306</v>
      </c>
      <c r="B812">
        <v>25.044187999999998</v>
      </c>
      <c r="C812">
        <v>25.044187999999998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9.4878000000000004E-2</v>
      </c>
    </row>
    <row r="813" spans="1:12" x14ac:dyDescent="0.35">
      <c r="A813" s="3">
        <v>202307</v>
      </c>
      <c r="B813">
        <v>25.015029999999999</v>
      </c>
      <c r="C813">
        <v>25.015029999999999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5">
      <c r="A814" s="3">
        <v>202308</v>
      </c>
      <c r="B814">
        <v>24.991147000000002</v>
      </c>
      <c r="C814">
        <v>24.991147000000002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s="3">
        <v>202309</v>
      </c>
      <c r="B815">
        <v>25.123107000000001</v>
      </c>
      <c r="C815">
        <v>25.123107000000001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35">
      <c r="A816" s="3">
        <v>202310</v>
      </c>
      <c r="B816">
        <v>24.920444</v>
      </c>
      <c r="C816">
        <v>24.920444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35">
      <c r="A817" s="3">
        <v>202311</v>
      </c>
      <c r="B817">
        <v>216.78443899999999</v>
      </c>
      <c r="C817">
        <v>216.78443899999999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s="3">
        <v>202312</v>
      </c>
      <c r="B818">
        <v>155.22008400000001</v>
      </c>
      <c r="C818">
        <v>155.22008400000001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s="3">
        <v>202401</v>
      </c>
      <c r="B819">
        <v>25.579622000000001</v>
      </c>
      <c r="C819">
        <v>25.579622000000001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s="3">
        <v>202402</v>
      </c>
      <c r="B820">
        <v>25.161080999999999</v>
      </c>
      <c r="C820">
        <v>25.161080999999999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 s="3">
        <v>202403</v>
      </c>
      <c r="B821">
        <v>25.136571</v>
      </c>
      <c r="C821">
        <v>25.136571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5">
      <c r="A822" s="3">
        <v>202404</v>
      </c>
      <c r="B822">
        <v>24.573226999999999</v>
      </c>
      <c r="C822">
        <v>24.573226999999999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s="3">
        <v>202405</v>
      </c>
      <c r="B823">
        <v>43.268599999999999</v>
      </c>
      <c r="C823">
        <v>43.268599999999999</v>
      </c>
      <c r="D823">
        <v>0</v>
      </c>
      <c r="E823">
        <v>0</v>
      </c>
      <c r="F823">
        <v>0</v>
      </c>
      <c r="G823">
        <v>3.2821630000000002</v>
      </c>
      <c r="H823">
        <v>3.2821630000000002</v>
      </c>
      <c r="I823">
        <v>0</v>
      </c>
      <c r="J823">
        <v>0</v>
      </c>
      <c r="K823">
        <v>0</v>
      </c>
      <c r="L823">
        <v>0</v>
      </c>
    </row>
    <row r="824" spans="1:12" x14ac:dyDescent="0.35">
      <c r="A824" s="3">
        <v>202406</v>
      </c>
      <c r="B824">
        <v>22.528182000000001</v>
      </c>
      <c r="C824">
        <v>21.526506999999999</v>
      </c>
      <c r="D824">
        <v>1.0016750000000001</v>
      </c>
      <c r="E824">
        <v>2.3512840000000002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s="3">
        <v>202407</v>
      </c>
      <c r="B825">
        <v>23.967064000000001</v>
      </c>
      <c r="C825">
        <v>9.9751209999999997</v>
      </c>
      <c r="D825">
        <v>13.991942999999999</v>
      </c>
      <c r="E825">
        <v>1.7970010000000001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5">
      <c r="A826" s="3">
        <v>202408</v>
      </c>
      <c r="B826">
        <v>36.545659000000001</v>
      </c>
      <c r="C826">
        <v>36.545659000000001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s="3">
        <v>202409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s="3">
        <v>202410</v>
      </c>
      <c r="B828">
        <v>53.775671000000003</v>
      </c>
      <c r="C828">
        <v>53.775671000000003</v>
      </c>
      <c r="D828">
        <v>0</v>
      </c>
      <c r="E828">
        <v>0</v>
      </c>
      <c r="F828">
        <v>0</v>
      </c>
      <c r="G828">
        <v>0.70319799999999999</v>
      </c>
      <c r="H828">
        <v>0.70319799999999999</v>
      </c>
      <c r="I828">
        <v>0</v>
      </c>
      <c r="J828">
        <v>0</v>
      </c>
      <c r="K828">
        <v>0</v>
      </c>
      <c r="L828">
        <v>0</v>
      </c>
    </row>
    <row r="829" spans="1:12" x14ac:dyDescent="0.35">
      <c r="A829" s="3">
        <v>202411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35">
      <c r="A830" s="3">
        <v>202412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s="3">
        <v>202501</v>
      </c>
      <c r="B831">
        <v>3.5460210000000001</v>
      </c>
      <c r="C831">
        <v>0</v>
      </c>
      <c r="D831">
        <v>0</v>
      </c>
      <c r="E831">
        <v>3.5460210000000001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 s="3">
        <v>202502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3.1026999999999999E-2</v>
      </c>
      <c r="I832">
        <v>3.1026999999999999E-2</v>
      </c>
      <c r="J832">
        <v>0</v>
      </c>
      <c r="K832">
        <v>3.1026999999999999E-2</v>
      </c>
      <c r="L832">
        <v>0</v>
      </c>
    </row>
    <row r="833" spans="1:12" x14ac:dyDescent="0.35">
      <c r="A833" s="3">
        <v>202503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s="3">
        <v>202504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s="3">
        <v>202505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5">
      <c r="A836" s="3">
        <v>202506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5.7951430000000004</v>
      </c>
      <c r="H836">
        <v>5.7951430000000004</v>
      </c>
      <c r="I836">
        <v>0</v>
      </c>
      <c r="J836">
        <v>0</v>
      </c>
      <c r="K836">
        <v>0</v>
      </c>
      <c r="L836">
        <v>7.0930000000000003E-3</v>
      </c>
    </row>
    <row r="837" spans="1:12" x14ac:dyDescent="0.35">
      <c r="A837" s="3">
        <v>202507</v>
      </c>
      <c r="B837">
        <v>0</v>
      </c>
      <c r="C837">
        <v>0</v>
      </c>
      <c r="D837">
        <v>0</v>
      </c>
      <c r="E837">
        <v>0</v>
      </c>
      <c r="F837">
        <v>1.1900379999999999</v>
      </c>
      <c r="G837">
        <v>3.5999999999999997E-2</v>
      </c>
      <c r="H837">
        <v>3.5999999999999997E-2</v>
      </c>
      <c r="I837">
        <v>0</v>
      </c>
      <c r="J837">
        <v>0</v>
      </c>
      <c r="K837">
        <v>0</v>
      </c>
      <c r="L837">
        <v>0.12803899999999999</v>
      </c>
    </row>
    <row r="838" spans="1:12" x14ac:dyDescent="0.35">
      <c r="A838" s="2" t="s">
        <v>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 s="3">
        <v>202201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35">
      <c r="A840" s="3">
        <v>202202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35">
      <c r="A841" s="3">
        <v>202203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s="3">
        <v>202204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s="3">
        <v>202205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5">
      <c r="A844" s="3">
        <v>202206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s="3">
        <v>202207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35">
      <c r="A846" s="3">
        <v>202208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35">
      <c r="A847" s="3">
        <v>202209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5">
      <c r="A848" s="3">
        <v>202210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 s="3">
        <v>202211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5">
      <c r="A850" s="3">
        <v>202212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s="3">
        <v>202301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s="3">
        <v>202302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s="3">
        <v>202303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s="3">
        <v>202304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s="3">
        <v>202305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35">
      <c r="A856" s="3">
        <v>202306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s="3">
        <v>202307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s="3">
        <v>202308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35">
      <c r="A859" s="2" t="s">
        <v>37</v>
      </c>
      <c r="B859">
        <v>1268.19</v>
      </c>
      <c r="C859">
        <v>2341.8165673000003</v>
      </c>
      <c r="D859">
        <v>9.0042300000000002E-3</v>
      </c>
      <c r="E859">
        <v>36243.984703009992</v>
      </c>
      <c r="F859">
        <v>0.33170851999999995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 s="3">
        <v>202201</v>
      </c>
      <c r="B860">
        <v>0</v>
      </c>
      <c r="C860">
        <v>0</v>
      </c>
      <c r="D860">
        <v>0</v>
      </c>
      <c r="E860">
        <v>542.06877173999999</v>
      </c>
      <c r="F860">
        <v>2.248725E-2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35">
      <c r="A861" s="3">
        <v>202202</v>
      </c>
      <c r="B861">
        <v>0</v>
      </c>
      <c r="C861">
        <v>0</v>
      </c>
      <c r="D861">
        <v>0</v>
      </c>
      <c r="E861">
        <v>677.74220300000002</v>
      </c>
      <c r="F861">
        <v>2.6797999999999999E-2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s="3">
        <v>202203</v>
      </c>
      <c r="B862">
        <v>0</v>
      </c>
      <c r="C862">
        <v>0</v>
      </c>
      <c r="D862">
        <v>0</v>
      </c>
      <c r="E862">
        <v>817.29193399999997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s="3">
        <v>202204</v>
      </c>
      <c r="B863">
        <v>0</v>
      </c>
      <c r="C863">
        <v>0</v>
      </c>
      <c r="D863">
        <v>0</v>
      </c>
      <c r="E863">
        <v>739.72262132000003</v>
      </c>
      <c r="F863">
        <v>1.028688E-2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s="3">
        <v>202205</v>
      </c>
      <c r="B864">
        <v>0</v>
      </c>
      <c r="C864">
        <v>0</v>
      </c>
      <c r="D864">
        <v>0</v>
      </c>
      <c r="E864">
        <v>784.30576499000006</v>
      </c>
      <c r="F864">
        <v>7.9155600000000003E-3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s="3">
        <v>202206</v>
      </c>
      <c r="B865">
        <v>0</v>
      </c>
      <c r="C865">
        <v>0</v>
      </c>
      <c r="D865">
        <v>0</v>
      </c>
      <c r="E865">
        <v>662.33823126000004</v>
      </c>
      <c r="F865">
        <v>4.3648300000000001E-3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s="3">
        <v>202207</v>
      </c>
      <c r="B866">
        <v>0</v>
      </c>
      <c r="C866">
        <v>0</v>
      </c>
      <c r="D866">
        <v>0</v>
      </c>
      <c r="E866">
        <v>511.75688167999999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s="3">
        <v>202208</v>
      </c>
      <c r="B867">
        <v>0</v>
      </c>
      <c r="C867">
        <v>0</v>
      </c>
      <c r="D867">
        <v>0</v>
      </c>
      <c r="E867">
        <v>1056.8387249500001</v>
      </c>
      <c r="F867">
        <v>3.3916700000000003E-3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s="3">
        <v>202209</v>
      </c>
      <c r="B868">
        <v>0</v>
      </c>
      <c r="C868">
        <v>0</v>
      </c>
      <c r="D868">
        <v>0</v>
      </c>
      <c r="E868">
        <v>1254.86219394</v>
      </c>
      <c r="F868">
        <v>2.4534250000000001E-2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5">
      <c r="A869" s="3">
        <v>202210</v>
      </c>
      <c r="B869">
        <v>0</v>
      </c>
      <c r="C869">
        <v>0</v>
      </c>
      <c r="D869">
        <v>0</v>
      </c>
      <c r="E869">
        <v>558.20711634999998</v>
      </c>
      <c r="F869">
        <v>4.3519300000000004E-3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s="3">
        <v>202211</v>
      </c>
      <c r="B870">
        <v>0</v>
      </c>
      <c r="C870">
        <v>0</v>
      </c>
      <c r="D870">
        <v>0</v>
      </c>
      <c r="E870">
        <v>705.86725645000001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5">
      <c r="A871" s="3">
        <v>202212</v>
      </c>
      <c r="B871">
        <v>0</v>
      </c>
      <c r="C871">
        <v>0</v>
      </c>
      <c r="D871">
        <v>0</v>
      </c>
      <c r="E871">
        <v>828.34028486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5">
      <c r="A872" s="3">
        <v>202301</v>
      </c>
      <c r="B872">
        <v>0</v>
      </c>
      <c r="C872">
        <v>0</v>
      </c>
      <c r="D872">
        <v>0</v>
      </c>
      <c r="E872">
        <v>808.65371152</v>
      </c>
      <c r="F872">
        <v>6.3818399999999997E-3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5">
      <c r="A873" s="3">
        <v>202302</v>
      </c>
      <c r="B873">
        <v>0</v>
      </c>
      <c r="C873">
        <v>0</v>
      </c>
      <c r="D873">
        <v>0</v>
      </c>
      <c r="E873">
        <v>800.06596524999998</v>
      </c>
      <c r="F873">
        <v>5.7070200000000001E-3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5">
      <c r="A874" s="3">
        <v>202303</v>
      </c>
      <c r="B874">
        <v>0</v>
      </c>
      <c r="C874">
        <v>0</v>
      </c>
      <c r="D874">
        <v>0</v>
      </c>
      <c r="E874">
        <v>935.77093290999994</v>
      </c>
      <c r="F874">
        <v>2.2131439999999999E-2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s="3">
        <v>202304</v>
      </c>
      <c r="B875">
        <v>0</v>
      </c>
      <c r="C875">
        <v>0</v>
      </c>
      <c r="D875">
        <v>0</v>
      </c>
      <c r="E875">
        <v>827.05487578999998</v>
      </c>
      <c r="F875">
        <v>6.3753400000000002E-3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s="3">
        <v>202305</v>
      </c>
      <c r="B876">
        <v>0</v>
      </c>
      <c r="C876">
        <v>0</v>
      </c>
      <c r="D876">
        <v>0</v>
      </c>
      <c r="E876">
        <v>851.33449392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5">
      <c r="A877" s="3">
        <v>202306</v>
      </c>
      <c r="B877">
        <v>0</v>
      </c>
      <c r="C877">
        <v>0</v>
      </c>
      <c r="D877">
        <v>0</v>
      </c>
      <c r="E877">
        <v>833.88900104999993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5">
      <c r="A878" s="3">
        <v>202307</v>
      </c>
      <c r="B878">
        <v>0</v>
      </c>
      <c r="C878">
        <v>0</v>
      </c>
      <c r="D878">
        <v>0</v>
      </c>
      <c r="E878">
        <v>1022.12082361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35">
      <c r="A879" s="3">
        <v>202308</v>
      </c>
      <c r="B879">
        <v>0</v>
      </c>
      <c r="C879">
        <v>0</v>
      </c>
      <c r="D879">
        <v>0</v>
      </c>
      <c r="E879">
        <v>882.37173045000009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s="3">
        <v>202309</v>
      </c>
      <c r="B880">
        <v>0</v>
      </c>
      <c r="C880">
        <v>0</v>
      </c>
      <c r="D880">
        <v>0</v>
      </c>
      <c r="E880">
        <v>961.51425758000005</v>
      </c>
      <c r="F880">
        <v>8.8303400000000008E-3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35">
      <c r="A881" s="3">
        <v>202310</v>
      </c>
      <c r="B881">
        <v>0</v>
      </c>
      <c r="C881">
        <v>0</v>
      </c>
      <c r="D881">
        <v>0</v>
      </c>
      <c r="E881">
        <v>1016.24541403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s="3">
        <v>202311</v>
      </c>
      <c r="B882">
        <v>0</v>
      </c>
      <c r="C882">
        <v>0</v>
      </c>
      <c r="D882">
        <v>0</v>
      </c>
      <c r="E882">
        <v>984.67491126999994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s="3">
        <v>202312</v>
      </c>
      <c r="B883">
        <v>591.822</v>
      </c>
      <c r="C883">
        <v>591.822</v>
      </c>
      <c r="D883">
        <v>0</v>
      </c>
      <c r="E883">
        <v>1086.1630019500001</v>
      </c>
      <c r="F883">
        <v>1.1286540000000001E-2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s="3">
        <v>202401</v>
      </c>
      <c r="B884">
        <v>676.36800000000005</v>
      </c>
      <c r="C884">
        <v>676.36800000000005</v>
      </c>
      <c r="D884">
        <v>0</v>
      </c>
      <c r="E884">
        <v>1019.13123391</v>
      </c>
      <c r="F884">
        <v>6.5489199999999997E-3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s="3">
        <v>202402</v>
      </c>
      <c r="B885">
        <v>0</v>
      </c>
      <c r="C885">
        <v>0</v>
      </c>
      <c r="D885">
        <v>0</v>
      </c>
      <c r="E885">
        <v>1019.85677441</v>
      </c>
      <c r="F885">
        <v>9.3305000000000003E-3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s="3">
        <v>202403</v>
      </c>
      <c r="B886">
        <v>0</v>
      </c>
      <c r="C886">
        <v>0</v>
      </c>
      <c r="D886">
        <v>0</v>
      </c>
      <c r="E886">
        <v>947.80158007</v>
      </c>
      <c r="F886">
        <v>3.2208239999999999E-2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s="3">
        <v>202404</v>
      </c>
      <c r="B887">
        <v>0</v>
      </c>
      <c r="C887">
        <v>0</v>
      </c>
      <c r="D887">
        <v>0</v>
      </c>
      <c r="E887">
        <v>1176.83231105</v>
      </c>
      <c r="F887">
        <v>5.5009300000000002E-3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35">
      <c r="A888" s="3">
        <v>202405</v>
      </c>
      <c r="B888">
        <v>0</v>
      </c>
      <c r="C888">
        <v>0</v>
      </c>
      <c r="D888">
        <v>0</v>
      </c>
      <c r="E888">
        <v>915.88296777999994</v>
      </c>
      <c r="F888">
        <v>6.8750600000000005E-3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s="3">
        <v>202406</v>
      </c>
      <c r="B889">
        <v>0</v>
      </c>
      <c r="C889">
        <v>0</v>
      </c>
      <c r="D889">
        <v>0</v>
      </c>
      <c r="E889">
        <v>739.1687028099999</v>
      </c>
      <c r="F889">
        <v>4.7825799999999998E-3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35">
      <c r="A890" s="3">
        <v>202407</v>
      </c>
      <c r="B890">
        <v>0</v>
      </c>
      <c r="C890">
        <v>0</v>
      </c>
      <c r="D890">
        <v>0</v>
      </c>
      <c r="E890">
        <v>790.80520789000002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5">
      <c r="A891" s="3">
        <v>202408</v>
      </c>
      <c r="B891">
        <v>0</v>
      </c>
      <c r="C891">
        <v>0</v>
      </c>
      <c r="D891">
        <v>0</v>
      </c>
      <c r="E891">
        <v>777.53314953999995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s="3">
        <v>202409</v>
      </c>
      <c r="B892">
        <v>0</v>
      </c>
      <c r="C892">
        <v>0</v>
      </c>
      <c r="D892">
        <v>0</v>
      </c>
      <c r="E892">
        <v>705.47497339999995</v>
      </c>
      <c r="F892">
        <v>6.9398000000000003E-3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s="3">
        <v>202410</v>
      </c>
      <c r="B893">
        <v>0</v>
      </c>
      <c r="C893">
        <v>0</v>
      </c>
      <c r="D893">
        <v>0</v>
      </c>
      <c r="E893">
        <v>1022.0802669</v>
      </c>
      <c r="F893">
        <v>6.21413E-3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35">
      <c r="A894" s="3">
        <v>202411</v>
      </c>
      <c r="B894">
        <v>0</v>
      </c>
      <c r="C894">
        <v>0</v>
      </c>
      <c r="D894">
        <v>0</v>
      </c>
      <c r="E894">
        <v>918.41177228999993</v>
      </c>
      <c r="F894">
        <v>5.1032500000000001E-3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5">
      <c r="A895" s="3">
        <v>202412</v>
      </c>
      <c r="B895">
        <v>0</v>
      </c>
      <c r="C895">
        <v>0</v>
      </c>
      <c r="D895">
        <v>0</v>
      </c>
      <c r="E895">
        <v>863.20758896000007</v>
      </c>
      <c r="F895">
        <v>1.824914E-2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s="3">
        <v>202501</v>
      </c>
      <c r="B896">
        <v>0</v>
      </c>
      <c r="C896">
        <v>1073.6265673</v>
      </c>
      <c r="D896">
        <v>9.0042300000000002E-3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s="3">
        <v>202502</v>
      </c>
      <c r="B897">
        <v>0</v>
      </c>
      <c r="C897">
        <v>0</v>
      </c>
      <c r="D897">
        <v>0</v>
      </c>
      <c r="E897">
        <v>972.01968578999993</v>
      </c>
      <c r="F897">
        <v>5.3447689999999999E-2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s="3">
        <v>202503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s="3">
        <v>202504</v>
      </c>
      <c r="B899">
        <v>0</v>
      </c>
      <c r="C899">
        <v>0</v>
      </c>
      <c r="D899">
        <v>0</v>
      </c>
      <c r="E899">
        <v>1130.29109722</v>
      </c>
      <c r="F899">
        <v>2.77013E-3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 s="3">
        <v>202505</v>
      </c>
      <c r="B900">
        <v>0</v>
      </c>
      <c r="C900">
        <v>0</v>
      </c>
      <c r="D900">
        <v>0</v>
      </c>
      <c r="E900">
        <v>1081.1024755999999</v>
      </c>
      <c r="F900">
        <v>6.6796599999999996E-3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s="3">
        <v>202506</v>
      </c>
      <c r="B901">
        <v>0</v>
      </c>
      <c r="C901">
        <v>0</v>
      </c>
      <c r="D901">
        <v>0</v>
      </c>
      <c r="E901">
        <v>1027.94911131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s="3">
        <v>202507</v>
      </c>
      <c r="B902">
        <v>0</v>
      </c>
      <c r="C902">
        <v>0</v>
      </c>
      <c r="D902">
        <v>0</v>
      </c>
      <c r="E902">
        <v>987.23470021000003</v>
      </c>
      <c r="F902">
        <v>2.2155999999999999E-3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35">
      <c r="A903" s="2" t="s">
        <v>38</v>
      </c>
      <c r="B903">
        <v>51.373182070000006</v>
      </c>
      <c r="C903">
        <v>1189.0874267700003</v>
      </c>
      <c r="D903">
        <v>0</v>
      </c>
      <c r="E903">
        <v>17.849268520000003</v>
      </c>
      <c r="F903">
        <v>4.9707884099999999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s="3">
        <v>202201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5">
      <c r="A905" s="3">
        <v>202202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 s="3">
        <v>202203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s="3">
        <v>202204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35">
      <c r="A908" s="3">
        <v>202205</v>
      </c>
      <c r="B908">
        <v>34.706252670000005</v>
      </c>
      <c r="C908">
        <v>34.706252670000005</v>
      </c>
      <c r="D908">
        <v>0</v>
      </c>
      <c r="E908">
        <v>2.9335354200000001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35">
      <c r="A909" s="3">
        <v>202206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s="3">
        <v>202207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5">
      <c r="A911" s="3">
        <v>202208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s="3">
        <v>202209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5">
      <c r="A913" s="3">
        <v>202210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 s="3">
        <v>202211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5">
      <c r="A915" s="3">
        <v>202212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s="3">
        <v>202301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5">
      <c r="A917" s="3">
        <v>202303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35">
      <c r="A918" s="3">
        <v>202304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35">
      <c r="A919" s="3">
        <v>202305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s="3">
        <v>202306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s="3">
        <v>202307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35">
      <c r="A922" s="3">
        <v>202308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35">
      <c r="A923" s="3">
        <v>202309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s="3">
        <v>202310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s="3">
        <v>202311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35">
      <c r="A926" s="3">
        <v>202312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s="3">
        <v>202401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s="3">
        <v>202402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35">
      <c r="A929" s="3">
        <v>202403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s="3">
        <v>202404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s="3">
        <v>202405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s="3">
        <v>202406</v>
      </c>
      <c r="B932">
        <v>3.2068634</v>
      </c>
      <c r="C932">
        <v>3.2068634</v>
      </c>
      <c r="D932">
        <v>0</v>
      </c>
      <c r="E932">
        <v>8.2030871699999999</v>
      </c>
      <c r="F932">
        <v>4.9707884099999999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35">
      <c r="A933" s="3">
        <v>202407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s="3">
        <v>202408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s="3">
        <v>202409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35">
      <c r="A936" s="3">
        <v>202410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s="3">
        <v>202411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s="3">
        <v>202412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35">
      <c r="A939" s="3">
        <v>202501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s="3">
        <v>202502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35">
      <c r="A941" s="3">
        <v>202503</v>
      </c>
      <c r="B941">
        <v>0</v>
      </c>
      <c r="C941">
        <v>1137.7142447000001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s="3">
        <v>202504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s="3">
        <v>202505</v>
      </c>
      <c r="B943">
        <v>13.460065999999999</v>
      </c>
      <c r="C943">
        <v>13.460065999999999</v>
      </c>
      <c r="D943">
        <v>0</v>
      </c>
      <c r="E943">
        <v>1.28933974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5">
      <c r="A944" s="3">
        <v>202506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s="3">
        <v>202507</v>
      </c>
      <c r="B945">
        <v>0</v>
      </c>
      <c r="C945">
        <v>0</v>
      </c>
      <c r="D945">
        <v>0</v>
      </c>
      <c r="E945">
        <v>5.4233061900000008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s="2" t="s">
        <v>39</v>
      </c>
      <c r="B946">
        <v>0</v>
      </c>
      <c r="C946">
        <v>524.15214100000003</v>
      </c>
      <c r="D946">
        <v>0</v>
      </c>
      <c r="E946">
        <v>11586.215832999998</v>
      </c>
      <c r="F946">
        <v>0</v>
      </c>
      <c r="G946">
        <v>0</v>
      </c>
      <c r="H946">
        <v>0</v>
      </c>
      <c r="I946">
        <v>20.827542999999999</v>
      </c>
      <c r="J946">
        <v>0</v>
      </c>
      <c r="K946">
        <v>304.462467</v>
      </c>
      <c r="L946">
        <v>15.866028999999999</v>
      </c>
    </row>
    <row r="947" spans="1:12" x14ac:dyDescent="0.35">
      <c r="A947" s="3">
        <v>202201</v>
      </c>
      <c r="B947">
        <v>0</v>
      </c>
      <c r="C947">
        <v>0</v>
      </c>
      <c r="D947">
        <v>0</v>
      </c>
      <c r="E947">
        <v>102.010527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0.17432700000000001</v>
      </c>
      <c r="L947">
        <v>0</v>
      </c>
    </row>
    <row r="948" spans="1:12" x14ac:dyDescent="0.35">
      <c r="A948" s="3">
        <v>202202</v>
      </c>
      <c r="B948">
        <v>0</v>
      </c>
      <c r="C948">
        <v>0</v>
      </c>
      <c r="D948">
        <v>0</v>
      </c>
      <c r="E948">
        <v>147.70861400000001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0.53239999999999998</v>
      </c>
      <c r="L948">
        <v>0</v>
      </c>
    </row>
    <row r="949" spans="1:12" x14ac:dyDescent="0.35">
      <c r="A949" s="3">
        <v>202203</v>
      </c>
      <c r="B949">
        <v>0</v>
      </c>
      <c r="C949">
        <v>0</v>
      </c>
      <c r="D949">
        <v>0</v>
      </c>
      <c r="E949">
        <v>150.64281099999999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1.3442670000000001</v>
      </c>
      <c r="L949">
        <v>0</v>
      </c>
    </row>
    <row r="950" spans="1:12" x14ac:dyDescent="0.35">
      <c r="A950" s="3">
        <v>202204</v>
      </c>
      <c r="B950">
        <v>0</v>
      </c>
      <c r="C950">
        <v>0</v>
      </c>
      <c r="D950">
        <v>0</v>
      </c>
      <c r="E950">
        <v>169.299691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1.2262420000000001</v>
      </c>
      <c r="L950">
        <v>0</v>
      </c>
    </row>
    <row r="951" spans="1:12" x14ac:dyDescent="0.35">
      <c r="A951" s="3">
        <v>202205</v>
      </c>
      <c r="B951">
        <v>0</v>
      </c>
      <c r="C951">
        <v>0</v>
      </c>
      <c r="D951">
        <v>0</v>
      </c>
      <c r="E951">
        <v>150.719043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1.7570479999999999</v>
      </c>
      <c r="L951">
        <v>0</v>
      </c>
    </row>
    <row r="952" spans="1:12" x14ac:dyDescent="0.35">
      <c r="A952" s="3">
        <v>202206</v>
      </c>
      <c r="B952">
        <v>0</v>
      </c>
      <c r="C952">
        <v>0</v>
      </c>
      <c r="D952">
        <v>0</v>
      </c>
      <c r="E952">
        <v>172.85685799999999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1.535949</v>
      </c>
      <c r="L952">
        <v>0</v>
      </c>
    </row>
    <row r="953" spans="1:12" x14ac:dyDescent="0.35">
      <c r="A953" s="3">
        <v>202207</v>
      </c>
      <c r="B953">
        <v>0</v>
      </c>
      <c r="C953">
        <v>0</v>
      </c>
      <c r="D953">
        <v>0</v>
      </c>
      <c r="E953">
        <v>148.209486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1.8843460000000001</v>
      </c>
      <c r="L953">
        <v>0</v>
      </c>
    </row>
    <row r="954" spans="1:12" x14ac:dyDescent="0.35">
      <c r="A954" s="3">
        <v>202208</v>
      </c>
      <c r="B954">
        <v>0</v>
      </c>
      <c r="C954">
        <v>0</v>
      </c>
      <c r="D954">
        <v>0</v>
      </c>
      <c r="E954">
        <v>155.84128200000001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2.0435219999999998</v>
      </c>
      <c r="L954">
        <v>0</v>
      </c>
    </row>
    <row r="955" spans="1:12" x14ac:dyDescent="0.35">
      <c r="A955" s="3">
        <v>202209</v>
      </c>
      <c r="B955">
        <v>0</v>
      </c>
      <c r="C955">
        <v>0</v>
      </c>
      <c r="D955">
        <v>0</v>
      </c>
      <c r="E955">
        <v>187.874886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2.6072760000000001</v>
      </c>
      <c r="L955">
        <v>0</v>
      </c>
    </row>
    <row r="956" spans="1:12" x14ac:dyDescent="0.35">
      <c r="A956" s="3">
        <v>202210</v>
      </c>
      <c r="B956">
        <v>0</v>
      </c>
      <c r="C956">
        <v>0</v>
      </c>
      <c r="D956">
        <v>0</v>
      </c>
      <c r="E956">
        <v>142.35155499999999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2.5152899999999998</v>
      </c>
      <c r="L956">
        <v>0</v>
      </c>
    </row>
    <row r="957" spans="1:12" x14ac:dyDescent="0.35">
      <c r="A957" s="3">
        <v>202211</v>
      </c>
      <c r="B957">
        <v>0</v>
      </c>
      <c r="C957">
        <v>0</v>
      </c>
      <c r="D957">
        <v>0</v>
      </c>
      <c r="E957">
        <v>193.78462200000001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3.165959</v>
      </c>
      <c r="L957">
        <v>0</v>
      </c>
    </row>
    <row r="958" spans="1:12" x14ac:dyDescent="0.35">
      <c r="A958" s="3">
        <v>202212</v>
      </c>
      <c r="B958">
        <v>0</v>
      </c>
      <c r="C958">
        <v>0</v>
      </c>
      <c r="D958">
        <v>0</v>
      </c>
      <c r="E958">
        <v>205.956941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3.630487</v>
      </c>
      <c r="L958">
        <v>0</v>
      </c>
    </row>
    <row r="959" spans="1:12" x14ac:dyDescent="0.35">
      <c r="A959" s="3">
        <v>202301</v>
      </c>
      <c r="B959">
        <v>0</v>
      </c>
      <c r="C959">
        <v>0</v>
      </c>
      <c r="D959">
        <v>0</v>
      </c>
      <c r="E959">
        <v>215.841634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4.7082069999999998</v>
      </c>
      <c r="L959">
        <v>0</v>
      </c>
    </row>
    <row r="960" spans="1:12" x14ac:dyDescent="0.35">
      <c r="A960" s="3">
        <v>202302</v>
      </c>
      <c r="B960">
        <v>0</v>
      </c>
      <c r="C960">
        <v>0</v>
      </c>
      <c r="D960">
        <v>0</v>
      </c>
      <c r="E960">
        <v>267.22709900000001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4.3939570000000003</v>
      </c>
      <c r="L960">
        <v>0</v>
      </c>
    </row>
    <row r="961" spans="1:12" x14ac:dyDescent="0.35">
      <c r="A961" s="3">
        <v>202303</v>
      </c>
      <c r="B961">
        <v>0</v>
      </c>
      <c r="C961">
        <v>0</v>
      </c>
      <c r="D961">
        <v>0</v>
      </c>
      <c r="E961">
        <v>255.853905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4.492934</v>
      </c>
      <c r="L961">
        <v>0</v>
      </c>
    </row>
    <row r="962" spans="1:12" x14ac:dyDescent="0.35">
      <c r="A962" s="3">
        <v>202304</v>
      </c>
      <c r="B962">
        <v>0</v>
      </c>
      <c r="C962">
        <v>0</v>
      </c>
      <c r="D962">
        <v>0</v>
      </c>
      <c r="E962">
        <v>292.21497299999999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3.9937680000000002</v>
      </c>
      <c r="L962">
        <v>0</v>
      </c>
    </row>
    <row r="963" spans="1:12" x14ac:dyDescent="0.35">
      <c r="A963" s="3">
        <v>202305</v>
      </c>
      <c r="B963">
        <v>0</v>
      </c>
      <c r="C963">
        <v>0</v>
      </c>
      <c r="D963">
        <v>0</v>
      </c>
      <c r="E963">
        <v>288.64060000000001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5.4445969999999999</v>
      </c>
      <c r="L963">
        <v>0</v>
      </c>
    </row>
    <row r="964" spans="1:12" x14ac:dyDescent="0.35">
      <c r="A964" s="3">
        <v>202306</v>
      </c>
      <c r="B964">
        <v>0</v>
      </c>
      <c r="C964">
        <v>0</v>
      </c>
      <c r="D964">
        <v>0</v>
      </c>
      <c r="E964">
        <v>325.65071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5.2762640000000003</v>
      </c>
      <c r="L964">
        <v>0</v>
      </c>
    </row>
    <row r="965" spans="1:12" x14ac:dyDescent="0.35">
      <c r="A965" s="3">
        <v>202307</v>
      </c>
      <c r="B965">
        <v>0</v>
      </c>
      <c r="C965">
        <v>0</v>
      </c>
      <c r="D965">
        <v>0</v>
      </c>
      <c r="E965">
        <v>218.73058599999999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5.0476939999999999</v>
      </c>
      <c r="L965">
        <v>0</v>
      </c>
    </row>
    <row r="966" spans="1:12" x14ac:dyDescent="0.35">
      <c r="A966" s="3">
        <v>202308</v>
      </c>
      <c r="B966">
        <v>0</v>
      </c>
      <c r="C966">
        <v>0</v>
      </c>
      <c r="D966">
        <v>0</v>
      </c>
      <c r="E966">
        <v>231.47570999999999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6.1959590000000002</v>
      </c>
      <c r="L966">
        <v>0</v>
      </c>
    </row>
    <row r="967" spans="1:12" x14ac:dyDescent="0.35">
      <c r="A967" s="3">
        <v>202309</v>
      </c>
      <c r="B967">
        <v>0</v>
      </c>
      <c r="C967">
        <v>0</v>
      </c>
      <c r="D967">
        <v>0</v>
      </c>
      <c r="E967">
        <v>227.830974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5.5749849999999999</v>
      </c>
      <c r="L967">
        <v>0</v>
      </c>
    </row>
    <row r="968" spans="1:12" x14ac:dyDescent="0.35">
      <c r="A968" s="3">
        <v>202310</v>
      </c>
      <c r="B968">
        <v>0</v>
      </c>
      <c r="C968">
        <v>0</v>
      </c>
      <c r="D968">
        <v>0</v>
      </c>
      <c r="E968">
        <v>216.89908399999999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6.5188990000000002</v>
      </c>
      <c r="L968">
        <v>0</v>
      </c>
    </row>
    <row r="969" spans="1:12" x14ac:dyDescent="0.35">
      <c r="A969" s="3">
        <v>202311</v>
      </c>
      <c r="B969">
        <v>0</v>
      </c>
      <c r="C969">
        <v>0</v>
      </c>
      <c r="D969">
        <v>0</v>
      </c>
      <c r="E969">
        <v>283.45094599999999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6.454853</v>
      </c>
      <c r="L969">
        <v>0</v>
      </c>
    </row>
    <row r="970" spans="1:12" x14ac:dyDescent="0.35">
      <c r="A970" s="3">
        <v>202312</v>
      </c>
      <c r="B970">
        <v>0</v>
      </c>
      <c r="C970">
        <v>0</v>
      </c>
      <c r="D970">
        <v>0</v>
      </c>
      <c r="E970">
        <v>245.752465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10.770410999999999</v>
      </c>
      <c r="L970">
        <v>0</v>
      </c>
    </row>
    <row r="971" spans="1:12" x14ac:dyDescent="0.35">
      <c r="A971" s="3">
        <v>202401</v>
      </c>
      <c r="B971">
        <v>0</v>
      </c>
      <c r="C971">
        <v>0</v>
      </c>
      <c r="D971">
        <v>0</v>
      </c>
      <c r="E971">
        <v>254.43183099999999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15.381774999999999</v>
      </c>
      <c r="L971">
        <v>0</v>
      </c>
    </row>
    <row r="972" spans="1:12" x14ac:dyDescent="0.35">
      <c r="A972" s="3">
        <v>202402</v>
      </c>
      <c r="B972">
        <v>0</v>
      </c>
      <c r="C972">
        <v>0</v>
      </c>
      <c r="D972">
        <v>0</v>
      </c>
      <c r="E972">
        <v>332.71005400000001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24.263349999999999</v>
      </c>
      <c r="L972">
        <v>0</v>
      </c>
    </row>
    <row r="973" spans="1:12" x14ac:dyDescent="0.35">
      <c r="A973" s="3">
        <v>202403</v>
      </c>
      <c r="B973">
        <v>0</v>
      </c>
      <c r="C973">
        <v>0</v>
      </c>
      <c r="D973">
        <v>0</v>
      </c>
      <c r="E973">
        <v>344.01599499999998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14.910985</v>
      </c>
      <c r="L973">
        <v>0</v>
      </c>
    </row>
    <row r="974" spans="1:12" x14ac:dyDescent="0.35">
      <c r="A974" s="3">
        <v>202404</v>
      </c>
      <c r="B974">
        <v>0</v>
      </c>
      <c r="C974">
        <v>0</v>
      </c>
      <c r="D974">
        <v>0</v>
      </c>
      <c r="E974">
        <v>325.83137799999997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8.1097540000000006</v>
      </c>
      <c r="L974">
        <v>0</v>
      </c>
    </row>
    <row r="975" spans="1:12" x14ac:dyDescent="0.35">
      <c r="A975" s="3">
        <v>202405</v>
      </c>
      <c r="B975">
        <v>0</v>
      </c>
      <c r="C975">
        <v>0</v>
      </c>
      <c r="D975">
        <v>0</v>
      </c>
      <c r="E975">
        <v>393.364687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7.7797340000000004</v>
      </c>
      <c r="L975">
        <v>0</v>
      </c>
    </row>
    <row r="976" spans="1:12" x14ac:dyDescent="0.35">
      <c r="A976" s="3">
        <v>202406</v>
      </c>
      <c r="B976">
        <v>0</v>
      </c>
      <c r="C976">
        <v>0</v>
      </c>
      <c r="D976">
        <v>0</v>
      </c>
      <c r="E976">
        <v>345.10319399999997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7.0356240000000003</v>
      </c>
      <c r="L976">
        <v>0</v>
      </c>
    </row>
    <row r="977" spans="1:12" x14ac:dyDescent="0.35">
      <c r="A977" s="3">
        <v>202407</v>
      </c>
      <c r="B977">
        <v>0</v>
      </c>
      <c r="C977">
        <v>0</v>
      </c>
      <c r="D977">
        <v>0</v>
      </c>
      <c r="E977">
        <v>292.298451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9.0696779999999997</v>
      </c>
      <c r="L977">
        <v>0</v>
      </c>
    </row>
    <row r="978" spans="1:12" x14ac:dyDescent="0.35">
      <c r="A978" s="3">
        <v>202408</v>
      </c>
      <c r="B978">
        <v>0</v>
      </c>
      <c r="C978">
        <v>0</v>
      </c>
      <c r="D978">
        <v>0</v>
      </c>
      <c r="E978">
        <v>355.14745599999998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7.6329659999999997</v>
      </c>
      <c r="L978">
        <v>0</v>
      </c>
    </row>
    <row r="979" spans="1:12" x14ac:dyDescent="0.35">
      <c r="A979" s="3">
        <v>202409</v>
      </c>
      <c r="B979">
        <v>0</v>
      </c>
      <c r="C979">
        <v>0</v>
      </c>
      <c r="D979">
        <v>0</v>
      </c>
      <c r="E979">
        <v>280.88115800000003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8.6126039999999993</v>
      </c>
      <c r="L979">
        <v>0</v>
      </c>
    </row>
    <row r="980" spans="1:12" x14ac:dyDescent="0.35">
      <c r="A980" s="3">
        <v>202410</v>
      </c>
      <c r="B980">
        <v>0</v>
      </c>
      <c r="C980">
        <v>0</v>
      </c>
      <c r="D980">
        <v>0</v>
      </c>
      <c r="E980">
        <v>360.67262799999997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12.713385000000001</v>
      </c>
      <c r="L980">
        <v>0</v>
      </c>
    </row>
    <row r="981" spans="1:12" x14ac:dyDescent="0.35">
      <c r="A981" s="3">
        <v>202411</v>
      </c>
      <c r="B981">
        <v>0</v>
      </c>
      <c r="C981">
        <v>0</v>
      </c>
      <c r="D981">
        <v>0</v>
      </c>
      <c r="E981">
        <v>382.18962599999998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15.609736</v>
      </c>
      <c r="L981">
        <v>0</v>
      </c>
    </row>
    <row r="982" spans="1:12" x14ac:dyDescent="0.35">
      <c r="A982" s="3">
        <v>202412</v>
      </c>
      <c r="B982">
        <v>0</v>
      </c>
      <c r="C982">
        <v>0</v>
      </c>
      <c r="D982">
        <v>0</v>
      </c>
      <c r="E982">
        <v>387.06853899999999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19.620578999999999</v>
      </c>
      <c r="L982">
        <v>0</v>
      </c>
    </row>
    <row r="983" spans="1:12" x14ac:dyDescent="0.35">
      <c r="A983" s="3">
        <v>202501</v>
      </c>
      <c r="B983">
        <v>0</v>
      </c>
      <c r="C983">
        <v>524.15214100000003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20.827542999999999</v>
      </c>
      <c r="J983">
        <v>0</v>
      </c>
      <c r="K983">
        <v>0</v>
      </c>
      <c r="L983">
        <v>0</v>
      </c>
    </row>
    <row r="984" spans="1:12" x14ac:dyDescent="0.35">
      <c r="A984" s="3">
        <v>202502</v>
      </c>
      <c r="B984">
        <v>0</v>
      </c>
      <c r="C984">
        <v>0</v>
      </c>
      <c r="D984">
        <v>0</v>
      </c>
      <c r="E984">
        <v>456.84439600000002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15.866028999999999</v>
      </c>
    </row>
    <row r="985" spans="1:12" x14ac:dyDescent="0.35">
      <c r="A985" s="3">
        <v>202503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5">
      <c r="A986" s="3">
        <v>202504</v>
      </c>
      <c r="B986">
        <v>0</v>
      </c>
      <c r="C986">
        <v>0</v>
      </c>
      <c r="D986">
        <v>0</v>
      </c>
      <c r="E986">
        <v>627.86686799999995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12.933937999999999</v>
      </c>
      <c r="L986">
        <v>0</v>
      </c>
    </row>
    <row r="987" spans="1:12" x14ac:dyDescent="0.35">
      <c r="A987" s="3">
        <v>202505</v>
      </c>
      <c r="B987">
        <v>0</v>
      </c>
      <c r="C987">
        <v>0</v>
      </c>
      <c r="D987">
        <v>0</v>
      </c>
      <c r="E987">
        <v>529.20811100000003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15.787478999999999</v>
      </c>
      <c r="L987">
        <v>0</v>
      </c>
    </row>
    <row r="988" spans="1:12" x14ac:dyDescent="0.35">
      <c r="A988" s="3">
        <v>202506</v>
      </c>
      <c r="B988">
        <v>0</v>
      </c>
      <c r="C988">
        <v>0</v>
      </c>
      <c r="D988">
        <v>0</v>
      </c>
      <c r="E988">
        <v>444.643957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16.448315000000001</v>
      </c>
      <c r="L988">
        <v>0</v>
      </c>
    </row>
    <row r="989" spans="1:12" x14ac:dyDescent="0.35">
      <c r="A989" s="3">
        <v>202507</v>
      </c>
      <c r="B989">
        <v>0</v>
      </c>
      <c r="C989">
        <v>0</v>
      </c>
      <c r="D989">
        <v>0</v>
      </c>
      <c r="E989">
        <v>477.11250200000001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17.262924000000002</v>
      </c>
      <c r="L989">
        <v>0</v>
      </c>
    </row>
    <row r="990" spans="1:12" x14ac:dyDescent="0.35">
      <c r="A990" s="2" t="s">
        <v>40</v>
      </c>
      <c r="B990">
        <v>1537.6921939999997</v>
      </c>
      <c r="C990">
        <v>1984.9092709999998</v>
      </c>
      <c r="D990">
        <v>8.2164889999999993</v>
      </c>
      <c r="E990">
        <v>24.192774</v>
      </c>
      <c r="F990">
        <v>0.49581500000000001</v>
      </c>
      <c r="G990">
        <v>0</v>
      </c>
      <c r="H990">
        <v>0</v>
      </c>
      <c r="I990">
        <v>0</v>
      </c>
      <c r="J990">
        <v>11.93614</v>
      </c>
      <c r="K990">
        <v>0</v>
      </c>
      <c r="L990">
        <v>0</v>
      </c>
    </row>
    <row r="991" spans="1:12" x14ac:dyDescent="0.35">
      <c r="A991" s="3">
        <v>202201</v>
      </c>
      <c r="B991">
        <v>2.4981369999999998</v>
      </c>
      <c r="C991">
        <v>2.4981369999999998</v>
      </c>
      <c r="D991">
        <v>0</v>
      </c>
      <c r="E991">
        <v>0.31575599999999998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35">
      <c r="A992" s="3">
        <v>202202</v>
      </c>
      <c r="B992">
        <v>60.032040000000002</v>
      </c>
      <c r="C992">
        <v>60.032040000000002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s="3">
        <v>202203</v>
      </c>
      <c r="B993">
        <v>1.5517890000000001</v>
      </c>
      <c r="C993">
        <v>1.5517890000000001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35">
      <c r="A994" s="3">
        <v>202204</v>
      </c>
      <c r="B994">
        <v>0.21123600000000001</v>
      </c>
      <c r="C994">
        <v>0.21123600000000001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35">
      <c r="A995" s="3">
        <v>202205</v>
      </c>
      <c r="B995">
        <v>3.93614</v>
      </c>
      <c r="C995">
        <v>3.93614</v>
      </c>
      <c r="D995">
        <v>0</v>
      </c>
      <c r="E995">
        <v>1.3373710000000001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5">
      <c r="A996" s="3">
        <v>202206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35">
      <c r="A997" s="3">
        <v>202207</v>
      </c>
      <c r="B997">
        <v>2.0778000000000001E-2</v>
      </c>
      <c r="C997">
        <v>2.0778000000000001E-2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35">
      <c r="A998" s="3">
        <v>202208</v>
      </c>
      <c r="B998">
        <v>81.390541999999996</v>
      </c>
      <c r="C998">
        <v>81.390541999999996</v>
      </c>
      <c r="D998">
        <v>0</v>
      </c>
      <c r="E998">
        <v>0.39270300000000002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35">
      <c r="A999" s="3">
        <v>202209</v>
      </c>
      <c r="B999">
        <v>2.0644179999999999</v>
      </c>
      <c r="C999">
        <v>2.0644179999999999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s="3">
        <v>202210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s="3">
        <v>202211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5">
      <c r="A1002" s="3">
        <v>202212</v>
      </c>
      <c r="B1002">
        <v>0.248837</v>
      </c>
      <c r="C1002">
        <v>0.248837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s="3">
        <v>202301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s="3">
        <v>202302</v>
      </c>
      <c r="B1004">
        <v>0.70550599999999997</v>
      </c>
      <c r="C1004">
        <v>0.70550599999999997</v>
      </c>
      <c r="D1004">
        <v>0</v>
      </c>
      <c r="E1004">
        <v>0.20596100000000001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35">
      <c r="A1005" s="3">
        <v>202303</v>
      </c>
      <c r="B1005">
        <v>14.294027</v>
      </c>
      <c r="C1005">
        <v>14.294027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35">
      <c r="A1006" s="3">
        <v>202304</v>
      </c>
      <c r="B1006">
        <v>0</v>
      </c>
      <c r="C1006">
        <v>0</v>
      </c>
      <c r="D1006">
        <v>0</v>
      </c>
      <c r="E1006">
        <v>1.2999999999999999E-5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s="3">
        <v>202305</v>
      </c>
      <c r="B1007">
        <v>0</v>
      </c>
      <c r="C1007">
        <v>0</v>
      </c>
      <c r="D1007">
        <v>0</v>
      </c>
      <c r="E1007">
        <v>5.1354999999999998E-2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35">
      <c r="A1008" s="3">
        <v>202306</v>
      </c>
      <c r="B1008">
        <v>0.96510300000000004</v>
      </c>
      <c r="C1008">
        <v>0.96510300000000004</v>
      </c>
      <c r="D1008">
        <v>0</v>
      </c>
      <c r="E1008">
        <v>0.73741299999999999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5">
      <c r="A1009" s="3">
        <v>202307</v>
      </c>
      <c r="B1009">
        <v>2.0912679999999999</v>
      </c>
      <c r="C1009">
        <v>2.0912679999999999</v>
      </c>
      <c r="D1009">
        <v>0</v>
      </c>
      <c r="E1009">
        <v>0.41208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s="3">
        <v>202308</v>
      </c>
      <c r="B1010">
        <v>8.2164889999999993</v>
      </c>
      <c r="C1010">
        <v>0</v>
      </c>
      <c r="D1010">
        <v>8.2164889999999993</v>
      </c>
      <c r="E1010">
        <v>0.41004200000000002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s="3">
        <v>202309</v>
      </c>
      <c r="B1011">
        <v>1.5514950000000001</v>
      </c>
      <c r="C1011">
        <v>1.5514950000000001</v>
      </c>
      <c r="D1011">
        <v>0</v>
      </c>
      <c r="E1011">
        <v>2.1545339999999999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35">
      <c r="A1012" s="3">
        <v>202310</v>
      </c>
      <c r="B1012">
        <v>0</v>
      </c>
      <c r="C1012">
        <v>0</v>
      </c>
      <c r="D1012">
        <v>0</v>
      </c>
      <c r="E1012">
        <v>3.0000000000000001E-6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s="3">
        <v>202311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s="3">
        <v>202312</v>
      </c>
      <c r="B1014">
        <v>0</v>
      </c>
      <c r="C1014">
        <v>0</v>
      </c>
      <c r="D1014">
        <v>0</v>
      </c>
      <c r="E1014">
        <v>1.9999999999999999E-6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s="3">
        <v>202401</v>
      </c>
      <c r="B1015">
        <v>0</v>
      </c>
      <c r="C1015">
        <v>0</v>
      </c>
      <c r="D1015">
        <v>0</v>
      </c>
      <c r="E1015">
        <v>5.0000000000000004E-6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35">
      <c r="A1016" s="3">
        <v>202402</v>
      </c>
      <c r="B1016">
        <v>0</v>
      </c>
      <c r="C1016">
        <v>0</v>
      </c>
      <c r="D1016">
        <v>0</v>
      </c>
      <c r="E1016">
        <v>7.9999999999999996E-6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35">
      <c r="A1017" s="3">
        <v>202403</v>
      </c>
      <c r="B1017">
        <v>1155.2851499999999</v>
      </c>
      <c r="C1017">
        <v>1155.2851499999999</v>
      </c>
      <c r="D1017">
        <v>0</v>
      </c>
      <c r="E1017">
        <v>6.9999999999999999E-6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s="3">
        <v>202404</v>
      </c>
      <c r="B1018">
        <v>0.16119700000000001</v>
      </c>
      <c r="C1018">
        <v>0.16119700000000001</v>
      </c>
      <c r="D1018">
        <v>0</v>
      </c>
      <c r="E1018">
        <v>3.9999999999999998E-6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s="3">
        <v>202405</v>
      </c>
      <c r="B1019">
        <v>0</v>
      </c>
      <c r="C1019">
        <v>0</v>
      </c>
      <c r="D1019">
        <v>0</v>
      </c>
      <c r="E1019">
        <v>6.0000000000000002E-6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35">
      <c r="A1020" s="3">
        <v>202406</v>
      </c>
      <c r="B1020">
        <v>0</v>
      </c>
      <c r="C1020">
        <v>0</v>
      </c>
      <c r="D1020">
        <v>0</v>
      </c>
      <c r="E1020">
        <v>5.0000000000000004E-6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5">
      <c r="A1021" s="3">
        <v>202407</v>
      </c>
      <c r="B1021">
        <v>0</v>
      </c>
      <c r="C1021">
        <v>0</v>
      </c>
      <c r="D1021">
        <v>0</v>
      </c>
      <c r="E1021">
        <v>1.9999999999999999E-6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s="3">
        <v>202408</v>
      </c>
      <c r="B1022">
        <v>0</v>
      </c>
      <c r="C1022">
        <v>0</v>
      </c>
      <c r="D1022">
        <v>0</v>
      </c>
      <c r="E1022">
        <v>0.71772899999999995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5">
      <c r="A1023" s="3">
        <v>202409</v>
      </c>
      <c r="B1023">
        <v>11.698504</v>
      </c>
      <c r="C1023">
        <v>11.698504</v>
      </c>
      <c r="D1023">
        <v>0</v>
      </c>
      <c r="E1023">
        <v>2.7533999999999999E-2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s="3">
        <v>202410</v>
      </c>
      <c r="B1024">
        <v>0</v>
      </c>
      <c r="C1024">
        <v>0</v>
      </c>
      <c r="D1024">
        <v>0</v>
      </c>
      <c r="E1024">
        <v>0.481435</v>
      </c>
      <c r="F1024">
        <v>0.49581500000000001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5">
      <c r="A1025" s="3">
        <v>202411</v>
      </c>
      <c r="B1025">
        <v>164.99212600000001</v>
      </c>
      <c r="C1025">
        <v>161.36410000000001</v>
      </c>
      <c r="D1025">
        <v>0</v>
      </c>
      <c r="E1025">
        <v>1.9699999999999999E-4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5">
      <c r="A1026" s="3">
        <v>202412</v>
      </c>
      <c r="B1026">
        <v>0.752888</v>
      </c>
      <c r="C1026">
        <v>0.752888</v>
      </c>
      <c r="D1026">
        <v>0</v>
      </c>
      <c r="E1026">
        <v>1.2E-5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35">
      <c r="A1027" s="3">
        <v>202501</v>
      </c>
      <c r="B1027">
        <v>0</v>
      </c>
      <c r="C1027">
        <v>1.5E-5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35">
      <c r="A1028" s="3">
        <v>202502</v>
      </c>
      <c r="B1028">
        <v>0</v>
      </c>
      <c r="C1028">
        <v>0</v>
      </c>
      <c r="D1028">
        <v>0</v>
      </c>
      <c r="E1028">
        <v>13.083909999999999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35">
      <c r="A1029" s="3">
        <v>202503</v>
      </c>
      <c r="B1029">
        <v>0</v>
      </c>
      <c r="C1029">
        <v>459.061577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11.93614</v>
      </c>
      <c r="K1029">
        <v>0</v>
      </c>
      <c r="L1029">
        <v>0</v>
      </c>
    </row>
    <row r="1030" spans="1:12" x14ac:dyDescent="0.35">
      <c r="A1030" s="3">
        <v>202504</v>
      </c>
      <c r="B1030">
        <v>6.0140000000000002E-3</v>
      </c>
      <c r="C1030">
        <v>6.0140000000000002E-3</v>
      </c>
      <c r="D1030">
        <v>0</v>
      </c>
      <c r="E1030">
        <v>3.0000000000000001E-6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35">
      <c r="A1031" s="3">
        <v>202505</v>
      </c>
      <c r="B1031">
        <v>0</v>
      </c>
      <c r="C1031">
        <v>0</v>
      </c>
      <c r="D1031">
        <v>0</v>
      </c>
      <c r="E1031">
        <v>1.6295790000000001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35">
      <c r="A1032" s="3">
        <v>202506</v>
      </c>
      <c r="B1032">
        <v>20.650123000000001</v>
      </c>
      <c r="C1032">
        <v>20.650123000000001</v>
      </c>
      <c r="D1032">
        <v>0</v>
      </c>
      <c r="E1032">
        <v>2.2350859999999999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s="3">
        <v>202507</v>
      </c>
      <c r="B1033">
        <v>4.3683870000000002</v>
      </c>
      <c r="C1033">
        <v>4.3683870000000002</v>
      </c>
      <c r="D1033">
        <v>0</v>
      </c>
      <c r="E1033">
        <v>1.9000000000000001E-5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35">
      <c r="A1034" s="2" t="s">
        <v>41</v>
      </c>
      <c r="B1034">
        <v>1.624627</v>
      </c>
      <c r="C1034">
        <v>1.0000000000000001E-5</v>
      </c>
      <c r="D1034">
        <v>0</v>
      </c>
      <c r="E1034">
        <v>1.624627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s="3">
        <v>202201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s="3">
        <v>202202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s="3">
        <v>202203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s="3">
        <v>202204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35">
      <c r="A1039" s="3">
        <v>202205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s="3">
        <v>202206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35">
      <c r="A1041" s="3">
        <v>202207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35">
      <c r="A1042" s="3">
        <v>202208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35">
      <c r="A1043" s="3">
        <v>202209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s="3">
        <v>202210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s="3">
        <v>202211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s="3">
        <v>202212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s="3">
        <v>202301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s="3">
        <v>202302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s="3">
        <v>202303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s="3">
        <v>202304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s="3">
        <v>202305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s="3">
        <v>202306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s="3">
        <v>202307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35">
      <c r="A1054" s="3">
        <v>202308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s="3">
        <v>202309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5">
      <c r="A1056" s="3">
        <v>202310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5">
      <c r="A1057" s="3">
        <v>202311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s="3">
        <v>202312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35">
      <c r="A1059" s="3">
        <v>202401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35">
      <c r="A1060" s="3">
        <v>202402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s="3">
        <v>202403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s="3">
        <v>202404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s="3">
        <v>202405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s="3">
        <v>202406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35">
      <c r="A1065" s="3">
        <v>202407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35">
      <c r="A1066" s="3">
        <v>202408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s="3">
        <v>202409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s="3">
        <v>202410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35">
      <c r="A1069" s="3">
        <v>202411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s="3">
        <v>202412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s="3">
        <v>202501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s="3">
        <v>202502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5">
      <c r="A1073" s="3">
        <v>202503</v>
      </c>
      <c r="B1073">
        <v>1.624627</v>
      </c>
      <c r="C1073">
        <v>1.0000000000000001E-5</v>
      </c>
      <c r="D1073">
        <v>0</v>
      </c>
      <c r="E1073">
        <v>1.624627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35">
      <c r="A1074" s="3">
        <v>202504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35">
      <c r="A1075" s="3">
        <v>202505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s="3">
        <v>202506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s="3">
        <v>202507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s="2" t="s">
        <v>42</v>
      </c>
      <c r="B1078">
        <v>537.47222299999999</v>
      </c>
      <c r="C1078">
        <v>537.47222299999999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s="3">
        <v>202201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5">
      <c r="A1080" s="3">
        <v>202202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5">
      <c r="A1081" s="3">
        <v>202203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5">
      <c r="A1082" s="3">
        <v>202204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35">
      <c r="A1083" s="3">
        <v>202205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s="3">
        <v>202206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35">
      <c r="A1085" s="3">
        <v>202207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5">
      <c r="A1086" s="3">
        <v>202208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35">
      <c r="A1087" s="3">
        <v>202209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s="3">
        <v>202210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35">
      <c r="A1089" s="3">
        <v>202211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s="3">
        <v>202212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s="3">
        <v>202301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s="3">
        <v>202302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5">
      <c r="A1093" s="3">
        <v>202303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35">
      <c r="A1094" s="3">
        <v>202304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s="3">
        <v>202305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s="3">
        <v>202306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s="3">
        <v>202307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s="3">
        <v>202308</v>
      </c>
      <c r="B1098">
        <v>193.740936</v>
      </c>
      <c r="C1098">
        <v>193.740936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s="3">
        <v>202309</v>
      </c>
      <c r="B1099">
        <v>63.988939000000002</v>
      </c>
      <c r="C1099">
        <v>63.988939000000002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35">
      <c r="A1100" s="3">
        <v>202310</v>
      </c>
      <c r="B1100">
        <v>5.3704599999999996</v>
      </c>
      <c r="C1100">
        <v>5.3704599999999996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s="3">
        <v>202311</v>
      </c>
      <c r="B1101">
        <v>5.3704599999999996</v>
      </c>
      <c r="C1101">
        <v>5.3704599999999996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s="3">
        <v>202312</v>
      </c>
      <c r="B1102">
        <v>7.7798059999999998</v>
      </c>
      <c r="C1102">
        <v>7.7798059999999998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s="3">
        <v>202401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s="3">
        <v>202402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s="3">
        <v>202403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s="3">
        <v>202404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5">
      <c r="A1107" s="3">
        <v>202405</v>
      </c>
      <c r="B1107">
        <v>2.292697</v>
      </c>
      <c r="C1107">
        <v>2.292697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s="3">
        <v>202406</v>
      </c>
      <c r="B1108">
        <v>250.87329099999999</v>
      </c>
      <c r="C1108">
        <v>250.87329099999999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s="3">
        <v>202407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s="3">
        <v>202408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s="3">
        <v>202409</v>
      </c>
      <c r="B1111">
        <v>8.0556339999999995</v>
      </c>
      <c r="C1111">
        <v>8.0556339999999995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s="3">
        <v>202410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35">
      <c r="A1113" s="3">
        <v>202411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s="3">
        <v>202412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s="3">
        <v>202501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s="3">
        <v>202502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 s="3">
        <v>202503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s="3">
        <v>202504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s="3">
        <v>202505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35">
      <c r="A1120" s="3">
        <v>202506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35">
      <c r="A1121" s="3">
        <v>202507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s="2" t="s">
        <v>43</v>
      </c>
      <c r="B1122">
        <v>265.49171933000002</v>
      </c>
      <c r="C1122">
        <v>283.95803808000005</v>
      </c>
      <c r="D1122">
        <v>0.98009413000000001</v>
      </c>
      <c r="E1122">
        <v>376.31813306999999</v>
      </c>
      <c r="F1122">
        <v>22.841894349999997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s="3">
        <v>202201</v>
      </c>
      <c r="B1123">
        <v>0</v>
      </c>
      <c r="C1123">
        <v>0</v>
      </c>
      <c r="D1123">
        <v>0</v>
      </c>
      <c r="E1123">
        <v>0.48813148000000001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s="3">
        <v>202202</v>
      </c>
      <c r="B1124">
        <v>0</v>
      </c>
      <c r="C1124">
        <v>0</v>
      </c>
      <c r="D1124">
        <v>0</v>
      </c>
      <c r="E1124">
        <v>0.30087726000000004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s="3">
        <v>202203</v>
      </c>
      <c r="B1125">
        <v>0</v>
      </c>
      <c r="C1125">
        <v>0</v>
      </c>
      <c r="D1125">
        <v>0</v>
      </c>
      <c r="E1125">
        <v>0.48813148000000001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s="3">
        <v>202204</v>
      </c>
      <c r="B1126">
        <v>0</v>
      </c>
      <c r="C1126">
        <v>0</v>
      </c>
      <c r="D1126">
        <v>0</v>
      </c>
      <c r="E1126">
        <v>0.14165914999999998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s="3">
        <v>202205</v>
      </c>
      <c r="B1127">
        <v>0</v>
      </c>
      <c r="C1127">
        <v>0</v>
      </c>
      <c r="D1127">
        <v>0</v>
      </c>
      <c r="E1127">
        <v>0.48813148000000001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s="3">
        <v>202206</v>
      </c>
      <c r="B1128">
        <v>0</v>
      </c>
      <c r="C1128">
        <v>0</v>
      </c>
      <c r="D1128">
        <v>0</v>
      </c>
      <c r="E1128">
        <v>0.20659917999999999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s="3">
        <v>202207</v>
      </c>
      <c r="B1129">
        <v>0</v>
      </c>
      <c r="C1129">
        <v>0</v>
      </c>
      <c r="D1129">
        <v>0</v>
      </c>
      <c r="E1129">
        <v>0.16201978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s="3">
        <v>202208</v>
      </c>
      <c r="B1130">
        <v>0</v>
      </c>
      <c r="C1130">
        <v>0</v>
      </c>
      <c r="D1130">
        <v>0</v>
      </c>
      <c r="E1130">
        <v>0.28457921000000003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35">
      <c r="A1131" s="3">
        <v>202209</v>
      </c>
      <c r="B1131">
        <v>0</v>
      </c>
      <c r="C1131">
        <v>0</v>
      </c>
      <c r="D1131">
        <v>0</v>
      </c>
      <c r="E1131">
        <v>0.12801822999999998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35">
      <c r="A1132" s="3">
        <v>202210</v>
      </c>
      <c r="B1132">
        <v>0</v>
      </c>
      <c r="C1132">
        <v>0</v>
      </c>
      <c r="D1132">
        <v>0</v>
      </c>
      <c r="E1132">
        <v>0.12801822999999998</v>
      </c>
      <c r="F1132">
        <v>2.1871E-4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35">
      <c r="A1133" s="3">
        <v>202211</v>
      </c>
      <c r="B1133">
        <v>0</v>
      </c>
      <c r="C1133">
        <v>0</v>
      </c>
      <c r="D1133">
        <v>0</v>
      </c>
      <c r="E1133">
        <v>0.20659917999999999</v>
      </c>
      <c r="F1133">
        <v>1.6743000000000001E-4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35">
      <c r="A1134" s="3">
        <v>202212</v>
      </c>
      <c r="B1134">
        <v>0</v>
      </c>
      <c r="C1134">
        <v>0</v>
      </c>
      <c r="D1134">
        <v>0</v>
      </c>
      <c r="E1134">
        <v>2.2375627100000002</v>
      </c>
      <c r="F1134">
        <v>9.1087000000000008E-3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35">
      <c r="A1135" s="3">
        <v>202301</v>
      </c>
      <c r="B1135">
        <v>0</v>
      </c>
      <c r="C1135">
        <v>0</v>
      </c>
      <c r="D1135">
        <v>0</v>
      </c>
      <c r="E1135">
        <v>16.333466650000002</v>
      </c>
      <c r="F1135">
        <v>1.6683470000000002E-2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35">
      <c r="A1136" s="3">
        <v>202302</v>
      </c>
      <c r="B1136">
        <v>0</v>
      </c>
      <c r="C1136">
        <v>0</v>
      </c>
      <c r="D1136">
        <v>0</v>
      </c>
      <c r="E1136">
        <v>1.76874599</v>
      </c>
      <c r="F1136">
        <v>4.2754489999999999E-2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s="3">
        <v>202303</v>
      </c>
      <c r="B1137">
        <v>0</v>
      </c>
      <c r="C1137">
        <v>0</v>
      </c>
      <c r="D1137">
        <v>0</v>
      </c>
      <c r="E1137">
        <v>1.9748626499999999</v>
      </c>
      <c r="F1137">
        <v>1.2789073500000001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5">
      <c r="A1138" s="3">
        <v>202304</v>
      </c>
      <c r="B1138">
        <v>0</v>
      </c>
      <c r="C1138">
        <v>0</v>
      </c>
      <c r="D1138">
        <v>0</v>
      </c>
      <c r="E1138">
        <v>3.4295075399999999</v>
      </c>
      <c r="F1138">
        <v>1.0226754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s="3">
        <v>202305</v>
      </c>
      <c r="B1139">
        <v>0</v>
      </c>
      <c r="C1139">
        <v>0</v>
      </c>
      <c r="D1139">
        <v>0</v>
      </c>
      <c r="E1139">
        <v>25.957847010000002</v>
      </c>
      <c r="F1139">
        <v>0.38047296999999997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s="3">
        <v>202306</v>
      </c>
      <c r="B1140">
        <v>0</v>
      </c>
      <c r="C1140">
        <v>0</v>
      </c>
      <c r="D1140">
        <v>0</v>
      </c>
      <c r="E1140">
        <v>6.8335383200000006</v>
      </c>
      <c r="F1140">
        <v>1.2395726899999999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35">
      <c r="A1141" s="3">
        <v>202307</v>
      </c>
      <c r="B1141">
        <v>0</v>
      </c>
      <c r="C1141">
        <v>0</v>
      </c>
      <c r="D1141">
        <v>0</v>
      </c>
      <c r="E1141">
        <v>8.4191321199999987</v>
      </c>
      <c r="F1141">
        <v>1.8336612299999999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s="3">
        <v>202308</v>
      </c>
      <c r="B1142">
        <v>0</v>
      </c>
      <c r="C1142">
        <v>0</v>
      </c>
      <c r="D1142">
        <v>0</v>
      </c>
      <c r="E1142">
        <v>6.1739248499999997</v>
      </c>
      <c r="F1142">
        <v>0.1039977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s="3">
        <v>202309</v>
      </c>
      <c r="B1143">
        <v>0</v>
      </c>
      <c r="C1143">
        <v>0</v>
      </c>
      <c r="D1143">
        <v>0</v>
      </c>
      <c r="E1143">
        <v>3.2017547299999998</v>
      </c>
      <c r="F1143">
        <v>0.97480135999999995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35">
      <c r="A1144" s="3">
        <v>202310</v>
      </c>
      <c r="B1144">
        <v>0</v>
      </c>
      <c r="C1144">
        <v>0</v>
      </c>
      <c r="D1144">
        <v>0</v>
      </c>
      <c r="E1144">
        <v>3.5218204500000003</v>
      </c>
      <c r="F1144">
        <v>0.35515279999999999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s="3">
        <v>202311</v>
      </c>
      <c r="B1145">
        <v>0</v>
      </c>
      <c r="C1145">
        <v>0</v>
      </c>
      <c r="D1145">
        <v>0</v>
      </c>
      <c r="E1145">
        <v>9.4568407899999993</v>
      </c>
      <c r="F1145">
        <v>0.69368756999999992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s="3">
        <v>202312</v>
      </c>
      <c r="B1146">
        <v>265.49171933000002</v>
      </c>
      <c r="C1146">
        <v>265.49171933000002</v>
      </c>
      <c r="D1146">
        <v>0</v>
      </c>
      <c r="E1146">
        <v>12.734103300000001</v>
      </c>
      <c r="F1146">
        <v>0.36483835999999997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s="3">
        <v>202401</v>
      </c>
      <c r="B1147">
        <v>0</v>
      </c>
      <c r="C1147">
        <v>0</v>
      </c>
      <c r="D1147">
        <v>0</v>
      </c>
      <c r="E1147">
        <v>11.08794692</v>
      </c>
      <c r="F1147">
        <v>1.3837626200000002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35">
      <c r="A1148" s="3">
        <v>202402</v>
      </c>
      <c r="B1148">
        <v>0</v>
      </c>
      <c r="C1148">
        <v>0</v>
      </c>
      <c r="D1148">
        <v>0</v>
      </c>
      <c r="E1148">
        <v>15.04840875</v>
      </c>
      <c r="F1148">
        <v>0.15356987999999999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s="3">
        <v>202403</v>
      </c>
      <c r="B1149">
        <v>0</v>
      </c>
      <c r="C1149">
        <v>0</v>
      </c>
      <c r="D1149">
        <v>0</v>
      </c>
      <c r="E1149">
        <v>10.053164900000001</v>
      </c>
      <c r="F1149">
        <v>0.35120903999999997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s="3">
        <v>202404</v>
      </c>
      <c r="B1150">
        <v>0</v>
      </c>
      <c r="C1150">
        <v>0</v>
      </c>
      <c r="D1150">
        <v>0</v>
      </c>
      <c r="E1150">
        <v>9.967197650000001</v>
      </c>
      <c r="F1150">
        <v>0.51004459000000002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s="3">
        <v>202405</v>
      </c>
      <c r="B1151">
        <v>0</v>
      </c>
      <c r="C1151">
        <v>0</v>
      </c>
      <c r="D1151">
        <v>0</v>
      </c>
      <c r="E1151">
        <v>12.595697640000001</v>
      </c>
      <c r="F1151">
        <v>1.71335302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s="3">
        <v>202406</v>
      </c>
      <c r="B1152">
        <v>0</v>
      </c>
      <c r="C1152">
        <v>0</v>
      </c>
      <c r="D1152">
        <v>0</v>
      </c>
      <c r="E1152">
        <v>17.605541980000002</v>
      </c>
      <c r="F1152">
        <v>0.38247998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s="3">
        <v>202407</v>
      </c>
      <c r="B1153">
        <v>0</v>
      </c>
      <c r="C1153">
        <v>0</v>
      </c>
      <c r="D1153">
        <v>0</v>
      </c>
      <c r="E1153">
        <v>15.201943029999999</v>
      </c>
      <c r="F1153">
        <v>0.48707111999999997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5">
      <c r="A1154" s="3">
        <v>202408</v>
      </c>
      <c r="B1154">
        <v>0</v>
      </c>
      <c r="C1154">
        <v>0</v>
      </c>
      <c r="D1154">
        <v>0</v>
      </c>
      <c r="E1154">
        <v>21.48511096</v>
      </c>
      <c r="F1154">
        <v>1.1318114800000001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s="3">
        <v>202409</v>
      </c>
      <c r="B1155">
        <v>0</v>
      </c>
      <c r="C1155">
        <v>0</v>
      </c>
      <c r="D1155">
        <v>0</v>
      </c>
      <c r="E1155">
        <v>15.52989316</v>
      </c>
      <c r="F1155">
        <v>0.86237368000000003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35">
      <c r="A1156" s="3">
        <v>202410</v>
      </c>
      <c r="B1156">
        <v>0</v>
      </c>
      <c r="C1156">
        <v>0</v>
      </c>
      <c r="D1156">
        <v>0</v>
      </c>
      <c r="E1156">
        <v>18.88210716</v>
      </c>
      <c r="F1156">
        <v>0.50183617999999997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s="3">
        <v>202411</v>
      </c>
      <c r="B1157">
        <v>0</v>
      </c>
      <c r="C1157">
        <v>0</v>
      </c>
      <c r="D1157">
        <v>0</v>
      </c>
      <c r="E1157">
        <v>28.203311850000002</v>
      </c>
      <c r="F1157">
        <v>0.44192414000000002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5">
      <c r="A1158" s="3">
        <v>202412</v>
      </c>
      <c r="B1158">
        <v>0</v>
      </c>
      <c r="C1158">
        <v>0</v>
      </c>
      <c r="D1158">
        <v>0</v>
      </c>
      <c r="E1158">
        <v>24.344075030000003</v>
      </c>
      <c r="F1158">
        <v>0.45686885999999999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5">
      <c r="A1159" s="3">
        <v>202501</v>
      </c>
      <c r="B1159">
        <v>0</v>
      </c>
      <c r="C1159">
        <v>18.466318749999999</v>
      </c>
      <c r="D1159">
        <v>0.98009413000000001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s="3">
        <v>202502</v>
      </c>
      <c r="B1160">
        <v>0</v>
      </c>
      <c r="C1160">
        <v>0</v>
      </c>
      <c r="D1160">
        <v>0</v>
      </c>
      <c r="E1160">
        <v>17.282294010000001</v>
      </c>
      <c r="F1160">
        <v>1.38768745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s="3">
        <v>202503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s="3">
        <v>202504</v>
      </c>
      <c r="B1162">
        <v>0</v>
      </c>
      <c r="C1162">
        <v>0</v>
      </c>
      <c r="D1162">
        <v>0</v>
      </c>
      <c r="E1162">
        <v>13.40934047</v>
      </c>
      <c r="F1162">
        <v>1.11969359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5">
      <c r="A1163" s="3">
        <v>202505</v>
      </c>
      <c r="B1163">
        <v>0</v>
      </c>
      <c r="C1163">
        <v>0</v>
      </c>
      <c r="D1163">
        <v>0</v>
      </c>
      <c r="E1163">
        <v>17.729813289999999</v>
      </c>
      <c r="F1163">
        <v>0.9330766800000001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5">
      <c r="A1164" s="3">
        <v>202506</v>
      </c>
      <c r="B1164">
        <v>0</v>
      </c>
      <c r="C1164">
        <v>0</v>
      </c>
      <c r="D1164">
        <v>0</v>
      </c>
      <c r="E1164">
        <v>7.2754393099999994</v>
      </c>
      <c r="F1164">
        <v>0.86777243999999998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5">
      <c r="A1165" s="3">
        <v>202507</v>
      </c>
      <c r="B1165">
        <v>0</v>
      </c>
      <c r="C1165">
        <v>0</v>
      </c>
      <c r="D1165">
        <v>0</v>
      </c>
      <c r="E1165">
        <v>15.550975189999999</v>
      </c>
      <c r="F1165">
        <v>1.84065937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s="2" t="s">
        <v>44</v>
      </c>
      <c r="B1166">
        <v>2.0886356799999999</v>
      </c>
      <c r="C1166">
        <v>32.589963699999998</v>
      </c>
      <c r="D1166">
        <v>1.6750956100000001</v>
      </c>
      <c r="E1166">
        <v>144.56745667999996</v>
      </c>
      <c r="F1166">
        <v>0</v>
      </c>
      <c r="G1166">
        <v>3.841808E-2</v>
      </c>
      <c r="H1166">
        <v>3.8418069999999999E-2</v>
      </c>
      <c r="I1166">
        <v>1E-8</v>
      </c>
      <c r="J1166">
        <v>0</v>
      </c>
      <c r="K1166">
        <v>0.45149640999999996</v>
      </c>
      <c r="L1166">
        <v>0</v>
      </c>
    </row>
    <row r="1167" spans="1:12" x14ac:dyDescent="0.35">
      <c r="A1167" s="3">
        <v>202201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5">
      <c r="A1168" s="3">
        <v>202202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5">
      <c r="A1169" s="3">
        <v>202203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s="3">
        <v>202204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35">
      <c r="A1171" s="3">
        <v>202205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5">
      <c r="A1172" s="3">
        <v>202206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5">
      <c r="A1173" s="3">
        <v>202207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5">
      <c r="A1174" s="3">
        <v>202208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5">
      <c r="A1175" s="3">
        <v>202209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5">
      <c r="A1176" s="3">
        <v>202210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s="3">
        <v>202211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s="3">
        <v>202212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5">
      <c r="A1179" s="3">
        <v>202301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35">
      <c r="A1180" s="3">
        <v>202302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5">
      <c r="A1181" s="3">
        <v>202303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5">
      <c r="A1182" s="3">
        <v>202304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35">
      <c r="A1183" s="3">
        <v>202305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s="3">
        <v>202306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5">
      <c r="A1185" s="3">
        <v>202307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s="3">
        <v>202308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35">
      <c r="A1187" s="3">
        <v>202309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s="3">
        <v>202310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 s="3">
        <v>202311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35">
      <c r="A1190" s="3">
        <v>202312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35">
      <c r="A1191" s="3">
        <v>202401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5">
      <c r="A1192" s="3">
        <v>202402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s="3">
        <v>202403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s="3">
        <v>202404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35">
      <c r="A1195" s="3">
        <v>202405</v>
      </c>
      <c r="B1195">
        <v>0</v>
      </c>
      <c r="C1195">
        <v>0</v>
      </c>
      <c r="D1195">
        <v>0</v>
      </c>
      <c r="E1195">
        <v>1.1624611899999999</v>
      </c>
      <c r="F1195">
        <v>0</v>
      </c>
      <c r="G1195">
        <v>1E-8</v>
      </c>
      <c r="H1195">
        <v>0</v>
      </c>
      <c r="I1195">
        <v>1E-8</v>
      </c>
      <c r="J1195">
        <v>0</v>
      </c>
      <c r="K1195">
        <v>4.8579E-4</v>
      </c>
      <c r="L1195">
        <v>0</v>
      </c>
    </row>
    <row r="1196" spans="1:12" x14ac:dyDescent="0.35">
      <c r="A1196" s="3">
        <v>202406</v>
      </c>
      <c r="B1196">
        <v>0</v>
      </c>
      <c r="C1196">
        <v>0</v>
      </c>
      <c r="D1196">
        <v>0</v>
      </c>
      <c r="E1196">
        <v>2.0259849999999999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5">
      <c r="A1197" s="3">
        <v>202407</v>
      </c>
      <c r="B1197">
        <v>0</v>
      </c>
      <c r="C1197">
        <v>0</v>
      </c>
      <c r="D1197">
        <v>0</v>
      </c>
      <c r="E1197">
        <v>8.5294285500000004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3.0248999999999999E-4</v>
      </c>
      <c r="L1197">
        <v>0</v>
      </c>
    </row>
    <row r="1198" spans="1:12" x14ac:dyDescent="0.35">
      <c r="A1198" s="3">
        <v>202408</v>
      </c>
      <c r="B1198">
        <v>0</v>
      </c>
      <c r="C1198">
        <v>0</v>
      </c>
      <c r="D1198">
        <v>0</v>
      </c>
      <c r="E1198">
        <v>8.3568154200000002</v>
      </c>
      <c r="F1198">
        <v>0</v>
      </c>
      <c r="G1198">
        <v>3.8418069999999999E-2</v>
      </c>
      <c r="H1198">
        <v>3.8418069999999999E-2</v>
      </c>
      <c r="I1198">
        <v>0</v>
      </c>
      <c r="J1198">
        <v>0</v>
      </c>
      <c r="K1198">
        <v>4.3813000000000001E-4</v>
      </c>
      <c r="L1198">
        <v>0</v>
      </c>
    </row>
    <row r="1199" spans="1:12" x14ac:dyDescent="0.35">
      <c r="A1199" s="3">
        <v>202409</v>
      </c>
      <c r="B1199">
        <v>0</v>
      </c>
      <c r="C1199">
        <v>0</v>
      </c>
      <c r="D1199">
        <v>0</v>
      </c>
      <c r="E1199">
        <v>9.80152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0.12810099999999999</v>
      </c>
      <c r="L1199">
        <v>0</v>
      </c>
    </row>
    <row r="1200" spans="1:12" x14ac:dyDescent="0.35">
      <c r="A1200" s="3">
        <v>202410</v>
      </c>
      <c r="B1200">
        <v>0</v>
      </c>
      <c r="C1200">
        <v>0</v>
      </c>
      <c r="D1200">
        <v>0</v>
      </c>
      <c r="E1200">
        <v>14.885147999999999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1.6233000000000001E-2</v>
      </c>
      <c r="L1200">
        <v>0</v>
      </c>
    </row>
    <row r="1201" spans="1:12" x14ac:dyDescent="0.35">
      <c r="A1201" s="3">
        <v>202411</v>
      </c>
      <c r="B1201">
        <v>0</v>
      </c>
      <c r="C1201">
        <v>0</v>
      </c>
      <c r="D1201">
        <v>0</v>
      </c>
      <c r="E1201">
        <v>14.14609772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35">
      <c r="A1202" s="3">
        <v>202412</v>
      </c>
      <c r="B1202">
        <v>0</v>
      </c>
      <c r="C1202">
        <v>0</v>
      </c>
      <c r="D1202">
        <v>0</v>
      </c>
      <c r="E1202">
        <v>16.086207340000001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35">
      <c r="A1203" s="3">
        <v>202501</v>
      </c>
      <c r="B1203">
        <v>0</v>
      </c>
      <c r="C1203">
        <v>15.14673923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35">
      <c r="A1204" s="3">
        <v>202502</v>
      </c>
      <c r="B1204">
        <v>2.0886356799999999</v>
      </c>
      <c r="C1204">
        <v>2.0886356799999999</v>
      </c>
      <c r="D1204">
        <v>0</v>
      </c>
      <c r="E1204">
        <v>13.82365467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5">
      <c r="A1205" s="3">
        <v>202503</v>
      </c>
      <c r="B1205">
        <v>0</v>
      </c>
      <c r="C1205">
        <v>15.354588789999999</v>
      </c>
      <c r="D1205">
        <v>1.6750956100000001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5">
      <c r="A1206" s="3">
        <v>202504</v>
      </c>
      <c r="B1206">
        <v>0</v>
      </c>
      <c r="C1206">
        <v>0</v>
      </c>
      <c r="D1206">
        <v>0</v>
      </c>
      <c r="E1206">
        <v>15.064519789999999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s="3">
        <v>202505</v>
      </c>
      <c r="B1207">
        <v>0</v>
      </c>
      <c r="C1207">
        <v>0</v>
      </c>
      <c r="D1207">
        <v>0</v>
      </c>
      <c r="E1207">
        <v>14.531916000000001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35">
      <c r="A1208" s="3">
        <v>202506</v>
      </c>
      <c r="B1208">
        <v>0</v>
      </c>
      <c r="C1208">
        <v>0</v>
      </c>
      <c r="D1208">
        <v>0</v>
      </c>
      <c r="E1208">
        <v>11.925132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35">
      <c r="A1209" s="3">
        <v>202507</v>
      </c>
      <c r="B1209">
        <v>0</v>
      </c>
      <c r="C1209">
        <v>0</v>
      </c>
      <c r="D1209">
        <v>0</v>
      </c>
      <c r="E1209">
        <v>14.228571000000001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0.30593599999999999</v>
      </c>
      <c r="L1209">
        <v>0</v>
      </c>
    </row>
    <row r="1210" spans="1:12" x14ac:dyDescent="0.35">
      <c r="A1210" s="2" t="s">
        <v>45</v>
      </c>
      <c r="B1210">
        <v>0</v>
      </c>
      <c r="C1210">
        <v>15.852627640000001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35">
      <c r="A1211" s="3">
        <v>202201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35">
      <c r="A1212" s="3">
        <v>202202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5">
      <c r="A1213" s="3">
        <v>202203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35">
      <c r="A1214" s="3">
        <v>202204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s="3">
        <v>202205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5">
      <c r="A1216" s="3">
        <v>202206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35">
      <c r="A1217" s="3">
        <v>202207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35">
      <c r="A1218" s="3">
        <v>202208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s="3">
        <v>202209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35">
      <c r="A1220" s="3">
        <v>202210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35">
      <c r="A1221" s="3">
        <v>202211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s="3">
        <v>202212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35">
      <c r="A1223" s="3">
        <v>202301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s="3">
        <v>202302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35">
      <c r="A1225" s="3">
        <v>202303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s="3">
        <v>202304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35">
      <c r="A1227" s="3">
        <v>202305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s="3">
        <v>202306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35">
      <c r="A1229" s="3">
        <v>202307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s="3">
        <v>202308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35">
      <c r="A1231" s="3">
        <v>202309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35">
      <c r="A1232" s="3">
        <v>202310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35">
      <c r="A1233" s="3">
        <v>202311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35">
      <c r="A1234" s="3">
        <v>202312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s="3">
        <v>202401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s="3">
        <v>202402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s="3">
        <v>202403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s="3">
        <v>202404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s="3">
        <v>202405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s="3">
        <v>202406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s="3">
        <v>202407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s="3">
        <v>202408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s="3">
        <v>202409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s="3">
        <v>202410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35">
      <c r="A1245" s="3">
        <v>202411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s="3">
        <v>202412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s="3">
        <v>202501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s="3">
        <v>202502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s="3">
        <v>202503</v>
      </c>
      <c r="B1249">
        <v>0</v>
      </c>
      <c r="C1249">
        <v>15.852627640000001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s="3">
        <v>202504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s="3">
        <v>202505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s="3">
        <v>202506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s="3">
        <v>202507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s="2" t="s">
        <v>46</v>
      </c>
      <c r="B1254">
        <v>0</v>
      </c>
      <c r="C1254">
        <v>33.914867000000001</v>
      </c>
      <c r="D1254">
        <v>0</v>
      </c>
      <c r="E1254">
        <v>1270.406641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s="3">
        <v>202201</v>
      </c>
      <c r="B1255">
        <v>0</v>
      </c>
      <c r="C1255">
        <v>0</v>
      </c>
      <c r="D1255">
        <v>0</v>
      </c>
      <c r="E1255">
        <v>20.040973000000001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s="3">
        <v>202202</v>
      </c>
      <c r="B1256">
        <v>0</v>
      </c>
      <c r="C1256">
        <v>0</v>
      </c>
      <c r="D1256">
        <v>0</v>
      </c>
      <c r="E1256">
        <v>11.151277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s="3">
        <v>202203</v>
      </c>
      <c r="B1257">
        <v>0</v>
      </c>
      <c r="C1257">
        <v>0</v>
      </c>
      <c r="D1257">
        <v>0</v>
      </c>
      <c r="E1257">
        <v>38.145716999999998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s="3">
        <v>202204</v>
      </c>
      <c r="B1258">
        <v>0</v>
      </c>
      <c r="C1258">
        <v>0</v>
      </c>
      <c r="D1258">
        <v>0</v>
      </c>
      <c r="E1258">
        <v>18.110028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s="3">
        <v>202205</v>
      </c>
      <c r="B1259">
        <v>0</v>
      </c>
      <c r="C1259">
        <v>0</v>
      </c>
      <c r="D1259">
        <v>0</v>
      </c>
      <c r="E1259">
        <v>29.347746999999998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35">
      <c r="A1260" s="3">
        <v>202206</v>
      </c>
      <c r="B1260">
        <v>0</v>
      </c>
      <c r="C1260">
        <v>0</v>
      </c>
      <c r="D1260">
        <v>0</v>
      </c>
      <c r="E1260">
        <v>14.285417000000001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s="3">
        <v>202207</v>
      </c>
      <c r="B1261">
        <v>0</v>
      </c>
      <c r="C1261">
        <v>0</v>
      </c>
      <c r="D1261">
        <v>0</v>
      </c>
      <c r="E1261">
        <v>14.285417000000001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s="3">
        <v>202208</v>
      </c>
      <c r="B1262">
        <v>0</v>
      </c>
      <c r="C1262">
        <v>0</v>
      </c>
      <c r="D1262">
        <v>0</v>
      </c>
      <c r="E1262">
        <v>36.644246000000003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s="3">
        <v>202209</v>
      </c>
      <c r="B1263">
        <v>0</v>
      </c>
      <c r="C1263">
        <v>0</v>
      </c>
      <c r="D1263">
        <v>0</v>
      </c>
      <c r="E1263">
        <v>21.489995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s="3">
        <v>202210</v>
      </c>
      <c r="B1264">
        <v>0</v>
      </c>
      <c r="C1264">
        <v>0</v>
      </c>
      <c r="D1264">
        <v>0</v>
      </c>
      <c r="E1264">
        <v>21.088075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5">
      <c r="A1265" s="3">
        <v>202211</v>
      </c>
      <c r="B1265">
        <v>0</v>
      </c>
      <c r="C1265">
        <v>0</v>
      </c>
      <c r="D1265">
        <v>0</v>
      </c>
      <c r="E1265">
        <v>22.786884000000001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35">
      <c r="A1266" s="3">
        <v>202212</v>
      </c>
      <c r="B1266">
        <v>0</v>
      </c>
      <c r="C1266">
        <v>0</v>
      </c>
      <c r="D1266">
        <v>0</v>
      </c>
      <c r="E1266">
        <v>25.116655000000002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s="3">
        <v>202301</v>
      </c>
      <c r="B1267">
        <v>0</v>
      </c>
      <c r="C1267">
        <v>0</v>
      </c>
      <c r="D1267">
        <v>0</v>
      </c>
      <c r="E1267">
        <v>31.161729000000001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s="3">
        <v>202302</v>
      </c>
      <c r="B1268">
        <v>0</v>
      </c>
      <c r="C1268">
        <v>0</v>
      </c>
      <c r="D1268">
        <v>0</v>
      </c>
      <c r="E1268">
        <v>13.94824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s="3">
        <v>202303</v>
      </c>
      <c r="B1269">
        <v>0</v>
      </c>
      <c r="C1269">
        <v>0</v>
      </c>
      <c r="D1269">
        <v>0</v>
      </c>
      <c r="E1269">
        <v>39.422324000000003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s="3">
        <v>202304</v>
      </c>
      <c r="B1270">
        <v>0</v>
      </c>
      <c r="C1270">
        <v>0</v>
      </c>
      <c r="D1270">
        <v>0</v>
      </c>
      <c r="E1270">
        <v>16.787412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s="3">
        <v>202305</v>
      </c>
      <c r="B1271">
        <v>0</v>
      </c>
      <c r="C1271">
        <v>0</v>
      </c>
      <c r="D1271">
        <v>0</v>
      </c>
      <c r="E1271">
        <v>67.929903999999993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s="3">
        <v>202306</v>
      </c>
      <c r="B1272">
        <v>0</v>
      </c>
      <c r="C1272">
        <v>0</v>
      </c>
      <c r="D1272">
        <v>0</v>
      </c>
      <c r="E1272">
        <v>15.543079000000001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s="3">
        <v>202307</v>
      </c>
      <c r="B1273">
        <v>0</v>
      </c>
      <c r="C1273">
        <v>0</v>
      </c>
      <c r="D1273">
        <v>0</v>
      </c>
      <c r="E1273">
        <v>32.978158999999998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35">
      <c r="A1274" s="3">
        <v>202308</v>
      </c>
      <c r="B1274">
        <v>0</v>
      </c>
      <c r="C1274">
        <v>0</v>
      </c>
      <c r="D1274">
        <v>0</v>
      </c>
      <c r="E1274">
        <v>47.240107000000002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s="3">
        <v>202309</v>
      </c>
      <c r="B1275">
        <v>0</v>
      </c>
      <c r="C1275">
        <v>0</v>
      </c>
      <c r="D1275">
        <v>0</v>
      </c>
      <c r="E1275">
        <v>32.209429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s="3">
        <v>202310</v>
      </c>
      <c r="B1276">
        <v>0</v>
      </c>
      <c r="C1276">
        <v>0</v>
      </c>
      <c r="D1276">
        <v>0</v>
      </c>
      <c r="E1276">
        <v>37.954408000000001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s="3">
        <v>202311</v>
      </c>
      <c r="B1277">
        <v>0</v>
      </c>
      <c r="C1277">
        <v>0</v>
      </c>
      <c r="D1277">
        <v>0</v>
      </c>
      <c r="E1277">
        <v>26.236032000000002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s="3">
        <v>202312</v>
      </c>
      <c r="B1278">
        <v>0</v>
      </c>
      <c r="C1278">
        <v>0</v>
      </c>
      <c r="D1278">
        <v>0</v>
      </c>
      <c r="E1278">
        <v>30.316782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s="3">
        <v>202401</v>
      </c>
      <c r="B1279">
        <v>0</v>
      </c>
      <c r="C1279">
        <v>0</v>
      </c>
      <c r="D1279">
        <v>0</v>
      </c>
      <c r="E1279">
        <v>29.058416999999999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5">
      <c r="A1280" s="3">
        <v>202402</v>
      </c>
      <c r="B1280">
        <v>0</v>
      </c>
      <c r="C1280">
        <v>0</v>
      </c>
      <c r="D1280">
        <v>0</v>
      </c>
      <c r="E1280">
        <v>29.476811000000001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s="3">
        <v>202403</v>
      </c>
      <c r="B1281">
        <v>0</v>
      </c>
      <c r="C1281">
        <v>0</v>
      </c>
      <c r="D1281">
        <v>0</v>
      </c>
      <c r="E1281">
        <v>45.609363999999999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s="3">
        <v>202404</v>
      </c>
      <c r="B1282">
        <v>0</v>
      </c>
      <c r="C1282">
        <v>0</v>
      </c>
      <c r="D1282">
        <v>0</v>
      </c>
      <c r="E1282">
        <v>37.672615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s="3">
        <v>202405</v>
      </c>
      <c r="B1283">
        <v>0</v>
      </c>
      <c r="C1283">
        <v>0</v>
      </c>
      <c r="D1283">
        <v>0</v>
      </c>
      <c r="E1283">
        <v>33.82526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s="3">
        <v>202406</v>
      </c>
      <c r="B1284">
        <v>0</v>
      </c>
      <c r="C1284">
        <v>0</v>
      </c>
      <c r="D1284">
        <v>0</v>
      </c>
      <c r="E1284">
        <v>37.816746000000002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s="3">
        <v>202407</v>
      </c>
      <c r="B1285">
        <v>0</v>
      </c>
      <c r="C1285">
        <v>0</v>
      </c>
      <c r="D1285">
        <v>0</v>
      </c>
      <c r="E1285">
        <v>34.403407999999999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35">
      <c r="A1286" s="3">
        <v>202408</v>
      </c>
      <c r="B1286">
        <v>0</v>
      </c>
      <c r="C1286">
        <v>0</v>
      </c>
      <c r="D1286">
        <v>0</v>
      </c>
      <c r="E1286">
        <v>41.320061000000003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35">
      <c r="A1287" s="3">
        <v>202409</v>
      </c>
      <c r="B1287">
        <v>0</v>
      </c>
      <c r="C1287">
        <v>0</v>
      </c>
      <c r="D1287">
        <v>0</v>
      </c>
      <c r="E1287">
        <v>33.029311999999997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35">
      <c r="A1288" s="3">
        <v>202410</v>
      </c>
      <c r="B1288">
        <v>0</v>
      </c>
      <c r="C1288">
        <v>0</v>
      </c>
      <c r="D1288">
        <v>0</v>
      </c>
      <c r="E1288">
        <v>42.264325999999997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35">
      <c r="A1289" s="3">
        <v>202411</v>
      </c>
      <c r="B1289">
        <v>0</v>
      </c>
      <c r="C1289">
        <v>0</v>
      </c>
      <c r="D1289">
        <v>0</v>
      </c>
      <c r="E1289">
        <v>35.668115999999998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35">
      <c r="A1290" s="3">
        <v>202412</v>
      </c>
      <c r="B1290">
        <v>0</v>
      </c>
      <c r="C1290">
        <v>0</v>
      </c>
      <c r="D1290">
        <v>0</v>
      </c>
      <c r="E1290">
        <v>35.550671000000001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35">
      <c r="A1291" s="3">
        <v>202501</v>
      </c>
      <c r="B1291">
        <v>0</v>
      </c>
      <c r="C1291">
        <v>33.914867000000001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35">
      <c r="A1292" s="3">
        <v>202502</v>
      </c>
      <c r="B1292">
        <v>0</v>
      </c>
      <c r="C1292">
        <v>0</v>
      </c>
      <c r="D1292">
        <v>0</v>
      </c>
      <c r="E1292">
        <v>17.171139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35">
      <c r="A1293" s="3">
        <v>202503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35">
      <c r="A1294" s="3">
        <v>202504</v>
      </c>
      <c r="B1294">
        <v>0</v>
      </c>
      <c r="C1294">
        <v>0</v>
      </c>
      <c r="D1294">
        <v>0</v>
      </c>
      <c r="E1294">
        <v>25.159312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35">
      <c r="A1295" s="3">
        <v>202505</v>
      </c>
      <c r="B1295">
        <v>0</v>
      </c>
      <c r="C1295">
        <v>0</v>
      </c>
      <c r="D1295">
        <v>0</v>
      </c>
      <c r="E1295">
        <v>60.570532999999998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35">
      <c r="A1296" s="3">
        <v>202506</v>
      </c>
      <c r="B1296">
        <v>0</v>
      </c>
      <c r="C1296">
        <v>0</v>
      </c>
      <c r="D1296">
        <v>0</v>
      </c>
      <c r="E1296">
        <v>23.139029000000001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35">
      <c r="A1297" s="3">
        <v>202507</v>
      </c>
      <c r="B1297">
        <v>0</v>
      </c>
      <c r="C1297">
        <v>0</v>
      </c>
      <c r="D1297">
        <v>0</v>
      </c>
      <c r="E1297">
        <v>44.451484999999998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35">
      <c r="A1298" s="2" t="s">
        <v>47</v>
      </c>
      <c r="B1298">
        <v>0</v>
      </c>
      <c r="C1298">
        <v>65.847650000000002</v>
      </c>
      <c r="D1298">
        <v>0</v>
      </c>
      <c r="E1298">
        <v>194.21327900000003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35">
      <c r="A1299" s="3">
        <v>202201</v>
      </c>
      <c r="B1299">
        <v>0</v>
      </c>
      <c r="C1299">
        <v>0</v>
      </c>
      <c r="D1299">
        <v>0</v>
      </c>
      <c r="E1299">
        <v>0.65130999999999994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35">
      <c r="A1300" s="3">
        <v>202202</v>
      </c>
      <c r="B1300">
        <v>0</v>
      </c>
      <c r="C1300">
        <v>0</v>
      </c>
      <c r="D1300">
        <v>0</v>
      </c>
      <c r="E1300">
        <v>1.1478299999999999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35">
      <c r="A1301" s="3">
        <v>202203</v>
      </c>
      <c r="B1301">
        <v>0</v>
      </c>
      <c r="C1301">
        <v>0</v>
      </c>
      <c r="D1301">
        <v>0</v>
      </c>
      <c r="E1301">
        <v>14.102029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35">
      <c r="A1302" s="3">
        <v>202204</v>
      </c>
      <c r="B1302">
        <v>0</v>
      </c>
      <c r="C1302">
        <v>0</v>
      </c>
      <c r="D1302">
        <v>0</v>
      </c>
      <c r="E1302">
        <v>0.29223700000000002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35">
      <c r="A1303" s="3">
        <v>202205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5">
      <c r="A1304" s="3">
        <v>202206</v>
      </c>
      <c r="B1304">
        <v>0</v>
      </c>
      <c r="C1304">
        <v>0</v>
      </c>
      <c r="D1304">
        <v>0</v>
      </c>
      <c r="E1304">
        <v>13.519170000000001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35">
      <c r="A1305" s="3">
        <v>202207</v>
      </c>
      <c r="B1305">
        <v>0</v>
      </c>
      <c r="C1305">
        <v>0</v>
      </c>
      <c r="D1305">
        <v>0</v>
      </c>
      <c r="E1305">
        <v>3.8757E-2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35">
      <c r="A1306" s="3">
        <v>202208</v>
      </c>
      <c r="B1306">
        <v>0</v>
      </c>
      <c r="C1306">
        <v>0</v>
      </c>
      <c r="D1306">
        <v>0</v>
      </c>
      <c r="E1306">
        <v>0.20158300000000001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35">
      <c r="A1307" s="3">
        <v>202209</v>
      </c>
      <c r="B1307">
        <v>0</v>
      </c>
      <c r="C1307">
        <v>0</v>
      </c>
      <c r="D1307">
        <v>0</v>
      </c>
      <c r="E1307">
        <v>0.16707900000000001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35">
      <c r="A1308" s="3">
        <v>202210</v>
      </c>
      <c r="B1308">
        <v>0</v>
      </c>
      <c r="C1308">
        <v>0</v>
      </c>
      <c r="D1308">
        <v>0</v>
      </c>
      <c r="E1308">
        <v>8.5006999999999999E-2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35">
      <c r="A1309" s="3">
        <v>202211</v>
      </c>
      <c r="B1309">
        <v>0</v>
      </c>
      <c r="C1309">
        <v>0</v>
      </c>
      <c r="D1309">
        <v>0</v>
      </c>
      <c r="E1309">
        <v>12.76047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5">
      <c r="A1310" s="3">
        <v>202212</v>
      </c>
      <c r="B1310">
        <v>0</v>
      </c>
      <c r="C1310">
        <v>0</v>
      </c>
      <c r="D1310">
        <v>0</v>
      </c>
      <c r="E1310">
        <v>6.3572000000000004E-2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35">
      <c r="A1311" s="3">
        <v>202301</v>
      </c>
      <c r="B1311">
        <v>0</v>
      </c>
      <c r="C1311">
        <v>0</v>
      </c>
      <c r="D1311">
        <v>0</v>
      </c>
      <c r="E1311">
        <v>0.13730300000000001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35">
      <c r="A1312" s="3">
        <v>202302</v>
      </c>
      <c r="B1312">
        <v>0</v>
      </c>
      <c r="C1312">
        <v>0</v>
      </c>
      <c r="D1312">
        <v>0</v>
      </c>
      <c r="E1312">
        <v>0.184528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35">
      <c r="A1313" s="3">
        <v>202303</v>
      </c>
      <c r="B1313">
        <v>0</v>
      </c>
      <c r="C1313">
        <v>0</v>
      </c>
      <c r="D1313">
        <v>0</v>
      </c>
      <c r="E1313">
        <v>31.794884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35">
      <c r="A1314" s="3">
        <v>202304</v>
      </c>
      <c r="B1314">
        <v>0</v>
      </c>
      <c r="C1314">
        <v>0</v>
      </c>
      <c r="D1314">
        <v>0</v>
      </c>
      <c r="E1314">
        <v>0.261322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35">
      <c r="A1315" s="3">
        <v>202305</v>
      </c>
      <c r="B1315">
        <v>0</v>
      </c>
      <c r="C1315">
        <v>0</v>
      </c>
      <c r="D1315">
        <v>0</v>
      </c>
      <c r="E1315">
        <v>4.7019999999999999E-2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35">
      <c r="A1316" s="3">
        <v>202306</v>
      </c>
      <c r="B1316">
        <v>0</v>
      </c>
      <c r="C1316">
        <v>0</v>
      </c>
      <c r="D1316">
        <v>0</v>
      </c>
      <c r="E1316">
        <v>38.956546000000003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35">
      <c r="A1317" s="3">
        <v>202307</v>
      </c>
      <c r="B1317">
        <v>0</v>
      </c>
      <c r="C1317">
        <v>0</v>
      </c>
      <c r="D1317">
        <v>0</v>
      </c>
      <c r="E1317">
        <v>5.3679999999999999E-2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35">
      <c r="A1318" s="3">
        <v>202308</v>
      </c>
      <c r="B1318">
        <v>0</v>
      </c>
      <c r="C1318">
        <v>0</v>
      </c>
      <c r="D1318">
        <v>0</v>
      </c>
      <c r="E1318">
        <v>4.5791909999999998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35">
      <c r="A1319" s="3">
        <v>202309</v>
      </c>
      <c r="B1319">
        <v>0</v>
      </c>
      <c r="C1319">
        <v>0</v>
      </c>
      <c r="D1319">
        <v>0</v>
      </c>
      <c r="E1319">
        <v>0.101327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35">
      <c r="A1320" s="3">
        <v>202310</v>
      </c>
      <c r="B1320">
        <v>0</v>
      </c>
      <c r="C1320">
        <v>0</v>
      </c>
      <c r="D1320">
        <v>0</v>
      </c>
      <c r="E1320">
        <v>3.9294000000000003E-2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35">
      <c r="A1321" s="3">
        <v>202311</v>
      </c>
      <c r="B1321">
        <v>0</v>
      </c>
      <c r="C1321">
        <v>0</v>
      </c>
      <c r="D1321">
        <v>0</v>
      </c>
      <c r="E1321">
        <v>13.367203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35">
      <c r="A1322" s="3">
        <v>202312</v>
      </c>
      <c r="B1322">
        <v>0</v>
      </c>
      <c r="C1322">
        <v>0</v>
      </c>
      <c r="D1322">
        <v>0</v>
      </c>
      <c r="E1322">
        <v>0.10736900000000001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35">
      <c r="A1323" s="3">
        <v>202401</v>
      </c>
      <c r="B1323">
        <v>0</v>
      </c>
      <c r="C1323">
        <v>0</v>
      </c>
      <c r="D1323">
        <v>0</v>
      </c>
      <c r="E1323">
        <v>4.9820999999999997E-2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35">
      <c r="A1324" s="3">
        <v>202402</v>
      </c>
      <c r="B1324">
        <v>0</v>
      </c>
      <c r="C1324">
        <v>0</v>
      </c>
      <c r="D1324">
        <v>0</v>
      </c>
      <c r="E1324">
        <v>3.1184E-2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35">
      <c r="A1325" s="3">
        <v>202403</v>
      </c>
      <c r="B1325">
        <v>0</v>
      </c>
      <c r="C1325">
        <v>0</v>
      </c>
      <c r="D1325">
        <v>0</v>
      </c>
      <c r="E1325">
        <v>13.037756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35">
      <c r="A1326" s="3">
        <v>202404</v>
      </c>
      <c r="B1326">
        <v>0</v>
      </c>
      <c r="C1326">
        <v>0</v>
      </c>
      <c r="D1326">
        <v>0</v>
      </c>
      <c r="E1326">
        <v>7.8978000000000007E-2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35">
      <c r="A1327" s="3">
        <v>202405</v>
      </c>
      <c r="B1327">
        <v>0</v>
      </c>
      <c r="C1327">
        <v>0</v>
      </c>
      <c r="D1327">
        <v>0</v>
      </c>
      <c r="E1327">
        <v>3.0776000000000001E-2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35">
      <c r="A1328" s="3">
        <v>202406</v>
      </c>
      <c r="B1328">
        <v>0</v>
      </c>
      <c r="C1328">
        <v>0</v>
      </c>
      <c r="D1328">
        <v>0</v>
      </c>
      <c r="E1328">
        <v>3.696E-2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35">
      <c r="A1329" s="3">
        <v>202407</v>
      </c>
      <c r="B1329">
        <v>0</v>
      </c>
      <c r="C1329">
        <v>0</v>
      </c>
      <c r="D1329">
        <v>0</v>
      </c>
      <c r="E1329">
        <v>16.761958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35">
      <c r="A1330" s="3">
        <v>202408</v>
      </c>
      <c r="B1330">
        <v>0</v>
      </c>
      <c r="C1330">
        <v>0</v>
      </c>
      <c r="D1330">
        <v>0</v>
      </c>
      <c r="E1330">
        <v>4.7981000000000003E-2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35">
      <c r="A1331" s="3">
        <v>202409</v>
      </c>
      <c r="B1331">
        <v>0</v>
      </c>
      <c r="C1331">
        <v>0</v>
      </c>
      <c r="D1331">
        <v>0</v>
      </c>
      <c r="E1331">
        <v>8.4539000000000003E-2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35">
      <c r="A1332" s="3">
        <v>202410</v>
      </c>
      <c r="B1332">
        <v>0</v>
      </c>
      <c r="C1332">
        <v>0</v>
      </c>
      <c r="D1332">
        <v>0</v>
      </c>
      <c r="E1332">
        <v>2.418E-3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35">
      <c r="A1333" s="3">
        <v>202411</v>
      </c>
      <c r="B1333">
        <v>0</v>
      </c>
      <c r="C1333">
        <v>0</v>
      </c>
      <c r="D1333">
        <v>0</v>
      </c>
      <c r="E1333">
        <v>12.978714999999999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35">
      <c r="A1334" s="3">
        <v>202412</v>
      </c>
      <c r="B1334">
        <v>0</v>
      </c>
      <c r="C1334">
        <v>0</v>
      </c>
      <c r="D1334">
        <v>0</v>
      </c>
      <c r="E1334">
        <v>4.8099999999999997E-2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35">
      <c r="A1335" s="3">
        <v>202501</v>
      </c>
      <c r="B1335">
        <v>0</v>
      </c>
      <c r="C1335">
        <v>0.18623400000000001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35">
      <c r="A1336" s="3">
        <v>202502</v>
      </c>
      <c r="B1336">
        <v>0</v>
      </c>
      <c r="C1336">
        <v>0</v>
      </c>
      <c r="D1336">
        <v>0</v>
      </c>
      <c r="E1336">
        <v>0.20211499999999999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35">
      <c r="A1337" s="3">
        <v>202503</v>
      </c>
      <c r="B1337">
        <v>0</v>
      </c>
      <c r="C1337">
        <v>65.661416000000003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35">
      <c r="A1338" s="3">
        <v>202504</v>
      </c>
      <c r="B1338">
        <v>0</v>
      </c>
      <c r="C1338">
        <v>0</v>
      </c>
      <c r="D1338">
        <v>0</v>
      </c>
      <c r="E1338">
        <v>0.41771799999999998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35">
      <c r="A1339" s="3">
        <v>202505</v>
      </c>
      <c r="B1339">
        <v>0</v>
      </c>
      <c r="C1339">
        <v>0</v>
      </c>
      <c r="D1339">
        <v>0</v>
      </c>
      <c r="E1339">
        <v>0.15228800000000001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35">
      <c r="A1340" s="3">
        <v>202506</v>
      </c>
      <c r="B1340">
        <v>0</v>
      </c>
      <c r="C1340">
        <v>0</v>
      </c>
      <c r="D1340">
        <v>0</v>
      </c>
      <c r="E1340">
        <v>0.101605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35">
      <c r="A1341" s="3">
        <v>202507</v>
      </c>
      <c r="B1341">
        <v>0</v>
      </c>
      <c r="C1341">
        <v>0</v>
      </c>
      <c r="D1341">
        <v>0</v>
      </c>
      <c r="E1341">
        <v>17.491655999999999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35">
      <c r="A1342" s="2" t="s">
        <v>48</v>
      </c>
      <c r="B1342">
        <v>229.73112049000002</v>
      </c>
      <c r="C1342">
        <v>170.85726498000002</v>
      </c>
      <c r="D1342">
        <v>67.040775509999989</v>
      </c>
      <c r="E1342">
        <v>217.45997379000011</v>
      </c>
      <c r="F1342">
        <v>97.817670819999961</v>
      </c>
      <c r="G1342">
        <v>102.03623204</v>
      </c>
      <c r="H1342">
        <v>35.074326030000002</v>
      </c>
      <c r="I1342">
        <v>74.777183819999991</v>
      </c>
      <c r="J1342">
        <v>5.0439489999999997E-2</v>
      </c>
      <c r="K1342">
        <v>313.68027451000012</v>
      </c>
      <c r="L1342">
        <v>20.435108579999998</v>
      </c>
    </row>
    <row r="1343" spans="1:12" x14ac:dyDescent="0.35">
      <c r="A1343" s="3">
        <v>202201</v>
      </c>
      <c r="B1343">
        <v>5.0887906799999998</v>
      </c>
      <c r="C1343">
        <v>2.1551624300000003</v>
      </c>
      <c r="D1343">
        <v>2.9336282499999999</v>
      </c>
      <c r="E1343">
        <v>11.3392423</v>
      </c>
      <c r="F1343">
        <v>0.82591760999999997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35">
      <c r="A1344" s="3">
        <v>202202</v>
      </c>
      <c r="B1344">
        <v>3.7982645099999996</v>
      </c>
      <c r="C1344">
        <v>2.2563295099999996</v>
      </c>
      <c r="D1344">
        <v>1.5419350000000001</v>
      </c>
      <c r="E1344">
        <v>2.4054776800000002</v>
      </c>
      <c r="F1344">
        <v>8.9883270000000001E-2</v>
      </c>
      <c r="G1344">
        <v>4.3801730000000004E-2</v>
      </c>
      <c r="H1344">
        <v>4.3801730000000004E-2</v>
      </c>
      <c r="I1344">
        <v>0</v>
      </c>
      <c r="J1344">
        <v>0</v>
      </c>
      <c r="K1344">
        <v>6.7106366699999995</v>
      </c>
      <c r="L1344">
        <v>8.3010410000000007E-2</v>
      </c>
    </row>
    <row r="1345" spans="1:12" x14ac:dyDescent="0.35">
      <c r="A1345" s="3">
        <v>202203</v>
      </c>
      <c r="B1345">
        <v>2.71096044</v>
      </c>
      <c r="C1345">
        <v>0.97054691000000004</v>
      </c>
      <c r="D1345">
        <v>1.7404135300000001</v>
      </c>
      <c r="E1345">
        <v>29.753874579999998</v>
      </c>
      <c r="F1345">
        <v>2.2844813500000001</v>
      </c>
      <c r="G1345">
        <v>0</v>
      </c>
      <c r="H1345">
        <v>0</v>
      </c>
      <c r="I1345">
        <v>0</v>
      </c>
      <c r="J1345">
        <v>0</v>
      </c>
      <c r="K1345">
        <v>10.34959282</v>
      </c>
      <c r="L1345">
        <v>1.028256E-2</v>
      </c>
    </row>
    <row r="1346" spans="1:12" x14ac:dyDescent="0.35">
      <c r="A1346" s="3">
        <v>202204</v>
      </c>
      <c r="B1346">
        <v>1.8697376299999999</v>
      </c>
      <c r="C1346">
        <v>1.39995771</v>
      </c>
      <c r="D1346">
        <v>0.46977991999999996</v>
      </c>
      <c r="E1346">
        <v>2.8894111600000003</v>
      </c>
      <c r="F1346">
        <v>4.5816620000000002E-2</v>
      </c>
      <c r="G1346">
        <v>1.3925E-4</v>
      </c>
      <c r="H1346">
        <v>1.3925E-4</v>
      </c>
      <c r="I1346">
        <v>0</v>
      </c>
      <c r="J1346">
        <v>0</v>
      </c>
      <c r="K1346">
        <v>8.1563687700000003</v>
      </c>
      <c r="L1346">
        <v>0.40954909</v>
      </c>
    </row>
    <row r="1347" spans="1:12" x14ac:dyDescent="0.35">
      <c r="A1347" s="3">
        <v>202205</v>
      </c>
      <c r="B1347">
        <v>1.93821577</v>
      </c>
      <c r="C1347">
        <v>1.4562515700000001</v>
      </c>
      <c r="D1347">
        <v>0.48196420000000001</v>
      </c>
      <c r="E1347">
        <v>2.3143215399999999</v>
      </c>
      <c r="F1347">
        <v>6.0264519999999995E-2</v>
      </c>
      <c r="G1347">
        <v>0</v>
      </c>
      <c r="H1347">
        <v>0</v>
      </c>
      <c r="I1347">
        <v>0</v>
      </c>
      <c r="J1347">
        <v>0</v>
      </c>
      <c r="K1347">
        <v>11.528924050000001</v>
      </c>
      <c r="L1347">
        <v>0.34890928999999998</v>
      </c>
    </row>
    <row r="1348" spans="1:12" x14ac:dyDescent="0.35">
      <c r="A1348" s="3">
        <v>202206</v>
      </c>
      <c r="B1348">
        <v>1.5319413899999998</v>
      </c>
      <c r="C1348">
        <v>0.95276595999999991</v>
      </c>
      <c r="D1348">
        <v>0.57917543000000005</v>
      </c>
      <c r="E1348">
        <v>8.715977070000001</v>
      </c>
      <c r="F1348">
        <v>7.2896309999999992E-2</v>
      </c>
      <c r="G1348">
        <v>4.7890059999999998E-2</v>
      </c>
      <c r="H1348">
        <v>4.7890059999999998E-2</v>
      </c>
      <c r="I1348">
        <v>0</v>
      </c>
      <c r="J1348">
        <v>0</v>
      </c>
      <c r="K1348">
        <v>11.138289759999999</v>
      </c>
      <c r="L1348">
        <v>0.55253308000000001</v>
      </c>
    </row>
    <row r="1349" spans="1:12" x14ac:dyDescent="0.35">
      <c r="A1349" s="3">
        <v>202207</v>
      </c>
      <c r="B1349">
        <v>2.3235094199999997</v>
      </c>
      <c r="C1349">
        <v>1.3653007800000001</v>
      </c>
      <c r="D1349">
        <v>0.95820864000000006</v>
      </c>
      <c r="E1349">
        <v>7.1433980099999994</v>
      </c>
      <c r="F1349">
        <v>2.0907639999999998E-2</v>
      </c>
      <c r="G1349">
        <v>0</v>
      </c>
      <c r="H1349">
        <v>0</v>
      </c>
      <c r="I1349">
        <v>0</v>
      </c>
      <c r="J1349">
        <v>0</v>
      </c>
      <c r="K1349">
        <v>14.34782541</v>
      </c>
      <c r="L1349">
        <v>0.13108270999999999</v>
      </c>
    </row>
    <row r="1350" spans="1:12" x14ac:dyDescent="0.35">
      <c r="A1350" s="3">
        <v>202208</v>
      </c>
      <c r="B1350">
        <v>16.04492389</v>
      </c>
      <c r="C1350">
        <v>2.5126224800000001</v>
      </c>
      <c r="D1350">
        <v>13.532301410000001</v>
      </c>
      <c r="E1350">
        <v>3.7028465600000002</v>
      </c>
      <c r="F1350">
        <v>7.322476E-2</v>
      </c>
      <c r="G1350">
        <v>6.191166E-2</v>
      </c>
      <c r="H1350">
        <v>6.191166E-2</v>
      </c>
      <c r="I1350">
        <v>0</v>
      </c>
      <c r="J1350">
        <v>0</v>
      </c>
      <c r="K1350">
        <v>11.054578970000001</v>
      </c>
      <c r="L1350">
        <v>8.3711090000000002E-2</v>
      </c>
    </row>
    <row r="1351" spans="1:12" x14ac:dyDescent="0.35">
      <c r="A1351" s="3">
        <v>202209</v>
      </c>
      <c r="B1351">
        <v>3.6574871</v>
      </c>
      <c r="C1351">
        <v>2.1699743300000001</v>
      </c>
      <c r="D1351">
        <v>1.4875127699999999</v>
      </c>
      <c r="E1351">
        <v>2.1735396699999998</v>
      </c>
      <c r="F1351">
        <v>13.444818099999999</v>
      </c>
      <c r="G1351">
        <v>10.943821760000001</v>
      </c>
      <c r="H1351">
        <v>10.943821760000001</v>
      </c>
      <c r="I1351">
        <v>0</v>
      </c>
      <c r="J1351">
        <v>0</v>
      </c>
      <c r="K1351">
        <v>30.833512949999999</v>
      </c>
      <c r="L1351">
        <v>8.3612600000000006E-3</v>
      </c>
    </row>
    <row r="1352" spans="1:12" x14ac:dyDescent="0.35">
      <c r="A1352" s="3">
        <v>202210</v>
      </c>
      <c r="B1352">
        <v>2.30990421</v>
      </c>
      <c r="C1352">
        <v>1.6346762500000001</v>
      </c>
      <c r="D1352">
        <v>0.67522795999999996</v>
      </c>
      <c r="E1352">
        <v>1.7025048999999999</v>
      </c>
      <c r="F1352">
        <v>0.45733809000000003</v>
      </c>
      <c r="G1352">
        <v>0</v>
      </c>
      <c r="H1352">
        <v>0</v>
      </c>
      <c r="I1352">
        <v>0</v>
      </c>
      <c r="J1352">
        <v>0</v>
      </c>
      <c r="K1352">
        <v>7.7705087199999996</v>
      </c>
      <c r="L1352">
        <v>0.51015190999999993</v>
      </c>
    </row>
    <row r="1353" spans="1:12" x14ac:dyDescent="0.35">
      <c r="A1353" s="3">
        <v>202211</v>
      </c>
      <c r="B1353">
        <v>1.98696955</v>
      </c>
      <c r="C1353">
        <v>1.55669613</v>
      </c>
      <c r="D1353">
        <v>0.43027341999999996</v>
      </c>
      <c r="E1353">
        <v>7.7494435099999999</v>
      </c>
      <c r="F1353">
        <v>0.14543913</v>
      </c>
      <c r="G1353">
        <v>0</v>
      </c>
      <c r="H1353">
        <v>0</v>
      </c>
      <c r="I1353">
        <v>0</v>
      </c>
      <c r="J1353">
        <v>0</v>
      </c>
      <c r="K1353">
        <v>5.6100944999999998</v>
      </c>
      <c r="L1353">
        <v>0.14484067</v>
      </c>
    </row>
    <row r="1354" spans="1:12" x14ac:dyDescent="0.35">
      <c r="A1354" s="3">
        <v>202212</v>
      </c>
      <c r="B1354">
        <v>3.6250760400000002</v>
      </c>
      <c r="C1354">
        <v>3.0490418900000003</v>
      </c>
      <c r="D1354">
        <v>0.57603415000000002</v>
      </c>
      <c r="E1354">
        <v>2.42369564</v>
      </c>
      <c r="F1354">
        <v>9.5228409999999999E-2</v>
      </c>
      <c r="G1354">
        <v>0</v>
      </c>
      <c r="H1354">
        <v>0</v>
      </c>
      <c r="I1354">
        <v>0</v>
      </c>
      <c r="J1354">
        <v>0</v>
      </c>
      <c r="K1354">
        <v>6.7313984000000007</v>
      </c>
      <c r="L1354">
        <v>0.92394964000000002</v>
      </c>
    </row>
    <row r="1355" spans="1:12" x14ac:dyDescent="0.35">
      <c r="A1355" s="3">
        <v>202301</v>
      </c>
      <c r="B1355">
        <v>7.97685712</v>
      </c>
      <c r="C1355">
        <v>7.2637524100000004</v>
      </c>
      <c r="D1355">
        <v>0.71310470999999997</v>
      </c>
      <c r="E1355">
        <v>1.7018011799999999</v>
      </c>
      <c r="F1355">
        <v>1.6456869999999998E-2</v>
      </c>
      <c r="G1355">
        <v>0</v>
      </c>
      <c r="H1355">
        <v>0</v>
      </c>
      <c r="I1355">
        <v>0</v>
      </c>
      <c r="J1355">
        <v>0</v>
      </c>
      <c r="K1355">
        <v>4.7558610899999998</v>
      </c>
      <c r="L1355">
        <v>9.3027289999999999E-2</v>
      </c>
    </row>
    <row r="1356" spans="1:12" x14ac:dyDescent="0.35">
      <c r="A1356" s="3">
        <v>202302</v>
      </c>
      <c r="B1356">
        <v>1.4462186499999998</v>
      </c>
      <c r="C1356">
        <v>0.53445565000000006</v>
      </c>
      <c r="D1356">
        <v>0.91176299999999999</v>
      </c>
      <c r="E1356">
        <v>2.94713235</v>
      </c>
      <c r="F1356">
        <v>0.13082033000000001</v>
      </c>
      <c r="G1356">
        <v>0</v>
      </c>
      <c r="H1356">
        <v>0</v>
      </c>
      <c r="I1356">
        <v>0</v>
      </c>
      <c r="J1356">
        <v>0</v>
      </c>
      <c r="K1356">
        <v>4.3303536399999993</v>
      </c>
      <c r="L1356">
        <v>0.43408806</v>
      </c>
    </row>
    <row r="1357" spans="1:12" x14ac:dyDescent="0.35">
      <c r="A1357" s="3">
        <v>202303</v>
      </c>
      <c r="B1357">
        <v>4.2081061900000005</v>
      </c>
      <c r="C1357">
        <v>2.4582774700000001</v>
      </c>
      <c r="D1357">
        <v>1.74982872</v>
      </c>
      <c r="E1357">
        <v>7.4922846500000002</v>
      </c>
      <c r="F1357">
        <v>4.8915760000000003E-2</v>
      </c>
      <c r="G1357">
        <v>0</v>
      </c>
      <c r="H1357">
        <v>0</v>
      </c>
      <c r="I1357">
        <v>0</v>
      </c>
      <c r="J1357">
        <v>0</v>
      </c>
      <c r="K1357">
        <v>6.3664025899999999</v>
      </c>
      <c r="L1357">
        <v>5.9595330000000002E-2</v>
      </c>
    </row>
    <row r="1358" spans="1:12" x14ac:dyDescent="0.35">
      <c r="A1358" s="3">
        <v>202304</v>
      </c>
      <c r="B1358">
        <v>28.380827370000002</v>
      </c>
      <c r="C1358">
        <v>27.82584477</v>
      </c>
      <c r="D1358">
        <v>0.55498259999999999</v>
      </c>
      <c r="E1358">
        <v>1.6520114099999998</v>
      </c>
      <c r="F1358">
        <v>4.7398408099999996</v>
      </c>
      <c r="G1358">
        <v>1.53770528</v>
      </c>
      <c r="H1358">
        <v>1.53770528</v>
      </c>
      <c r="I1358">
        <v>0</v>
      </c>
      <c r="J1358">
        <v>0</v>
      </c>
      <c r="K1358">
        <v>6.2177594699999998</v>
      </c>
      <c r="L1358">
        <v>0.66837129000000006</v>
      </c>
    </row>
    <row r="1359" spans="1:12" x14ac:dyDescent="0.35">
      <c r="A1359" s="3">
        <v>202305</v>
      </c>
      <c r="B1359">
        <v>3.6412784300000003</v>
      </c>
      <c r="C1359">
        <v>2.9147431899999998</v>
      </c>
      <c r="D1359">
        <v>0.72653524000000003</v>
      </c>
      <c r="E1359">
        <v>10.15610349</v>
      </c>
      <c r="F1359">
        <v>7.5778059999999994E-2</v>
      </c>
      <c r="G1359">
        <v>1.93385696</v>
      </c>
      <c r="H1359">
        <v>1.93385696</v>
      </c>
      <c r="I1359">
        <v>0</v>
      </c>
      <c r="J1359">
        <v>0</v>
      </c>
      <c r="K1359">
        <v>5.1303595199999998</v>
      </c>
      <c r="L1359">
        <v>0.86152607999999997</v>
      </c>
    </row>
    <row r="1360" spans="1:12" x14ac:dyDescent="0.35">
      <c r="A1360" s="3">
        <v>202306</v>
      </c>
      <c r="B1360">
        <v>5.9447530400000002</v>
      </c>
      <c r="C1360">
        <v>3.074373</v>
      </c>
      <c r="D1360">
        <v>2.8703800400000001</v>
      </c>
      <c r="E1360">
        <v>2.56498078</v>
      </c>
      <c r="F1360">
        <v>1.3151835199999999</v>
      </c>
      <c r="G1360">
        <v>0</v>
      </c>
      <c r="H1360">
        <v>0</v>
      </c>
      <c r="I1360">
        <v>0</v>
      </c>
      <c r="J1360">
        <v>0</v>
      </c>
      <c r="K1360">
        <v>4.8794981399999999</v>
      </c>
      <c r="L1360">
        <v>0.15074319</v>
      </c>
    </row>
    <row r="1361" spans="1:12" x14ac:dyDescent="0.35">
      <c r="A1361" s="3">
        <v>202307</v>
      </c>
      <c r="B1361">
        <v>21.71044479</v>
      </c>
      <c r="C1361">
        <v>21.049473600000002</v>
      </c>
      <c r="D1361">
        <v>0.66097118999999993</v>
      </c>
      <c r="E1361">
        <v>5.2457588700000004</v>
      </c>
      <c r="F1361">
        <v>2.3661749999999999E-2</v>
      </c>
      <c r="G1361">
        <v>0</v>
      </c>
      <c r="H1361">
        <v>0</v>
      </c>
      <c r="I1361">
        <v>0</v>
      </c>
      <c r="J1361">
        <v>0</v>
      </c>
      <c r="K1361">
        <v>5.6918456700000002</v>
      </c>
      <c r="L1361">
        <v>0.46363255999999997</v>
      </c>
    </row>
    <row r="1362" spans="1:12" x14ac:dyDescent="0.35">
      <c r="A1362" s="3">
        <v>202308</v>
      </c>
      <c r="B1362">
        <v>2.7168642900000002</v>
      </c>
      <c r="C1362">
        <v>1.6021127900000001</v>
      </c>
      <c r="D1362">
        <v>1.1147514999999999</v>
      </c>
      <c r="E1362">
        <v>4.2339587600000002</v>
      </c>
      <c r="F1362">
        <v>0.16516029999999998</v>
      </c>
      <c r="G1362">
        <v>0</v>
      </c>
      <c r="H1362">
        <v>0</v>
      </c>
      <c r="I1362">
        <v>0</v>
      </c>
      <c r="J1362">
        <v>0</v>
      </c>
      <c r="K1362">
        <v>44.049265210000002</v>
      </c>
      <c r="L1362">
        <v>5.6756953299999999</v>
      </c>
    </row>
    <row r="1363" spans="1:12" x14ac:dyDescent="0.35">
      <c r="A1363" s="3">
        <v>202309</v>
      </c>
      <c r="B1363">
        <v>5.3607499000000001</v>
      </c>
      <c r="C1363">
        <v>4.1449599700000004</v>
      </c>
      <c r="D1363">
        <v>1.2157899299999999</v>
      </c>
      <c r="E1363">
        <v>2.93359236</v>
      </c>
      <c r="F1363">
        <v>1.766417E-2</v>
      </c>
      <c r="G1363">
        <v>0</v>
      </c>
      <c r="H1363">
        <v>0</v>
      </c>
      <c r="I1363">
        <v>0</v>
      </c>
      <c r="J1363">
        <v>0</v>
      </c>
      <c r="K1363">
        <v>7.3441382099999997</v>
      </c>
      <c r="L1363">
        <v>0.68613392000000006</v>
      </c>
    </row>
    <row r="1364" spans="1:12" x14ac:dyDescent="0.35">
      <c r="A1364" s="3">
        <v>202310</v>
      </c>
      <c r="B1364">
        <v>2.8540614399999997</v>
      </c>
      <c r="C1364">
        <v>1.4661696200000001</v>
      </c>
      <c r="D1364">
        <v>1.3878918200000001</v>
      </c>
      <c r="E1364">
        <v>2.5094426599999999</v>
      </c>
      <c r="F1364">
        <v>4.6340690000000004E-2</v>
      </c>
      <c r="G1364">
        <v>0</v>
      </c>
      <c r="H1364">
        <v>0</v>
      </c>
      <c r="I1364">
        <v>0</v>
      </c>
      <c r="J1364">
        <v>0</v>
      </c>
      <c r="K1364">
        <v>4.6044374499999998</v>
      </c>
      <c r="L1364">
        <v>0.17032737000000001</v>
      </c>
    </row>
    <row r="1365" spans="1:12" x14ac:dyDescent="0.35">
      <c r="A1365" s="3">
        <v>202311</v>
      </c>
      <c r="B1365">
        <v>5.3280272200000001</v>
      </c>
      <c r="C1365">
        <v>2.0530056499999998</v>
      </c>
      <c r="D1365">
        <v>3.2750215699999998</v>
      </c>
      <c r="E1365">
        <v>2.1062853599999998</v>
      </c>
      <c r="F1365">
        <v>24.874052940000002</v>
      </c>
      <c r="G1365">
        <v>0</v>
      </c>
      <c r="H1365">
        <v>0</v>
      </c>
      <c r="I1365">
        <v>0</v>
      </c>
      <c r="J1365">
        <v>0</v>
      </c>
      <c r="K1365">
        <v>5.3831059699999999</v>
      </c>
      <c r="L1365">
        <v>9.9554799999999999E-2</v>
      </c>
    </row>
    <row r="1366" spans="1:12" x14ac:dyDescent="0.35">
      <c r="A1366" s="3">
        <v>202312</v>
      </c>
      <c r="B1366">
        <v>4.87965933</v>
      </c>
      <c r="C1366">
        <v>2.8884722099999998</v>
      </c>
      <c r="D1366">
        <v>1.9911871200000002</v>
      </c>
      <c r="E1366">
        <v>3.0454742700000001</v>
      </c>
      <c r="F1366">
        <v>0.18545341000000001</v>
      </c>
      <c r="G1366">
        <v>0</v>
      </c>
      <c r="H1366">
        <v>0</v>
      </c>
      <c r="I1366">
        <v>0</v>
      </c>
      <c r="J1366">
        <v>0</v>
      </c>
      <c r="K1366">
        <v>4.2799347699999997</v>
      </c>
      <c r="L1366">
        <v>0.49744870000000002</v>
      </c>
    </row>
    <row r="1367" spans="1:12" x14ac:dyDescent="0.35">
      <c r="A1367" s="3">
        <v>202401</v>
      </c>
      <c r="B1367">
        <v>0.85317098000000002</v>
      </c>
      <c r="C1367">
        <v>0.85317098000000002</v>
      </c>
      <c r="D1367">
        <v>0</v>
      </c>
      <c r="E1367">
        <v>3.3050812400000003</v>
      </c>
      <c r="F1367">
        <v>4.8451679999999997E-2</v>
      </c>
      <c r="G1367">
        <v>0</v>
      </c>
      <c r="H1367">
        <v>0</v>
      </c>
      <c r="I1367">
        <v>0</v>
      </c>
      <c r="J1367">
        <v>0</v>
      </c>
      <c r="K1367">
        <v>4.0647905299999998</v>
      </c>
      <c r="L1367">
        <v>2.2699999999999999E-6</v>
      </c>
    </row>
    <row r="1368" spans="1:12" x14ac:dyDescent="0.35">
      <c r="A1368" s="3">
        <v>202402</v>
      </c>
      <c r="B1368">
        <v>2.5612544900000001</v>
      </c>
      <c r="C1368">
        <v>0.38600514000000002</v>
      </c>
      <c r="D1368">
        <v>2.1752493500000001</v>
      </c>
      <c r="E1368">
        <v>2.9516705000000001</v>
      </c>
      <c r="F1368">
        <v>0.11574717</v>
      </c>
      <c r="G1368">
        <v>0</v>
      </c>
      <c r="H1368">
        <v>0</v>
      </c>
      <c r="I1368">
        <v>0</v>
      </c>
      <c r="J1368">
        <v>0</v>
      </c>
      <c r="K1368">
        <v>3.9301513699999999</v>
      </c>
      <c r="L1368">
        <v>0.16998778</v>
      </c>
    </row>
    <row r="1369" spans="1:12" x14ac:dyDescent="0.35">
      <c r="A1369" s="3">
        <v>202403</v>
      </c>
      <c r="B1369">
        <v>5.0403549500000002</v>
      </c>
      <c r="C1369">
        <v>4.0362567299999998</v>
      </c>
      <c r="D1369">
        <v>1.0040982199999999</v>
      </c>
      <c r="E1369">
        <v>1.6077636000000002</v>
      </c>
      <c r="F1369">
        <v>1.9435560000000001E-2</v>
      </c>
      <c r="G1369">
        <v>0</v>
      </c>
      <c r="H1369">
        <v>0</v>
      </c>
      <c r="I1369">
        <v>0</v>
      </c>
      <c r="J1369">
        <v>0</v>
      </c>
      <c r="K1369">
        <v>5.28128391</v>
      </c>
      <c r="L1369">
        <v>1.6225959999999998E-2</v>
      </c>
    </row>
    <row r="1370" spans="1:12" x14ac:dyDescent="0.35">
      <c r="A1370" s="3">
        <v>202404</v>
      </c>
      <c r="B1370">
        <v>12.22194582</v>
      </c>
      <c r="C1370">
        <v>11.04016434</v>
      </c>
      <c r="D1370">
        <v>1.1817814799999999</v>
      </c>
      <c r="E1370">
        <v>5.9384952800000006</v>
      </c>
      <c r="F1370">
        <v>9.8104070000000002E-2</v>
      </c>
      <c r="G1370">
        <v>0</v>
      </c>
      <c r="H1370">
        <v>0</v>
      </c>
      <c r="I1370">
        <v>0</v>
      </c>
      <c r="J1370">
        <v>0</v>
      </c>
      <c r="K1370">
        <v>5.2431454899999999</v>
      </c>
      <c r="L1370">
        <v>0.42425225</v>
      </c>
    </row>
    <row r="1371" spans="1:12" x14ac:dyDescent="0.35">
      <c r="A1371" s="3">
        <v>202405</v>
      </c>
      <c r="B1371">
        <v>10.27424162</v>
      </c>
      <c r="C1371">
        <v>8.8433442600000003</v>
      </c>
      <c r="D1371">
        <v>1.4308973600000001</v>
      </c>
      <c r="E1371">
        <v>10.982058449999998</v>
      </c>
      <c r="F1371">
        <v>37.448723109999996</v>
      </c>
      <c r="G1371">
        <v>2.3430549999999998E-2</v>
      </c>
      <c r="H1371">
        <v>2.3430549999999998E-2</v>
      </c>
      <c r="I1371">
        <v>0</v>
      </c>
      <c r="J1371">
        <v>0</v>
      </c>
      <c r="K1371">
        <v>4.3022002300000004</v>
      </c>
      <c r="L1371">
        <v>0.12421239000000001</v>
      </c>
    </row>
    <row r="1372" spans="1:12" x14ac:dyDescent="0.35">
      <c r="A1372" s="3">
        <v>202406</v>
      </c>
      <c r="B1372">
        <v>5.3126769600000001</v>
      </c>
      <c r="C1372">
        <v>3.1726357200000002</v>
      </c>
      <c r="D1372">
        <v>2.1400412400000004</v>
      </c>
      <c r="E1372">
        <v>2.2364497599999997</v>
      </c>
      <c r="F1372">
        <v>0.10346094</v>
      </c>
      <c r="G1372">
        <v>0</v>
      </c>
      <c r="H1372">
        <v>0</v>
      </c>
      <c r="I1372">
        <v>0</v>
      </c>
      <c r="J1372">
        <v>0</v>
      </c>
      <c r="K1372">
        <v>4.9366840199999995</v>
      </c>
      <c r="L1372">
        <v>0.42273603999999998</v>
      </c>
    </row>
    <row r="1373" spans="1:12" x14ac:dyDescent="0.35">
      <c r="A1373" s="3">
        <v>202407</v>
      </c>
      <c r="B1373">
        <v>2.2485499799999999</v>
      </c>
      <c r="C1373">
        <v>2.2154230099999999</v>
      </c>
      <c r="D1373">
        <v>3.3126969999999999E-2</v>
      </c>
      <c r="E1373">
        <v>2.7375566400000002</v>
      </c>
      <c r="F1373">
        <v>5.4948459999999998E-2</v>
      </c>
      <c r="G1373">
        <v>0</v>
      </c>
      <c r="H1373">
        <v>0</v>
      </c>
      <c r="I1373">
        <v>0</v>
      </c>
      <c r="J1373">
        <v>0</v>
      </c>
      <c r="K1373">
        <v>5.0609482400000001</v>
      </c>
      <c r="L1373">
        <v>0.23495867000000001</v>
      </c>
    </row>
    <row r="1374" spans="1:12" x14ac:dyDescent="0.35">
      <c r="A1374" s="3">
        <v>202408</v>
      </c>
      <c r="B1374">
        <v>1.1085918400000001</v>
      </c>
      <c r="C1374">
        <v>0.97535831000000006</v>
      </c>
      <c r="D1374">
        <v>0.13323352999999999</v>
      </c>
      <c r="E1374">
        <v>2.3705819300000002</v>
      </c>
      <c r="F1374">
        <v>0.13450566</v>
      </c>
      <c r="G1374">
        <v>0</v>
      </c>
      <c r="H1374">
        <v>0</v>
      </c>
      <c r="I1374">
        <v>0</v>
      </c>
      <c r="J1374">
        <v>0</v>
      </c>
      <c r="K1374">
        <v>2.6562796400000002</v>
      </c>
      <c r="L1374">
        <v>0.13675693</v>
      </c>
    </row>
    <row r="1375" spans="1:12" x14ac:dyDescent="0.35">
      <c r="A1375" s="3">
        <v>202409</v>
      </c>
      <c r="B1375">
        <v>3.8025876699999999</v>
      </c>
      <c r="C1375">
        <v>2.8547153299999999</v>
      </c>
      <c r="D1375">
        <v>0.94787233999999998</v>
      </c>
      <c r="E1375">
        <v>4.5159093200000004</v>
      </c>
      <c r="F1375">
        <v>8.4584211499999995</v>
      </c>
      <c r="G1375">
        <v>0</v>
      </c>
      <c r="H1375">
        <v>0</v>
      </c>
      <c r="I1375">
        <v>0</v>
      </c>
      <c r="J1375">
        <v>0</v>
      </c>
      <c r="K1375">
        <v>4.0665687100000003</v>
      </c>
      <c r="L1375">
        <v>4.4558529999999999E-2</v>
      </c>
    </row>
    <row r="1376" spans="1:12" x14ac:dyDescent="0.35">
      <c r="A1376" s="3">
        <v>202410</v>
      </c>
      <c r="B1376">
        <v>2.8408324999999999</v>
      </c>
      <c r="C1376">
        <v>1.38290644</v>
      </c>
      <c r="D1376">
        <v>1.4579260600000001</v>
      </c>
      <c r="E1376">
        <v>2.9881167400000002</v>
      </c>
      <c r="F1376">
        <v>5.5875980000000006E-2</v>
      </c>
      <c r="G1376">
        <v>0</v>
      </c>
      <c r="H1376">
        <v>0</v>
      </c>
      <c r="I1376">
        <v>0</v>
      </c>
      <c r="J1376">
        <v>0</v>
      </c>
      <c r="K1376">
        <v>5.1838603499999998</v>
      </c>
      <c r="L1376">
        <v>9.973789999999999E-2</v>
      </c>
    </row>
    <row r="1377" spans="1:12" x14ac:dyDescent="0.35">
      <c r="A1377" s="3">
        <v>202411</v>
      </c>
      <c r="B1377">
        <v>5.5465059500000002</v>
      </c>
      <c r="C1377">
        <v>2.1250035899999999</v>
      </c>
      <c r="D1377">
        <v>3.4215023599999999</v>
      </c>
      <c r="E1377">
        <v>16.369161810000001</v>
      </c>
      <c r="F1377">
        <v>5.6382929999999998E-2</v>
      </c>
      <c r="G1377">
        <v>0</v>
      </c>
      <c r="H1377">
        <v>0</v>
      </c>
      <c r="I1377">
        <v>0</v>
      </c>
      <c r="J1377">
        <v>0</v>
      </c>
      <c r="K1377">
        <v>5.63394993</v>
      </c>
      <c r="L1377">
        <v>9.7830059999999996E-2</v>
      </c>
    </row>
    <row r="1378" spans="1:12" x14ac:dyDescent="0.35">
      <c r="A1378" s="3">
        <v>202412</v>
      </c>
      <c r="B1378">
        <v>8.6986744399999996</v>
      </c>
      <c r="C1378">
        <v>8.3166119999999992</v>
      </c>
      <c r="D1378">
        <v>0.38206244</v>
      </c>
      <c r="E1378">
        <v>2.9657596800000001</v>
      </c>
      <c r="F1378">
        <v>6.9751850000000004E-2</v>
      </c>
      <c r="G1378">
        <v>45.601918399999995</v>
      </c>
      <c r="H1378">
        <v>0</v>
      </c>
      <c r="I1378">
        <v>45.601918399999995</v>
      </c>
      <c r="J1378">
        <v>0</v>
      </c>
      <c r="K1378">
        <v>6.3277099400000001</v>
      </c>
      <c r="L1378">
        <v>0.17302385000000001</v>
      </c>
    </row>
    <row r="1379" spans="1:12" x14ac:dyDescent="0.35">
      <c r="A1379" s="3">
        <v>202501</v>
      </c>
      <c r="B1379">
        <v>2.0553311000000001</v>
      </c>
      <c r="C1379">
        <v>2.66240977</v>
      </c>
      <c r="D1379">
        <v>3.5027330000000002E-2</v>
      </c>
      <c r="E1379">
        <v>1.6828772700000001</v>
      </c>
      <c r="F1379">
        <v>0.37245383000000004</v>
      </c>
      <c r="G1379">
        <v>0</v>
      </c>
      <c r="H1379">
        <v>0</v>
      </c>
      <c r="I1379">
        <v>7.8152778099999995</v>
      </c>
      <c r="J1379">
        <v>5.0439489999999997E-2</v>
      </c>
      <c r="K1379">
        <v>0</v>
      </c>
      <c r="L1379">
        <v>0</v>
      </c>
    </row>
    <row r="1380" spans="1:12" x14ac:dyDescent="0.35">
      <c r="A1380" s="3">
        <v>202502</v>
      </c>
      <c r="B1380">
        <v>1.49165236</v>
      </c>
      <c r="C1380">
        <v>1.4210049299999998</v>
      </c>
      <c r="D1380">
        <v>7.0647429999999997E-2</v>
      </c>
      <c r="E1380">
        <v>5.2240043600000003</v>
      </c>
      <c r="F1380">
        <v>0.10125052000000001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4.8447714400000006</v>
      </c>
    </row>
    <row r="1381" spans="1:12" x14ac:dyDescent="0.35">
      <c r="A1381" s="3">
        <v>202503</v>
      </c>
      <c r="B1381">
        <v>0</v>
      </c>
      <c r="C1381">
        <v>8.4402030000000003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35">
      <c r="A1382" s="3">
        <v>202504</v>
      </c>
      <c r="B1382">
        <v>3.3464030400000002</v>
      </c>
      <c r="C1382">
        <v>1.5683621399999998</v>
      </c>
      <c r="D1382">
        <v>1.7780408999999999</v>
      </c>
      <c r="E1382">
        <v>3.3456345299999999</v>
      </c>
      <c r="F1382">
        <v>9.9314619999999992E-2</v>
      </c>
      <c r="G1382">
        <v>0</v>
      </c>
      <c r="H1382">
        <v>0</v>
      </c>
      <c r="I1382">
        <v>0</v>
      </c>
      <c r="J1382">
        <v>0</v>
      </c>
      <c r="K1382">
        <v>5.9276264599999999</v>
      </c>
      <c r="L1382">
        <v>0.30932838000000001</v>
      </c>
    </row>
    <row r="1383" spans="1:12" x14ac:dyDescent="0.35">
      <c r="A1383" s="3">
        <v>202505</v>
      </c>
      <c r="B1383">
        <v>10.205491390000001</v>
      </c>
      <c r="C1383">
        <v>5.22439754</v>
      </c>
      <c r="D1383">
        <v>4.9810938499999997</v>
      </c>
      <c r="E1383">
        <v>7.6493842499999998</v>
      </c>
      <c r="F1383">
        <v>6.53112E-2</v>
      </c>
      <c r="G1383">
        <v>0</v>
      </c>
      <c r="H1383">
        <v>0</v>
      </c>
      <c r="I1383">
        <v>0</v>
      </c>
      <c r="J1383">
        <v>0</v>
      </c>
      <c r="K1383">
        <v>8.3348665799999999</v>
      </c>
      <c r="L1383">
        <v>0.27018708000000002</v>
      </c>
    </row>
    <row r="1384" spans="1:12" x14ac:dyDescent="0.35">
      <c r="A1384" s="3">
        <v>202506</v>
      </c>
      <c r="B1384">
        <v>2.6797932100000001</v>
      </c>
      <c r="C1384">
        <v>2.5250180699999998</v>
      </c>
      <c r="D1384">
        <v>0.15477514000000001</v>
      </c>
      <c r="E1384">
        <v>7.2586547000000001</v>
      </c>
      <c r="F1384">
        <v>0.31871846999999998</v>
      </c>
      <c r="G1384">
        <v>41.84175639</v>
      </c>
      <c r="H1384">
        <v>20.481768779999999</v>
      </c>
      <c r="I1384">
        <v>21.359987610000001</v>
      </c>
      <c r="J1384">
        <v>0</v>
      </c>
      <c r="K1384">
        <v>10.58818602</v>
      </c>
      <c r="L1384">
        <v>1.2960000000000001E-5</v>
      </c>
    </row>
    <row r="1385" spans="1:12" x14ac:dyDescent="0.35">
      <c r="A1385" s="3">
        <v>202507</v>
      </c>
      <c r="B1385">
        <v>8.1094337900000006</v>
      </c>
      <c r="C1385">
        <v>4.0593073999999998</v>
      </c>
      <c r="D1385">
        <v>3.1347373900000002</v>
      </c>
      <c r="E1385">
        <v>4.4282549699999993</v>
      </c>
      <c r="F1385">
        <v>0.94126919999999992</v>
      </c>
      <c r="G1385">
        <v>0</v>
      </c>
      <c r="H1385">
        <v>0</v>
      </c>
      <c r="I1385">
        <v>0</v>
      </c>
      <c r="J1385">
        <v>0</v>
      </c>
      <c r="K1385">
        <v>4.8773303399999994</v>
      </c>
      <c r="L1385">
        <v>4.6000000000000004E-7</v>
      </c>
    </row>
    <row r="1386" spans="1:12" x14ac:dyDescent="0.35">
      <c r="A1386" s="2" t="s">
        <v>49</v>
      </c>
      <c r="B1386">
        <v>493.90553412000003</v>
      </c>
      <c r="C1386">
        <v>496.32123571</v>
      </c>
      <c r="D1386">
        <v>1.8220291100000001</v>
      </c>
      <c r="E1386">
        <v>1.5826998999999999</v>
      </c>
      <c r="F1386">
        <v>0.37439621999999995</v>
      </c>
      <c r="G1386">
        <v>0</v>
      </c>
      <c r="H1386">
        <v>0</v>
      </c>
      <c r="I1386">
        <v>0</v>
      </c>
      <c r="J1386">
        <v>4.0179869200000002</v>
      </c>
      <c r="K1386">
        <v>0</v>
      </c>
      <c r="L1386">
        <v>0</v>
      </c>
    </row>
    <row r="1387" spans="1:12" x14ac:dyDescent="0.35">
      <c r="A1387" s="3">
        <v>202201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35">
      <c r="A1388" s="3">
        <v>202202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35">
      <c r="A1389" s="3">
        <v>202203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35">
      <c r="A1390" s="3">
        <v>202204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35">
      <c r="A1391" s="3">
        <v>202205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35">
      <c r="A1392" s="3">
        <v>202206</v>
      </c>
      <c r="B1392">
        <v>30.884322999999998</v>
      </c>
      <c r="C1392">
        <v>30.884322999999998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35">
      <c r="A1393" s="3">
        <v>202207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35">
      <c r="A1394" s="3">
        <v>202208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35">
      <c r="A1395" s="3">
        <v>202209</v>
      </c>
      <c r="B1395">
        <v>36.071407000000001</v>
      </c>
      <c r="C1395">
        <v>36.071407000000001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35">
      <c r="A1396" s="3">
        <v>202210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35">
      <c r="A1397" s="3">
        <v>202211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35">
      <c r="A1398" s="3">
        <v>202212</v>
      </c>
      <c r="B1398">
        <v>83.547240000000002</v>
      </c>
      <c r="C1398">
        <v>83.547240000000002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35">
      <c r="A1399" s="3">
        <v>202301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35">
      <c r="A1400" s="3">
        <v>202302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35">
      <c r="A1401" s="3">
        <v>202303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35">
      <c r="A1402" s="3">
        <v>202304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35">
      <c r="A1403" s="3">
        <v>202305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35">
      <c r="A1404" s="3">
        <v>202306</v>
      </c>
      <c r="B1404">
        <v>81.849923000000004</v>
      </c>
      <c r="C1404">
        <v>81.849923000000004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35">
      <c r="A1405" s="3">
        <v>202307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35">
      <c r="A1406" s="3">
        <v>202308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35">
      <c r="A1407" s="3">
        <v>202309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35">
      <c r="A1408" s="3">
        <v>202310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35">
      <c r="A1409" s="3">
        <v>202311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35">
      <c r="A1410" s="3">
        <v>202312</v>
      </c>
      <c r="B1410">
        <v>143.40386799999999</v>
      </c>
      <c r="C1410">
        <v>143.40386799999999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35">
      <c r="A1411" s="3">
        <v>202401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35">
      <c r="A1412" s="3">
        <v>202402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35">
      <c r="A1413" s="3">
        <v>202403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35">
      <c r="A1414" s="3">
        <v>202404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35">
      <c r="A1415" s="3">
        <v>202405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35">
      <c r="A1416" s="3">
        <v>202406</v>
      </c>
      <c r="B1416">
        <v>116.191677</v>
      </c>
      <c r="C1416">
        <v>116.191677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35">
      <c r="A1417" s="3">
        <v>202407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35">
      <c r="A1418" s="3">
        <v>202408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35">
      <c r="A1419" s="3">
        <v>202409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35">
      <c r="A1420" s="3">
        <v>202410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35">
      <c r="A1421" s="3">
        <v>202411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35">
      <c r="A1422" s="3">
        <v>202412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35">
      <c r="A1423" s="3">
        <v>202501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35">
      <c r="A1424" s="3">
        <v>202502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35">
      <c r="A1425" s="3">
        <v>202503</v>
      </c>
      <c r="B1425">
        <v>1.9570961200000001</v>
      </c>
      <c r="C1425">
        <v>4.3727977100000004</v>
      </c>
      <c r="D1425">
        <v>1.8220291100000001</v>
      </c>
      <c r="E1425">
        <v>1.5826998999999999</v>
      </c>
      <c r="F1425">
        <v>0.37439621999999995</v>
      </c>
      <c r="G1425">
        <v>0</v>
      </c>
      <c r="H1425">
        <v>0</v>
      </c>
      <c r="I1425">
        <v>0</v>
      </c>
      <c r="J1425">
        <v>4.0179869200000002</v>
      </c>
      <c r="K1425">
        <v>0</v>
      </c>
      <c r="L1425">
        <v>0</v>
      </c>
    </row>
    <row r="1426" spans="1:12" x14ac:dyDescent="0.35">
      <c r="A1426" s="3">
        <v>202504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35">
      <c r="A1427" s="3">
        <v>202505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35">
      <c r="A1428" s="3">
        <v>202506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35">
      <c r="A1429" s="3">
        <v>202507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35">
      <c r="A1430" s="2" t="s">
        <v>50</v>
      </c>
      <c r="B1430">
        <v>18.099025709999999</v>
      </c>
      <c r="C1430">
        <v>2.3511529499999999</v>
      </c>
      <c r="D1430">
        <v>15.74787276</v>
      </c>
      <c r="E1430">
        <v>0.64298834999999999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35">
      <c r="A1431" s="3">
        <v>202201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35">
      <c r="A1432" s="3">
        <v>202202</v>
      </c>
      <c r="B1432">
        <v>0.26830987000000001</v>
      </c>
      <c r="C1432">
        <v>0.26830987000000001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35">
      <c r="A1433" s="3">
        <v>202203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35">
      <c r="A1434" s="3">
        <v>202204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35">
      <c r="A1435" s="3">
        <v>202205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35">
      <c r="A1436" s="3">
        <v>202206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35">
      <c r="A1437" s="3">
        <v>202207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35">
      <c r="A1438" s="3">
        <v>202208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35">
      <c r="A1439" s="3">
        <v>202209</v>
      </c>
      <c r="B1439">
        <v>0.90961110000000001</v>
      </c>
      <c r="C1439">
        <v>0.90961110000000001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35">
      <c r="A1440" s="3">
        <v>202210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35">
      <c r="A1441" s="3">
        <v>202211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35">
      <c r="A1442" s="3">
        <v>202212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35">
      <c r="A1443" s="3">
        <v>202301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35">
      <c r="A1444" s="3">
        <v>202302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35">
      <c r="A1445" s="3">
        <v>202303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35">
      <c r="A1446" s="3">
        <v>202304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35">
      <c r="A1447" s="3">
        <v>202305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35">
      <c r="A1448" s="3">
        <v>202306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35">
      <c r="A1449" s="3">
        <v>202307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35">
      <c r="A1450" s="3">
        <v>202308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35">
      <c r="A1451" s="3">
        <v>202309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35">
      <c r="A1452" s="3">
        <v>202310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35">
      <c r="A1453" s="3">
        <v>202311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35">
      <c r="A1454" s="3">
        <v>202312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35">
      <c r="A1455" s="3">
        <v>202401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35">
      <c r="A1456" s="3">
        <v>202402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35">
      <c r="A1457" s="3">
        <v>202403</v>
      </c>
      <c r="B1457">
        <v>9.7822823299999992</v>
      </c>
      <c r="C1457">
        <v>1.17323198</v>
      </c>
      <c r="D1457">
        <v>8.6090503500000004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35">
      <c r="A1458" s="3">
        <v>202404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35">
      <c r="A1459" s="3">
        <v>202405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35">
      <c r="A1460" s="3">
        <v>202406</v>
      </c>
      <c r="B1460">
        <v>7.1388224100000004</v>
      </c>
      <c r="C1460">
        <v>0</v>
      </c>
      <c r="D1460">
        <v>7.1388224100000004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35">
      <c r="A1461" s="3">
        <v>202407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35">
      <c r="A1462" s="3">
        <v>202408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35">
      <c r="A1463" s="3">
        <v>202409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35">
      <c r="A1464" s="3">
        <v>202410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35">
      <c r="A1465" s="3">
        <v>202411</v>
      </c>
      <c r="B1465">
        <v>0</v>
      </c>
      <c r="C1465">
        <v>0</v>
      </c>
      <c r="D1465">
        <v>0</v>
      </c>
      <c r="E1465">
        <v>0.52841784999999997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35">
      <c r="A1466" s="3">
        <v>202412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35">
      <c r="A1467" s="3">
        <v>202501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35">
      <c r="A1468" s="3">
        <v>202502</v>
      </c>
      <c r="B1468">
        <v>0</v>
      </c>
      <c r="C1468">
        <v>0</v>
      </c>
      <c r="D1468">
        <v>0</v>
      </c>
      <c r="E1468">
        <v>0.11457050000000001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35">
      <c r="A1469" s="3">
        <v>202503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35">
      <c r="A1470" s="3">
        <v>202504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35">
      <c r="A1471" s="3">
        <v>202505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35">
      <c r="A1472" s="3">
        <v>202506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35">
      <c r="A1473" s="3">
        <v>202507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35">
      <c r="A1474" s="2" t="s">
        <v>51</v>
      </c>
      <c r="B1474">
        <v>0.7884739999999999</v>
      </c>
      <c r="C1474">
        <v>5.3556349999999995</v>
      </c>
      <c r="D1474">
        <v>0</v>
      </c>
      <c r="E1474">
        <v>392.60969300000022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6.0030829999999993</v>
      </c>
      <c r="L1474">
        <v>8.9779999999999999E-3</v>
      </c>
    </row>
    <row r="1475" spans="1:12" x14ac:dyDescent="0.35">
      <c r="A1475" s="3">
        <v>202201</v>
      </c>
      <c r="B1475">
        <v>0</v>
      </c>
      <c r="C1475">
        <v>0</v>
      </c>
      <c r="D1475">
        <v>0</v>
      </c>
      <c r="E1475">
        <v>28.898980000000002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0.83205600000000002</v>
      </c>
      <c r="L1475">
        <v>0</v>
      </c>
    </row>
    <row r="1476" spans="1:12" x14ac:dyDescent="0.35">
      <c r="A1476" s="3">
        <v>202202</v>
      </c>
      <c r="B1476">
        <v>0.11834600000000001</v>
      </c>
      <c r="C1476">
        <v>0.11834600000000001</v>
      </c>
      <c r="D1476">
        <v>0</v>
      </c>
      <c r="E1476">
        <v>22.673019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0.49627399999999999</v>
      </c>
      <c r="L1476">
        <v>0</v>
      </c>
    </row>
    <row r="1477" spans="1:12" x14ac:dyDescent="0.35">
      <c r="A1477" s="3">
        <v>202203</v>
      </c>
      <c r="B1477">
        <v>0</v>
      </c>
      <c r="C1477">
        <v>0</v>
      </c>
      <c r="D1477">
        <v>0</v>
      </c>
      <c r="E1477">
        <v>14.650649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0.39199299999999998</v>
      </c>
      <c r="L1477">
        <v>0</v>
      </c>
    </row>
    <row r="1478" spans="1:12" x14ac:dyDescent="0.35">
      <c r="A1478" s="3">
        <v>202204</v>
      </c>
      <c r="B1478">
        <v>0</v>
      </c>
      <c r="C1478">
        <v>0</v>
      </c>
      <c r="D1478">
        <v>0</v>
      </c>
      <c r="E1478">
        <v>10.888094000000001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0.1028</v>
      </c>
      <c r="L1478">
        <v>0</v>
      </c>
    </row>
    <row r="1479" spans="1:12" x14ac:dyDescent="0.35">
      <c r="A1479" s="3">
        <v>202205</v>
      </c>
      <c r="B1479">
        <v>0</v>
      </c>
      <c r="C1479">
        <v>0</v>
      </c>
      <c r="D1479">
        <v>0</v>
      </c>
      <c r="E1479">
        <v>20.323989999999998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0.28941299999999998</v>
      </c>
      <c r="L1479">
        <v>0</v>
      </c>
    </row>
    <row r="1480" spans="1:12" x14ac:dyDescent="0.35">
      <c r="A1480" s="3">
        <v>202206</v>
      </c>
      <c r="B1480">
        <v>0</v>
      </c>
      <c r="C1480">
        <v>0</v>
      </c>
      <c r="D1480">
        <v>0</v>
      </c>
      <c r="E1480">
        <v>16.006875999999998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0.14052100000000001</v>
      </c>
      <c r="L1480">
        <v>0</v>
      </c>
    </row>
    <row r="1481" spans="1:12" x14ac:dyDescent="0.35">
      <c r="A1481" s="3">
        <v>202207</v>
      </c>
      <c r="B1481">
        <v>0</v>
      </c>
      <c r="C1481">
        <v>0</v>
      </c>
      <c r="D1481">
        <v>0</v>
      </c>
      <c r="E1481">
        <v>16.598673000000002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0.15153800000000001</v>
      </c>
      <c r="L1481">
        <v>0</v>
      </c>
    </row>
    <row r="1482" spans="1:12" x14ac:dyDescent="0.35">
      <c r="A1482" s="3">
        <v>202208</v>
      </c>
      <c r="B1482">
        <v>0</v>
      </c>
      <c r="C1482">
        <v>0</v>
      </c>
      <c r="D1482">
        <v>0</v>
      </c>
      <c r="E1482">
        <v>16.645475999999999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0.80966400000000005</v>
      </c>
      <c r="L1482">
        <v>0</v>
      </c>
    </row>
    <row r="1483" spans="1:12" x14ac:dyDescent="0.35">
      <c r="A1483" s="3">
        <v>202209</v>
      </c>
      <c r="B1483">
        <v>0</v>
      </c>
      <c r="C1483">
        <v>0</v>
      </c>
      <c r="D1483">
        <v>0</v>
      </c>
      <c r="E1483">
        <v>11.286110000000001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0.886463</v>
      </c>
      <c r="L1483">
        <v>0</v>
      </c>
    </row>
    <row r="1484" spans="1:12" x14ac:dyDescent="0.35">
      <c r="A1484" s="3">
        <v>202210</v>
      </c>
      <c r="B1484">
        <v>0.67012799999999995</v>
      </c>
      <c r="C1484">
        <v>0.67012799999999995</v>
      </c>
      <c r="D1484">
        <v>0</v>
      </c>
      <c r="E1484">
        <v>10.831239999999999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0.32716600000000001</v>
      </c>
      <c r="L1484">
        <v>0</v>
      </c>
    </row>
    <row r="1485" spans="1:12" x14ac:dyDescent="0.35">
      <c r="A1485" s="3">
        <v>202211</v>
      </c>
      <c r="B1485">
        <v>0</v>
      </c>
      <c r="C1485">
        <v>0</v>
      </c>
      <c r="D1485">
        <v>0</v>
      </c>
      <c r="E1485">
        <v>9.5069060000000007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0.160936</v>
      </c>
      <c r="L1485">
        <v>0</v>
      </c>
    </row>
    <row r="1486" spans="1:12" x14ac:dyDescent="0.35">
      <c r="A1486" s="3">
        <v>202212</v>
      </c>
      <c r="B1486">
        <v>0</v>
      </c>
      <c r="C1486">
        <v>0</v>
      </c>
      <c r="D1486">
        <v>0</v>
      </c>
      <c r="E1486">
        <v>9.9425749999999997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0.156747</v>
      </c>
      <c r="L1486">
        <v>0</v>
      </c>
    </row>
    <row r="1487" spans="1:12" x14ac:dyDescent="0.35">
      <c r="A1487" s="3">
        <v>202301</v>
      </c>
      <c r="B1487">
        <v>0</v>
      </c>
      <c r="C1487">
        <v>0</v>
      </c>
      <c r="D1487">
        <v>0</v>
      </c>
      <c r="E1487">
        <v>9.663589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0.20846600000000001</v>
      </c>
      <c r="L1487">
        <v>0</v>
      </c>
    </row>
    <row r="1488" spans="1:12" x14ac:dyDescent="0.35">
      <c r="A1488" s="3">
        <v>202302</v>
      </c>
      <c r="B1488">
        <v>0</v>
      </c>
      <c r="C1488">
        <v>0</v>
      </c>
      <c r="D1488">
        <v>0</v>
      </c>
      <c r="E1488">
        <v>13.280151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0.121422</v>
      </c>
      <c r="L1488">
        <v>0</v>
      </c>
    </row>
    <row r="1489" spans="1:12" x14ac:dyDescent="0.35">
      <c r="A1489" s="3">
        <v>202303</v>
      </c>
      <c r="B1489">
        <v>0</v>
      </c>
      <c r="C1489">
        <v>0</v>
      </c>
      <c r="D1489">
        <v>0</v>
      </c>
      <c r="E1489">
        <v>11.934469999999999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0.128301</v>
      </c>
      <c r="L1489">
        <v>0</v>
      </c>
    </row>
    <row r="1490" spans="1:12" x14ac:dyDescent="0.35">
      <c r="A1490" s="3">
        <v>202304</v>
      </c>
      <c r="B1490">
        <v>0</v>
      </c>
      <c r="C1490">
        <v>0</v>
      </c>
      <c r="D1490">
        <v>0</v>
      </c>
      <c r="E1490">
        <v>11.711318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5.6034E-2</v>
      </c>
      <c r="L1490">
        <v>0</v>
      </c>
    </row>
    <row r="1491" spans="1:12" x14ac:dyDescent="0.35">
      <c r="A1491" s="3">
        <v>202305</v>
      </c>
      <c r="B1491">
        <v>0</v>
      </c>
      <c r="C1491">
        <v>0</v>
      </c>
      <c r="D1491">
        <v>0</v>
      </c>
      <c r="E1491">
        <v>9.6863530000000004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0.131968</v>
      </c>
      <c r="L1491">
        <v>0</v>
      </c>
    </row>
    <row r="1492" spans="1:12" x14ac:dyDescent="0.35">
      <c r="A1492" s="3">
        <v>202306</v>
      </c>
      <c r="B1492">
        <v>0</v>
      </c>
      <c r="C1492">
        <v>0</v>
      </c>
      <c r="D1492">
        <v>0</v>
      </c>
      <c r="E1492">
        <v>8.0025060000000003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4.6955999999999998E-2</v>
      </c>
      <c r="L1492">
        <v>0</v>
      </c>
    </row>
    <row r="1493" spans="1:12" x14ac:dyDescent="0.35">
      <c r="A1493" s="3">
        <v>202307</v>
      </c>
      <c r="B1493">
        <v>0</v>
      </c>
      <c r="C1493">
        <v>0</v>
      </c>
      <c r="D1493">
        <v>0</v>
      </c>
      <c r="E1493">
        <v>8.5951769999999996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2.9166999999999998E-2</v>
      </c>
      <c r="L1493">
        <v>0</v>
      </c>
    </row>
    <row r="1494" spans="1:12" x14ac:dyDescent="0.35">
      <c r="A1494" s="3">
        <v>202308</v>
      </c>
      <c r="B1494">
        <v>0</v>
      </c>
      <c r="C1494">
        <v>0</v>
      </c>
      <c r="D1494">
        <v>0</v>
      </c>
      <c r="E1494">
        <v>8.3375620000000001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3.9597E-2</v>
      </c>
      <c r="L1494">
        <v>0</v>
      </c>
    </row>
    <row r="1495" spans="1:12" x14ac:dyDescent="0.35">
      <c r="A1495" s="3">
        <v>202309</v>
      </c>
      <c r="B1495">
        <v>0</v>
      </c>
      <c r="C1495">
        <v>0</v>
      </c>
      <c r="D1495">
        <v>0</v>
      </c>
      <c r="E1495">
        <v>7.755414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1.8644000000000001E-2</v>
      </c>
      <c r="L1495">
        <v>0</v>
      </c>
    </row>
    <row r="1496" spans="1:12" x14ac:dyDescent="0.35">
      <c r="A1496" s="3">
        <v>202310</v>
      </c>
      <c r="B1496">
        <v>0</v>
      </c>
      <c r="C1496">
        <v>0</v>
      </c>
      <c r="D1496">
        <v>0</v>
      </c>
      <c r="E1496">
        <v>5.2737679999999996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2.5935E-2</v>
      </c>
      <c r="L1496">
        <v>0</v>
      </c>
    </row>
    <row r="1497" spans="1:12" x14ac:dyDescent="0.35">
      <c r="A1497" s="3">
        <v>202311</v>
      </c>
      <c r="B1497">
        <v>0</v>
      </c>
      <c r="C1497">
        <v>0</v>
      </c>
      <c r="D1497">
        <v>0</v>
      </c>
      <c r="E1497">
        <v>5.1492740000000001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3.4521000000000003E-2</v>
      </c>
      <c r="L1497">
        <v>0</v>
      </c>
    </row>
    <row r="1498" spans="1:12" x14ac:dyDescent="0.35">
      <c r="A1498" s="3">
        <v>202312</v>
      </c>
      <c r="B1498">
        <v>0</v>
      </c>
      <c r="C1498">
        <v>0</v>
      </c>
      <c r="D1498">
        <v>0</v>
      </c>
      <c r="E1498">
        <v>2.8382559999999999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3.4058999999999999E-2</v>
      </c>
      <c r="L1498">
        <v>0</v>
      </c>
    </row>
    <row r="1499" spans="1:12" x14ac:dyDescent="0.35">
      <c r="A1499" s="3">
        <v>202401</v>
      </c>
      <c r="B1499">
        <v>0</v>
      </c>
      <c r="C1499">
        <v>0</v>
      </c>
      <c r="D1499">
        <v>0</v>
      </c>
      <c r="E1499">
        <v>3.8635100000000002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3.6165000000000003E-2</v>
      </c>
      <c r="L1499">
        <v>0</v>
      </c>
    </row>
    <row r="1500" spans="1:12" x14ac:dyDescent="0.35">
      <c r="A1500" s="3">
        <v>202402</v>
      </c>
      <c r="B1500">
        <v>0</v>
      </c>
      <c r="C1500">
        <v>0</v>
      </c>
      <c r="D1500">
        <v>0</v>
      </c>
      <c r="E1500">
        <v>5.1401300000000001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2.5718999999999999E-2</v>
      </c>
      <c r="L1500">
        <v>0</v>
      </c>
    </row>
    <row r="1501" spans="1:12" x14ac:dyDescent="0.35">
      <c r="A1501" s="3">
        <v>202403</v>
      </c>
      <c r="B1501">
        <v>0</v>
      </c>
      <c r="C1501">
        <v>0</v>
      </c>
      <c r="D1501">
        <v>0</v>
      </c>
      <c r="E1501">
        <v>3.0375040000000002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2.3351E-2</v>
      </c>
      <c r="L1501">
        <v>0</v>
      </c>
    </row>
    <row r="1502" spans="1:12" x14ac:dyDescent="0.35">
      <c r="A1502" s="3">
        <v>202404</v>
      </c>
      <c r="B1502">
        <v>0</v>
      </c>
      <c r="C1502">
        <v>0</v>
      </c>
      <c r="D1502">
        <v>0</v>
      </c>
      <c r="E1502">
        <v>6.3807999999999998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35">
      <c r="A1503" s="3">
        <v>202405</v>
      </c>
      <c r="B1503">
        <v>0</v>
      </c>
      <c r="C1503">
        <v>0</v>
      </c>
      <c r="D1503">
        <v>0</v>
      </c>
      <c r="E1503">
        <v>4.4201319999999997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2.8435999999999999E-2</v>
      </c>
      <c r="L1503">
        <v>0</v>
      </c>
    </row>
    <row r="1504" spans="1:12" x14ac:dyDescent="0.35">
      <c r="A1504" s="3">
        <v>202406</v>
      </c>
      <c r="B1504">
        <v>0</v>
      </c>
      <c r="C1504">
        <v>0</v>
      </c>
      <c r="D1504">
        <v>0</v>
      </c>
      <c r="E1504">
        <v>6.6361350000000003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3.424E-3</v>
      </c>
      <c r="L1504">
        <v>0</v>
      </c>
    </row>
    <row r="1505" spans="1:12" x14ac:dyDescent="0.35">
      <c r="A1505" s="3">
        <v>202407</v>
      </c>
      <c r="B1505">
        <v>0</v>
      </c>
      <c r="C1505">
        <v>0</v>
      </c>
      <c r="D1505">
        <v>0</v>
      </c>
      <c r="E1505">
        <v>8.0726840000000006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35">
      <c r="A1506" s="3">
        <v>202408</v>
      </c>
      <c r="B1506">
        <v>0</v>
      </c>
      <c r="C1506">
        <v>0</v>
      </c>
      <c r="D1506">
        <v>0</v>
      </c>
      <c r="E1506">
        <v>5.168984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1.044E-2</v>
      </c>
      <c r="L1506">
        <v>0</v>
      </c>
    </row>
    <row r="1507" spans="1:12" x14ac:dyDescent="0.35">
      <c r="A1507" s="3">
        <v>202409</v>
      </c>
      <c r="B1507">
        <v>0</v>
      </c>
      <c r="C1507">
        <v>0</v>
      </c>
      <c r="D1507">
        <v>0</v>
      </c>
      <c r="E1507">
        <v>4.6343750000000004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35">
      <c r="A1508" s="3">
        <v>202410</v>
      </c>
      <c r="B1508">
        <v>0</v>
      </c>
      <c r="C1508">
        <v>0</v>
      </c>
      <c r="D1508">
        <v>0</v>
      </c>
      <c r="E1508">
        <v>4.1372410000000004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3.1531999999999998E-2</v>
      </c>
      <c r="L1508">
        <v>0</v>
      </c>
    </row>
    <row r="1509" spans="1:12" x14ac:dyDescent="0.35">
      <c r="A1509" s="3">
        <v>202411</v>
      </c>
      <c r="B1509">
        <v>0</v>
      </c>
      <c r="C1509">
        <v>0</v>
      </c>
      <c r="D1509">
        <v>0</v>
      </c>
      <c r="E1509">
        <v>4.1419790000000001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0.12069199999999999</v>
      </c>
      <c r="L1509">
        <v>0</v>
      </c>
    </row>
    <row r="1510" spans="1:12" x14ac:dyDescent="0.35">
      <c r="A1510" s="3">
        <v>202412</v>
      </c>
      <c r="B1510">
        <v>0</v>
      </c>
      <c r="C1510">
        <v>0</v>
      </c>
      <c r="D1510">
        <v>0</v>
      </c>
      <c r="E1510">
        <v>5.646312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35">
      <c r="A1511" s="3">
        <v>202501</v>
      </c>
      <c r="B1511">
        <v>0</v>
      </c>
      <c r="C1511">
        <v>4.5671609999999996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35">
      <c r="A1512" s="3">
        <v>202502</v>
      </c>
      <c r="B1512">
        <v>0</v>
      </c>
      <c r="C1512">
        <v>0</v>
      </c>
      <c r="D1512">
        <v>0</v>
      </c>
      <c r="E1512">
        <v>5.3158899999999996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8.9779999999999999E-3</v>
      </c>
    </row>
    <row r="1513" spans="1:12" x14ac:dyDescent="0.35">
      <c r="A1513" s="3">
        <v>202503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35">
      <c r="A1514" s="3">
        <v>202504</v>
      </c>
      <c r="B1514">
        <v>0</v>
      </c>
      <c r="C1514">
        <v>0</v>
      </c>
      <c r="D1514">
        <v>0</v>
      </c>
      <c r="E1514">
        <v>7.0502570000000002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1.34E-3</v>
      </c>
      <c r="L1514">
        <v>0</v>
      </c>
    </row>
    <row r="1515" spans="1:12" x14ac:dyDescent="0.35">
      <c r="A1515" s="3">
        <v>202505</v>
      </c>
      <c r="B1515">
        <v>0</v>
      </c>
      <c r="C1515">
        <v>0</v>
      </c>
      <c r="D1515">
        <v>0</v>
      </c>
      <c r="E1515">
        <v>9.3293529999999993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35">
      <c r="A1516" s="3">
        <v>202506</v>
      </c>
      <c r="B1516">
        <v>0</v>
      </c>
      <c r="C1516">
        <v>0</v>
      </c>
      <c r="D1516">
        <v>0</v>
      </c>
      <c r="E1516">
        <v>7.9493099999999997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9.8875000000000005E-2</v>
      </c>
      <c r="L1516">
        <v>0</v>
      </c>
    </row>
    <row r="1517" spans="1:12" x14ac:dyDescent="0.35">
      <c r="A1517" s="3">
        <v>202507</v>
      </c>
      <c r="B1517">
        <v>0</v>
      </c>
      <c r="C1517">
        <v>0</v>
      </c>
      <c r="D1517">
        <v>0</v>
      </c>
      <c r="E1517">
        <v>11.204670999999999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2.4680000000000001E-3</v>
      </c>
      <c r="L1517">
        <v>0</v>
      </c>
    </row>
    <row r="1518" spans="1:12" x14ac:dyDescent="0.35">
      <c r="A1518" s="2" t="s">
        <v>52</v>
      </c>
      <c r="B1518">
        <v>0</v>
      </c>
      <c r="C1518">
        <v>6.9697199999999997</v>
      </c>
      <c r="D1518">
        <v>0</v>
      </c>
      <c r="E1518">
        <v>0</v>
      </c>
      <c r="F1518">
        <v>0</v>
      </c>
      <c r="G1518">
        <v>17.030318400000002</v>
      </c>
      <c r="H1518">
        <v>17.030318400000002</v>
      </c>
      <c r="I1518">
        <v>0</v>
      </c>
      <c r="J1518">
        <v>1.098E-2</v>
      </c>
      <c r="K1518">
        <v>0</v>
      </c>
      <c r="L1518">
        <v>0</v>
      </c>
    </row>
    <row r="1519" spans="1:12" x14ac:dyDescent="0.35">
      <c r="A1519" s="3">
        <v>202201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35">
      <c r="A1520" s="3">
        <v>202202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35">
      <c r="A1521" s="3">
        <v>202203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35">
      <c r="A1522" s="3">
        <v>202204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35">
      <c r="A1523" s="3">
        <v>202205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35">
      <c r="A1524" s="3">
        <v>202206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35">
      <c r="A1525" s="3">
        <v>202207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35">
      <c r="A1526" s="3">
        <v>202208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35">
      <c r="A1527" s="3">
        <v>202209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35">
      <c r="A1528" s="3">
        <v>202210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35">
      <c r="A1529" s="3">
        <v>202211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35">
      <c r="A1530" s="3">
        <v>202212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35">
      <c r="A1531" s="3">
        <v>202301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35">
      <c r="A1532" s="3">
        <v>202302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35">
      <c r="A1533" s="3">
        <v>202303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35">
      <c r="A1534" s="3">
        <v>202304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35">
      <c r="A1535" s="3">
        <v>202305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35">
      <c r="A1536" s="3">
        <v>202306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35">
      <c r="A1537" s="3">
        <v>202307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35">
      <c r="A1538" s="3">
        <v>202308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35">
      <c r="A1539" s="3">
        <v>202309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35">
      <c r="A1540" s="3">
        <v>202310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35">
      <c r="A1541" s="3">
        <v>202311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35">
      <c r="A1542" s="3">
        <v>202312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35">
      <c r="A1543" s="3">
        <v>202401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35">
      <c r="A1544" s="3">
        <v>202402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35">
      <c r="A1545" s="3">
        <v>202403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35">
      <c r="A1546" s="3">
        <v>202404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35">
      <c r="A1547" s="3">
        <v>202405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35">
      <c r="A1548" s="3">
        <v>202406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35">
      <c r="A1549" s="3">
        <v>202407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35">
      <c r="A1550" s="3">
        <v>202408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35">
      <c r="A1551" s="3">
        <v>202409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35">
      <c r="A1552" s="3">
        <v>202410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35">
      <c r="A1553" s="3">
        <v>202411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35">
      <c r="A1554" s="3">
        <v>202412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35">
      <c r="A1555" s="3">
        <v>202501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35">
      <c r="A1556" s="3">
        <v>202502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35">
      <c r="A1557" s="3">
        <v>202503</v>
      </c>
      <c r="B1557">
        <v>0</v>
      </c>
      <c r="C1557">
        <v>6.9697199999999997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1.098E-2</v>
      </c>
      <c r="K1557">
        <v>0</v>
      </c>
      <c r="L1557">
        <v>0</v>
      </c>
    </row>
    <row r="1558" spans="1:12" x14ac:dyDescent="0.35">
      <c r="A1558" s="3">
        <v>202504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35">
      <c r="A1559" s="3">
        <v>202505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35">
      <c r="A1560" s="3">
        <v>202506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2.0935799999999998E-3</v>
      </c>
      <c r="H1560">
        <v>2.0935799999999998E-3</v>
      </c>
      <c r="I1560">
        <v>0</v>
      </c>
      <c r="J1560">
        <v>0</v>
      </c>
      <c r="K1560">
        <v>0</v>
      </c>
      <c r="L1560">
        <v>0</v>
      </c>
    </row>
    <row r="1561" spans="1:12" x14ac:dyDescent="0.35">
      <c r="A1561" s="3">
        <v>202507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17.028224820000002</v>
      </c>
      <c r="H1561">
        <v>17.028224820000002</v>
      </c>
      <c r="I1561">
        <v>0</v>
      </c>
      <c r="J1561">
        <v>0</v>
      </c>
      <c r="K1561">
        <v>0</v>
      </c>
      <c r="L1561">
        <v>0</v>
      </c>
    </row>
    <row r="1562" spans="1:12" x14ac:dyDescent="0.35">
      <c r="A1562" s="2" t="s">
        <v>53</v>
      </c>
      <c r="B1562">
        <v>6.4992840000000003</v>
      </c>
      <c r="C1562">
        <v>6.4992840000000003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35">
      <c r="A1563" s="3">
        <v>202201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35">
      <c r="A1564" s="3">
        <v>202202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35">
      <c r="A1565" s="3">
        <v>202203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35">
      <c r="A1566" s="3">
        <v>202204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35">
      <c r="A1567" s="3">
        <v>202205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35">
      <c r="A1568" s="3">
        <v>202206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35">
      <c r="A1569" s="3">
        <v>202207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35">
      <c r="A1570" s="3">
        <v>202208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35">
      <c r="A1571" s="3">
        <v>202209</v>
      </c>
      <c r="B1571">
        <v>4.6382070000000004</v>
      </c>
      <c r="C1571">
        <v>4.6382070000000004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35">
      <c r="A1572" s="3">
        <v>202210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35">
      <c r="A1573" s="3">
        <v>202211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35">
      <c r="A1574" s="3">
        <v>202212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35">
      <c r="A1575" s="3">
        <v>202301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35">
      <c r="A1576" s="3">
        <v>202302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35">
      <c r="A1577" s="3">
        <v>202303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35">
      <c r="A1578" s="3">
        <v>202304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35">
      <c r="A1579" s="3">
        <v>202305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35">
      <c r="A1580" s="3">
        <v>202306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35">
      <c r="A1581" s="3">
        <v>202307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35">
      <c r="A1582" s="3">
        <v>202308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35">
      <c r="A1583" s="3">
        <v>202309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35">
      <c r="A1584" s="3">
        <v>202310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35">
      <c r="A1585" s="3">
        <v>202311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35">
      <c r="A1586" s="3">
        <v>202312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35">
      <c r="A1587" s="3">
        <v>202401</v>
      </c>
      <c r="B1587">
        <v>1.8610770000000001</v>
      </c>
      <c r="C1587">
        <v>1.8610770000000001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35">
      <c r="A1588" s="3">
        <v>202402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35">
      <c r="A1589" s="3">
        <v>202403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35">
      <c r="A1590" s="3">
        <v>202404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35">
      <c r="A1591" s="3">
        <v>202405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35">
      <c r="A1592" s="3">
        <v>202406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35">
      <c r="A1593" s="3">
        <v>202407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35">
      <c r="A1594" s="3">
        <v>202408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35">
      <c r="A1595" s="3">
        <v>202409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35">
      <c r="A1596" s="3">
        <v>202410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35">
      <c r="A1597" s="3">
        <v>202411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35">
      <c r="A1598" s="3">
        <v>202412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35">
      <c r="A1599" s="3">
        <v>202501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35">
      <c r="A1600" s="3">
        <v>202502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35">
      <c r="A1601" s="3">
        <v>202503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35">
      <c r="A1602" s="3">
        <v>202504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35">
      <c r="A1603" s="3">
        <v>202505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35">
      <c r="A1604" s="3">
        <v>202506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35">
      <c r="A1605" s="3">
        <v>202507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35">
      <c r="A1606" s="2" t="s">
        <v>54</v>
      </c>
      <c r="B1606">
        <v>44.65842524</v>
      </c>
      <c r="C1606">
        <v>17.44661619</v>
      </c>
      <c r="D1606">
        <v>27.211809049999999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35">
      <c r="A1607" s="3">
        <v>202201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35">
      <c r="A1608" s="3">
        <v>202202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35">
      <c r="A1609" s="3">
        <v>202203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35">
      <c r="A1610" s="3">
        <v>202206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35">
      <c r="A1611" s="3">
        <v>202207</v>
      </c>
      <c r="B1611">
        <v>2.4216199600000001</v>
      </c>
      <c r="C1611">
        <v>2.4216199600000001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35">
      <c r="A1612" s="3">
        <v>202208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35">
      <c r="A1613" s="3">
        <v>202209</v>
      </c>
      <c r="B1613">
        <v>2.0443769999999999</v>
      </c>
      <c r="C1613">
        <v>2.0443769999999999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35">
      <c r="A1614" s="3">
        <v>202210</v>
      </c>
      <c r="B1614">
        <v>3.8460133999999999</v>
      </c>
      <c r="C1614">
        <v>0</v>
      </c>
      <c r="D1614">
        <v>3.8460133999999999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35">
      <c r="A1615" s="3">
        <v>202211</v>
      </c>
      <c r="B1615">
        <v>2.4963478100000001</v>
      </c>
      <c r="C1615">
        <v>2.4963478100000001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35">
      <c r="A1616" s="3">
        <v>202212</v>
      </c>
      <c r="B1616">
        <v>3.0754028</v>
      </c>
      <c r="C1616">
        <v>3.0754028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35">
      <c r="A1617" s="3">
        <v>202301</v>
      </c>
      <c r="B1617">
        <v>5.78110152</v>
      </c>
      <c r="C1617">
        <v>0.70303684999999994</v>
      </c>
      <c r="D1617">
        <v>5.0780646699999998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35">
      <c r="A1618" s="3">
        <v>202302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35">
      <c r="A1619" s="3">
        <v>202303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35">
      <c r="A1620" s="3">
        <v>202304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35">
      <c r="A1621" s="3">
        <v>202305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35">
      <c r="A1622" s="3">
        <v>202306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35">
      <c r="A1623" s="3">
        <v>202307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35">
      <c r="A1624" s="3">
        <v>202308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35">
      <c r="A1625" s="3">
        <v>202309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35">
      <c r="A1626" s="3">
        <v>202310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35">
      <c r="A1627" s="3">
        <v>202311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35">
      <c r="A1628" s="3">
        <v>202312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35">
      <c r="A1629" s="3">
        <v>202401</v>
      </c>
      <c r="B1629">
        <v>18.287730979999999</v>
      </c>
      <c r="C1629">
        <v>0</v>
      </c>
      <c r="D1629">
        <v>18.287730979999999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35">
      <c r="A1630" s="3">
        <v>202402</v>
      </c>
      <c r="B1630">
        <v>1.2066877</v>
      </c>
      <c r="C1630">
        <v>1.2066877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35">
      <c r="A1631" s="3">
        <v>202403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35">
      <c r="A1632" s="3">
        <v>202404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35">
      <c r="A1633" s="3">
        <v>202405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35">
      <c r="A1634" s="3">
        <v>202406</v>
      </c>
      <c r="B1634">
        <v>0.33333343999999998</v>
      </c>
      <c r="C1634">
        <v>0.33333343999999998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35">
      <c r="A1635" s="3">
        <v>202407</v>
      </c>
      <c r="B1635">
        <v>5.1658106300000002</v>
      </c>
      <c r="C1635">
        <v>5.1658106300000002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35">
      <c r="A1636" s="3">
        <v>202408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35">
      <c r="A1637" s="3">
        <v>202409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35">
      <c r="A1638" s="3">
        <v>202410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35">
      <c r="A1639" s="3">
        <v>202411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35">
      <c r="A1640" s="3">
        <v>202412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35">
      <c r="A1641" s="3">
        <v>202501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35">
      <c r="A1642" s="3">
        <v>202502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35">
      <c r="A1643" s="3">
        <v>202503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35">
      <c r="A1644" s="3">
        <v>202504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35">
      <c r="A1645" s="3">
        <v>202505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35">
      <c r="A1646" s="3">
        <v>202506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35">
      <c r="A1647" s="3">
        <v>202507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35">
      <c r="A1648" s="2" t="s">
        <v>55</v>
      </c>
      <c r="B1648">
        <v>86.123848219999999</v>
      </c>
      <c r="C1648">
        <v>86.123848219999999</v>
      </c>
      <c r="D1648">
        <v>0</v>
      </c>
      <c r="E1648">
        <v>0</v>
      </c>
      <c r="F1648">
        <v>0</v>
      </c>
      <c r="G1648">
        <v>7.0293564500000008</v>
      </c>
      <c r="H1648">
        <v>7.748284550000001</v>
      </c>
      <c r="I1648">
        <v>0.71892809999999996</v>
      </c>
      <c r="J1648">
        <v>0</v>
      </c>
      <c r="K1648">
        <v>3.3660300799999998</v>
      </c>
      <c r="L1648">
        <v>0</v>
      </c>
    </row>
    <row r="1649" spans="1:12" x14ac:dyDescent="0.35">
      <c r="A1649" s="3">
        <v>202201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35">
      <c r="A1650" s="3">
        <v>202202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35">
      <c r="A1651" s="3">
        <v>202203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35">
      <c r="A1652" s="3">
        <v>202204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35">
      <c r="A1653" s="3">
        <v>202205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35">
      <c r="A1654" s="3">
        <v>202206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35">
      <c r="A1655" s="3">
        <v>202207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35">
      <c r="A1656" s="3">
        <v>202208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35">
      <c r="A1657" s="3">
        <v>202209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35">
      <c r="A1658" s="3">
        <v>202210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35">
      <c r="A1659" s="3">
        <v>202211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35">
      <c r="A1660" s="3">
        <v>202212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35">
      <c r="A1661" s="3">
        <v>202301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35">
      <c r="A1662" s="3">
        <v>202302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35">
      <c r="A1663" s="3">
        <v>202303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35">
      <c r="A1664" s="3">
        <v>202304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35">
      <c r="A1665" s="3">
        <v>202305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0.61995411999999994</v>
      </c>
      <c r="H1665">
        <v>0.61995411999999994</v>
      </c>
      <c r="I1665">
        <v>0</v>
      </c>
      <c r="J1665">
        <v>0</v>
      </c>
      <c r="K1665">
        <v>0</v>
      </c>
      <c r="L1665">
        <v>0</v>
      </c>
    </row>
    <row r="1666" spans="1:12" x14ac:dyDescent="0.35">
      <c r="A1666" s="3">
        <v>202306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35">
      <c r="A1667" s="3">
        <v>202307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35">
      <c r="A1668" s="3">
        <v>202308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3.457056E-2</v>
      </c>
      <c r="H1668">
        <v>3.457056E-2</v>
      </c>
      <c r="I1668">
        <v>0</v>
      </c>
      <c r="J1668">
        <v>0</v>
      </c>
      <c r="K1668">
        <v>0</v>
      </c>
      <c r="L1668">
        <v>0</v>
      </c>
    </row>
    <row r="1669" spans="1:12" x14ac:dyDescent="0.35">
      <c r="A1669" s="3">
        <v>202309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0.27714359000000005</v>
      </c>
      <c r="H1669">
        <v>0.27714359000000005</v>
      </c>
      <c r="I1669">
        <v>0</v>
      </c>
      <c r="J1669">
        <v>0</v>
      </c>
      <c r="K1669">
        <v>0</v>
      </c>
      <c r="L1669">
        <v>0</v>
      </c>
    </row>
    <row r="1670" spans="1:12" x14ac:dyDescent="0.35">
      <c r="A1670" s="3">
        <v>202310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1.33979698</v>
      </c>
      <c r="H1670">
        <v>1.33979698</v>
      </c>
      <c r="I1670">
        <v>0</v>
      </c>
      <c r="J1670">
        <v>0</v>
      </c>
      <c r="K1670">
        <v>0</v>
      </c>
      <c r="L1670">
        <v>0</v>
      </c>
    </row>
    <row r="1671" spans="1:12" x14ac:dyDescent="0.35">
      <c r="A1671" s="3">
        <v>202311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2.17E-6</v>
      </c>
      <c r="H1671">
        <v>2.17E-6</v>
      </c>
      <c r="I1671">
        <v>0</v>
      </c>
      <c r="J1671">
        <v>0</v>
      </c>
      <c r="K1671">
        <v>0</v>
      </c>
      <c r="L1671">
        <v>0</v>
      </c>
    </row>
    <row r="1672" spans="1:12" x14ac:dyDescent="0.35">
      <c r="A1672" s="3">
        <v>202312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35">
      <c r="A1673" s="3">
        <v>202401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3.3384699999999996E-3</v>
      </c>
      <c r="H1673">
        <v>3.3384699999999996E-3</v>
      </c>
      <c r="I1673">
        <v>0</v>
      </c>
      <c r="J1673">
        <v>0</v>
      </c>
      <c r="K1673">
        <v>0</v>
      </c>
      <c r="L1673">
        <v>0</v>
      </c>
    </row>
    <row r="1674" spans="1:12" x14ac:dyDescent="0.35">
      <c r="A1674" s="3">
        <v>202402</v>
      </c>
      <c r="B1674">
        <v>13.867549519999999</v>
      </c>
      <c r="C1674">
        <v>13.867549519999999</v>
      </c>
      <c r="D1674">
        <v>0</v>
      </c>
      <c r="E1674">
        <v>0</v>
      </c>
      <c r="F1674">
        <v>0</v>
      </c>
      <c r="G1674">
        <v>1.0046290000000001E-2</v>
      </c>
      <c r="H1674">
        <v>1.0046290000000001E-2</v>
      </c>
      <c r="I1674">
        <v>0</v>
      </c>
      <c r="J1674">
        <v>0</v>
      </c>
      <c r="K1674">
        <v>0</v>
      </c>
      <c r="L1674">
        <v>0</v>
      </c>
    </row>
    <row r="1675" spans="1:12" x14ac:dyDescent="0.35">
      <c r="A1675" s="3">
        <v>202403</v>
      </c>
      <c r="B1675">
        <v>12.346626000000001</v>
      </c>
      <c r="C1675">
        <v>12.346626000000001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35">
      <c r="A1676" s="3">
        <v>202404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0.90894494999999997</v>
      </c>
      <c r="H1676">
        <v>0.90894494999999997</v>
      </c>
      <c r="I1676">
        <v>0</v>
      </c>
      <c r="J1676">
        <v>0</v>
      </c>
      <c r="K1676">
        <v>0</v>
      </c>
      <c r="L1676">
        <v>0</v>
      </c>
    </row>
    <row r="1677" spans="1:12" x14ac:dyDescent="0.35">
      <c r="A1677" s="3">
        <v>202405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2.7920259999999999E-2</v>
      </c>
      <c r="H1677">
        <v>2.7920259999999999E-2</v>
      </c>
      <c r="I1677">
        <v>0</v>
      </c>
      <c r="J1677">
        <v>0</v>
      </c>
      <c r="K1677">
        <v>0</v>
      </c>
      <c r="L1677">
        <v>0</v>
      </c>
    </row>
    <row r="1678" spans="1:12" x14ac:dyDescent="0.35">
      <c r="A1678" s="3">
        <v>202406</v>
      </c>
      <c r="B1678">
        <v>14.02364459</v>
      </c>
      <c r="C1678">
        <v>14.02364459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35">
      <c r="A1679" s="3">
        <v>202407</v>
      </c>
      <c r="B1679">
        <v>7.1214278499999999</v>
      </c>
      <c r="C1679">
        <v>7.1214278499999999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35">
      <c r="A1680" s="3">
        <v>202408</v>
      </c>
      <c r="B1680">
        <v>13.93597306</v>
      </c>
      <c r="C1680">
        <v>13.93597306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35">
      <c r="A1681" s="3">
        <v>202409</v>
      </c>
      <c r="B1681">
        <v>20.9742064</v>
      </c>
      <c r="C1681">
        <v>20.9742064</v>
      </c>
      <c r="D1681">
        <v>0</v>
      </c>
      <c r="E1681">
        <v>0</v>
      </c>
      <c r="F1681">
        <v>0</v>
      </c>
      <c r="G1681">
        <v>5.587599E-2</v>
      </c>
      <c r="H1681">
        <v>5.587599E-2</v>
      </c>
      <c r="I1681">
        <v>0</v>
      </c>
      <c r="J1681">
        <v>0</v>
      </c>
      <c r="K1681">
        <v>0</v>
      </c>
      <c r="L1681">
        <v>0</v>
      </c>
    </row>
    <row r="1682" spans="1:12" x14ac:dyDescent="0.35">
      <c r="A1682" s="3">
        <v>202410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8.9826000000000001E-4</v>
      </c>
      <c r="H1682">
        <v>8.9826000000000001E-4</v>
      </c>
      <c r="I1682">
        <v>0</v>
      </c>
      <c r="J1682">
        <v>0</v>
      </c>
      <c r="K1682">
        <v>0</v>
      </c>
      <c r="L1682">
        <v>0</v>
      </c>
    </row>
    <row r="1683" spans="1:12" x14ac:dyDescent="0.35">
      <c r="A1683" s="3">
        <v>202411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6.1749999999999997E-5</v>
      </c>
      <c r="H1683">
        <v>6.1749999999999997E-5</v>
      </c>
      <c r="I1683">
        <v>0</v>
      </c>
      <c r="J1683">
        <v>0</v>
      </c>
      <c r="K1683">
        <v>0</v>
      </c>
      <c r="L1683">
        <v>0</v>
      </c>
    </row>
    <row r="1684" spans="1:12" x14ac:dyDescent="0.35">
      <c r="A1684" s="3">
        <v>202412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35">
      <c r="A1685" s="3">
        <v>202501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2.64710198</v>
      </c>
      <c r="H1685">
        <v>2.64710198</v>
      </c>
      <c r="I1685">
        <v>0</v>
      </c>
      <c r="J1685">
        <v>0</v>
      </c>
      <c r="K1685">
        <v>2.64710198</v>
      </c>
      <c r="L1685">
        <v>0</v>
      </c>
    </row>
    <row r="1686" spans="1:12" x14ac:dyDescent="0.35">
      <c r="A1686" s="3">
        <v>202502</v>
      </c>
      <c r="B1686">
        <v>3.8544207999999998</v>
      </c>
      <c r="C1686">
        <v>3.8544207999999998</v>
      </c>
      <c r="D1686">
        <v>0</v>
      </c>
      <c r="E1686">
        <v>0</v>
      </c>
      <c r="F1686">
        <v>0</v>
      </c>
      <c r="G1686">
        <v>0</v>
      </c>
      <c r="H1686">
        <v>0.71892809999999996</v>
      </c>
      <c r="I1686">
        <v>0.71892809999999996</v>
      </c>
      <c r="J1686">
        <v>0</v>
      </c>
      <c r="K1686">
        <v>0.71892809999999996</v>
      </c>
      <c r="L1686">
        <v>0</v>
      </c>
    </row>
    <row r="1687" spans="1:12" x14ac:dyDescent="0.35">
      <c r="A1687" s="3">
        <v>202503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35">
      <c r="A1688" s="3">
        <v>202504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2.435387E-2</v>
      </c>
      <c r="H1688">
        <v>2.435387E-2</v>
      </c>
      <c r="I1688">
        <v>0</v>
      </c>
      <c r="J1688">
        <v>0</v>
      </c>
      <c r="K1688">
        <v>0</v>
      </c>
      <c r="L1688">
        <v>0</v>
      </c>
    </row>
    <row r="1689" spans="1:12" x14ac:dyDescent="0.35">
      <c r="A1689" s="3">
        <v>202505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0.25798920999999997</v>
      </c>
      <c r="H1689">
        <v>0.25798920999999997</v>
      </c>
      <c r="I1689">
        <v>0</v>
      </c>
      <c r="J1689">
        <v>0</v>
      </c>
      <c r="K1689">
        <v>0</v>
      </c>
      <c r="L1689">
        <v>0</v>
      </c>
    </row>
    <row r="1690" spans="1:12" x14ac:dyDescent="0.35">
      <c r="A1690" s="3">
        <v>202506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0.36466920000000003</v>
      </c>
      <c r="H1690">
        <v>0.36466920000000003</v>
      </c>
      <c r="I1690">
        <v>0</v>
      </c>
      <c r="J1690">
        <v>0</v>
      </c>
      <c r="K1690">
        <v>0</v>
      </c>
      <c r="L1690">
        <v>0</v>
      </c>
    </row>
    <row r="1691" spans="1:12" x14ac:dyDescent="0.35">
      <c r="A1691" s="3">
        <v>202507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0.45668880000000001</v>
      </c>
      <c r="H1691">
        <v>0.45668880000000001</v>
      </c>
      <c r="I1691">
        <v>0</v>
      </c>
      <c r="J1691">
        <v>0</v>
      </c>
      <c r="K1691">
        <v>0</v>
      </c>
      <c r="L1691">
        <v>0</v>
      </c>
    </row>
    <row r="1692" spans="1:12" x14ac:dyDescent="0.35">
      <c r="A1692" s="2" t="s">
        <v>56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5.8774730000000004E-2</v>
      </c>
      <c r="J1692">
        <v>0</v>
      </c>
      <c r="K1692">
        <v>0</v>
      </c>
      <c r="L1692">
        <v>5.8774730000000004E-2</v>
      </c>
    </row>
    <row r="1693" spans="1:12" x14ac:dyDescent="0.35">
      <c r="A1693" s="3">
        <v>202201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35">
      <c r="A1694" s="3">
        <v>202202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35">
      <c r="A1695" s="3">
        <v>202203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35">
      <c r="A1696" s="3">
        <v>202204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35">
      <c r="A1697" s="3">
        <v>202205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35">
      <c r="A1698" s="3">
        <v>202206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35">
      <c r="A1699" s="3">
        <v>202207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35">
      <c r="A1700" s="3">
        <v>202208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35">
      <c r="A1701" s="3">
        <v>202209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35">
      <c r="A1702" s="3">
        <v>202210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35">
      <c r="A1703" s="3">
        <v>202211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35">
      <c r="A1704" s="3">
        <v>202212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35">
      <c r="A1705" s="3">
        <v>202301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35">
      <c r="A1706" s="3">
        <v>202302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35">
      <c r="A1707" s="3">
        <v>202303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35">
      <c r="A1708" s="3">
        <v>202304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35">
      <c r="A1709" s="3">
        <v>202305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35">
      <c r="A1710" s="3">
        <v>202306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35">
      <c r="A1711" s="3">
        <v>202307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35">
      <c r="A1712" s="3">
        <v>202308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35">
      <c r="A1713" s="3">
        <v>202309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35">
      <c r="A1714" s="3">
        <v>202310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35">
      <c r="A1715" s="3">
        <v>202311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35">
      <c r="A1716" s="3">
        <v>202312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35">
      <c r="A1717" s="3">
        <v>202401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35">
      <c r="A1718" s="3">
        <v>202402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35">
      <c r="A1719" s="3">
        <v>202403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35">
      <c r="A1720" s="3">
        <v>202404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35">
      <c r="A1721" s="3">
        <v>202405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35">
      <c r="A1722" s="3">
        <v>202406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35">
      <c r="A1723" s="3">
        <v>202407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35">
      <c r="A1724" s="3">
        <v>202408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35">
      <c r="A1725" s="3">
        <v>202409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35">
      <c r="A1726" s="3">
        <v>202410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35">
      <c r="A1727" s="3">
        <v>202411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35">
      <c r="A1728" s="3">
        <v>202412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35">
      <c r="A1729" s="3">
        <v>202501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35">
      <c r="A1730" s="3">
        <v>202502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35">
      <c r="A1731" s="3">
        <v>202503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5.8774730000000004E-2</v>
      </c>
      <c r="J1731">
        <v>0</v>
      </c>
      <c r="K1731">
        <v>0</v>
      </c>
      <c r="L1731">
        <v>5.8774730000000004E-2</v>
      </c>
    </row>
    <row r="1732" spans="1:12" x14ac:dyDescent="0.35">
      <c r="A1732" s="3">
        <v>202504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35">
      <c r="A1733" s="3">
        <v>202505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35">
      <c r="A1734" s="3">
        <v>202506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35">
      <c r="A1735" s="3">
        <v>202507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35">
      <c r="A1736" s="2" t="s">
        <v>57</v>
      </c>
      <c r="B1736">
        <v>243.21499299999999</v>
      </c>
      <c r="C1736">
        <v>243.21499299999999</v>
      </c>
      <c r="D1736">
        <v>0</v>
      </c>
      <c r="E1736">
        <v>0</v>
      </c>
      <c r="F1736">
        <v>1.678828</v>
      </c>
      <c r="G1736">
        <v>1.211533</v>
      </c>
      <c r="H1736">
        <v>1.211533</v>
      </c>
      <c r="I1736">
        <v>0</v>
      </c>
      <c r="J1736">
        <v>0</v>
      </c>
      <c r="K1736">
        <v>0</v>
      </c>
      <c r="L1736">
        <v>2.2928299999999999</v>
      </c>
    </row>
    <row r="1737" spans="1:12" x14ac:dyDescent="0.35">
      <c r="A1737" s="3">
        <v>202201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35">
      <c r="A1738" s="3">
        <v>202202</v>
      </c>
      <c r="B1738">
        <v>2.0750000000000002</v>
      </c>
      <c r="C1738">
        <v>2.0750000000000002</v>
      </c>
      <c r="D1738">
        <v>0</v>
      </c>
      <c r="E1738">
        <v>0</v>
      </c>
      <c r="F1738">
        <v>0</v>
      </c>
      <c r="G1738">
        <v>0.109725</v>
      </c>
      <c r="H1738">
        <v>0.109725</v>
      </c>
      <c r="I1738">
        <v>0</v>
      </c>
      <c r="J1738">
        <v>0</v>
      </c>
      <c r="K1738">
        <v>0</v>
      </c>
      <c r="L1738">
        <v>0</v>
      </c>
    </row>
    <row r="1739" spans="1:12" x14ac:dyDescent="0.35">
      <c r="A1739" s="3">
        <v>202203</v>
      </c>
      <c r="B1739">
        <v>2.215284</v>
      </c>
      <c r="C1739">
        <v>2.215284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35">
      <c r="A1740" s="3">
        <v>202204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0.120169</v>
      </c>
      <c r="H1740">
        <v>0.120169</v>
      </c>
      <c r="I1740">
        <v>0</v>
      </c>
      <c r="J1740">
        <v>0</v>
      </c>
      <c r="K1740">
        <v>0</v>
      </c>
      <c r="L1740">
        <v>0</v>
      </c>
    </row>
    <row r="1741" spans="1:12" x14ac:dyDescent="0.35">
      <c r="A1741" s="3">
        <v>202205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1.1779E-2</v>
      </c>
      <c r="H1741">
        <v>1.1779E-2</v>
      </c>
      <c r="I1741">
        <v>0</v>
      </c>
      <c r="J1741">
        <v>0</v>
      </c>
      <c r="K1741">
        <v>0</v>
      </c>
      <c r="L1741">
        <v>0</v>
      </c>
    </row>
    <row r="1742" spans="1:12" x14ac:dyDescent="0.35">
      <c r="A1742" s="3">
        <v>202206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35">
      <c r="A1743" s="3">
        <v>202207</v>
      </c>
      <c r="B1743">
        <v>0</v>
      </c>
      <c r="C1743">
        <v>0</v>
      </c>
      <c r="D1743">
        <v>0</v>
      </c>
      <c r="E1743">
        <v>0</v>
      </c>
      <c r="F1743">
        <v>1.678828</v>
      </c>
      <c r="G1743">
        <v>2.3427E-2</v>
      </c>
      <c r="H1743">
        <v>2.3427E-2</v>
      </c>
      <c r="I1743">
        <v>0</v>
      </c>
      <c r="J1743">
        <v>0</v>
      </c>
      <c r="K1743">
        <v>0</v>
      </c>
      <c r="L1743">
        <v>0</v>
      </c>
    </row>
    <row r="1744" spans="1:12" x14ac:dyDescent="0.35">
      <c r="A1744" s="3">
        <v>202208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35">
      <c r="A1745" s="3">
        <v>202209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35">
      <c r="A1746" s="3">
        <v>202210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0.37601099999999998</v>
      </c>
      <c r="H1746">
        <v>0.37601099999999998</v>
      </c>
      <c r="I1746">
        <v>0</v>
      </c>
      <c r="J1746">
        <v>0</v>
      </c>
      <c r="K1746">
        <v>0</v>
      </c>
      <c r="L1746">
        <v>0</v>
      </c>
    </row>
    <row r="1747" spans="1:12" x14ac:dyDescent="0.35">
      <c r="A1747" s="3">
        <v>202211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0.57042199999999998</v>
      </c>
      <c r="H1747">
        <v>0.57042199999999998</v>
      </c>
      <c r="I1747">
        <v>0</v>
      </c>
      <c r="J1747">
        <v>0</v>
      </c>
      <c r="K1747">
        <v>0</v>
      </c>
      <c r="L1747">
        <v>1.917975</v>
      </c>
    </row>
    <row r="1748" spans="1:12" x14ac:dyDescent="0.35">
      <c r="A1748" s="3">
        <v>202212</v>
      </c>
      <c r="B1748">
        <v>238.92470900000001</v>
      </c>
      <c r="C1748">
        <v>238.92470900000001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35">
      <c r="A1749" s="3">
        <v>202301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0.37485499999999999</v>
      </c>
    </row>
    <row r="1750" spans="1:12" x14ac:dyDescent="0.35">
      <c r="A1750" s="3">
        <v>202302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35">
      <c r="A1751" s="3">
        <v>202303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35">
      <c r="A1752" s="3">
        <v>202304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35">
      <c r="A1753" s="3">
        <v>202305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35">
      <c r="A1754" s="3">
        <v>202306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35">
      <c r="A1755" s="3">
        <v>202307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35">
      <c r="A1756" s="3">
        <v>202308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35">
      <c r="A1757" s="3">
        <v>202309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35">
      <c r="A1758" s="3">
        <v>202310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35">
      <c r="A1759" s="3">
        <v>202311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35">
      <c r="A1760" s="3">
        <v>202312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35">
      <c r="A1761" s="3">
        <v>202401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35">
      <c r="A1762" s="3">
        <v>202402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35">
      <c r="A1763" s="3">
        <v>202403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35">
      <c r="A1764" s="3">
        <v>202404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35">
      <c r="A1765" s="3">
        <v>202405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35">
      <c r="A1766" s="3">
        <v>202406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35">
      <c r="A1767" s="3">
        <v>202407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35">
      <c r="A1768" s="3">
        <v>202408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35">
      <c r="A1769" s="3">
        <v>202409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35">
      <c r="A1770" s="3">
        <v>202410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35">
      <c r="A1771" s="3">
        <v>202411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35">
      <c r="A1772" s="3">
        <v>202412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35">
      <c r="A1773" s="3">
        <v>202501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35">
      <c r="A1774" s="3">
        <v>202502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35">
      <c r="A1775" s="3">
        <v>202503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35">
      <c r="A1776" s="3">
        <v>202504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35">
      <c r="A1777" s="3">
        <v>202505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35">
      <c r="A1778" s="3">
        <v>202506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35">
      <c r="A1779" s="3">
        <v>202507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35">
      <c r="A1780" s="2" t="s">
        <v>58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35">
      <c r="A1781" s="3">
        <v>202201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35">
      <c r="A1782" s="3">
        <v>202202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35">
      <c r="A1783" s="3">
        <v>202203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35">
      <c r="A1784" s="3">
        <v>202204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35">
      <c r="A1785" s="3">
        <v>202205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35">
      <c r="A1786" s="3">
        <v>202206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35">
      <c r="A1787" s="3">
        <v>202207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35">
      <c r="A1788" s="3">
        <v>202208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35">
      <c r="A1789" s="3">
        <v>202209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35">
      <c r="A1790" s="3">
        <v>202210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35">
      <c r="A1791" s="3">
        <v>202211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35">
      <c r="A1792" s="3">
        <v>202212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35">
      <c r="A1793" s="3">
        <v>202301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35">
      <c r="A1794" s="3">
        <v>202302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35">
      <c r="A1795" s="3">
        <v>202303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35">
      <c r="A1796" s="3">
        <v>202304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35">
      <c r="A1797" s="3">
        <v>202305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35">
      <c r="A1798" s="3">
        <v>202306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35">
      <c r="A1799" s="3">
        <v>202307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35">
      <c r="A1800" s="3">
        <v>202308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35">
      <c r="A1801" s="3">
        <v>202309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35">
      <c r="A1802" s="3">
        <v>202310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35">
      <c r="A1803" s="3">
        <v>202311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35">
      <c r="A1804" s="3">
        <v>202312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35">
      <c r="A1805" s="3">
        <v>202401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35">
      <c r="A1806" s="3">
        <v>202402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35">
      <c r="A1807" s="3">
        <v>202403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35">
      <c r="A1808" s="3">
        <v>202404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35">
      <c r="A1809" s="3">
        <v>202405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35">
      <c r="A1810" s="3">
        <v>202406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35">
      <c r="A1811" s="3">
        <v>202407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35">
      <c r="A1812" s="3">
        <v>202408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35">
      <c r="A1813" s="3">
        <v>202409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35">
      <c r="A1814" s="3">
        <v>202410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35">
      <c r="A1815" s="3">
        <v>202411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35">
      <c r="A1816" s="3">
        <v>202412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35">
      <c r="A1817" s="3">
        <v>202501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35">
      <c r="A1818" s="3">
        <v>202502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35">
      <c r="A1819" s="3">
        <v>202503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35">
      <c r="A1820" s="3">
        <v>202504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35">
      <c r="A1821" s="3">
        <v>202505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35">
      <c r="A1822" s="3">
        <v>202506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35">
      <c r="A1823" s="3">
        <v>202507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35">
      <c r="A1824" s="2" t="s">
        <v>59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35">
      <c r="A1825" s="3">
        <v>202201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35">
      <c r="A1826" s="3">
        <v>202202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35">
      <c r="A1827" s="3">
        <v>202203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35">
      <c r="A1828" s="3">
        <v>202204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35">
      <c r="A1829" s="3">
        <v>202205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35">
      <c r="A1830" s="3">
        <v>202206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35">
      <c r="A1831" s="3">
        <v>202207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35">
      <c r="A1832" s="3">
        <v>202208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35">
      <c r="A1833" s="3">
        <v>202209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35">
      <c r="A1834" s="3">
        <v>202210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35">
      <c r="A1835" s="3">
        <v>202211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35">
      <c r="A1836" s="3">
        <v>202212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35">
      <c r="A1837" s="3">
        <v>202301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35">
      <c r="A1838" s="3">
        <v>202302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35">
      <c r="A1839" s="3">
        <v>202303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35">
      <c r="A1840" s="3">
        <v>202304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35">
      <c r="A1841" s="3">
        <v>202305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35">
      <c r="A1842" s="3">
        <v>202306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35">
      <c r="A1843" s="3">
        <v>202307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35">
      <c r="A1844" s="3">
        <v>202308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35">
      <c r="A1845" s="3">
        <v>202309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35">
      <c r="A1846" s="3">
        <v>202310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35">
      <c r="A1847" s="3">
        <v>202311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35">
      <c r="A1848" s="3">
        <v>202312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35">
      <c r="A1849" s="3">
        <v>202401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35">
      <c r="A1850" s="3">
        <v>202402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35">
      <c r="A1851" s="3">
        <v>202403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35">
      <c r="A1852" s="3">
        <v>202404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35">
      <c r="A1853" s="3">
        <v>202405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35">
      <c r="A1854" s="3">
        <v>202406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35">
      <c r="A1855" s="3">
        <v>202407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35">
      <c r="A1856" s="3">
        <v>202408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35">
      <c r="A1857" s="3">
        <v>202409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35">
      <c r="A1858" s="3">
        <v>202410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35">
      <c r="A1859" s="3">
        <v>202411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35">
      <c r="A1860" s="3">
        <v>202412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35">
      <c r="A1861" s="3">
        <v>202501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35">
      <c r="A1862" s="3">
        <v>202502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35">
      <c r="A1863" s="3">
        <v>202503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35">
      <c r="A1864" s="3">
        <v>202504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35">
      <c r="A1865" s="3">
        <v>202505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35">
      <c r="A1866" s="3">
        <v>202506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35">
      <c r="A1867" s="3">
        <v>202507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35">
      <c r="A1868" s="2" t="s">
        <v>60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35">
      <c r="A1869" s="3">
        <v>202201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35">
      <c r="A1870" s="3">
        <v>202202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35">
      <c r="A1871" s="3">
        <v>202203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35">
      <c r="A1872" s="3">
        <v>202204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35">
      <c r="A1873" s="3">
        <v>202205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35">
      <c r="A1874" s="3">
        <v>202206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35">
      <c r="A1875" s="3">
        <v>202207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35">
      <c r="A1876" s="3">
        <v>202208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35">
      <c r="A1877" s="3">
        <v>202209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35">
      <c r="A1878" s="3">
        <v>202210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35">
      <c r="A1879" s="3">
        <v>202211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35">
      <c r="A1880" s="3">
        <v>202212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35">
      <c r="A1881" s="3">
        <v>202301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35">
      <c r="A1882" s="3">
        <v>202302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35">
      <c r="A1883" s="3">
        <v>202303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35">
      <c r="A1884" s="3">
        <v>202304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35">
      <c r="A1885" s="3">
        <v>202305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35">
      <c r="A1886" s="3">
        <v>202306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35">
      <c r="A1887" s="3">
        <v>202307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35">
      <c r="A1888" s="3">
        <v>202308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35">
      <c r="A1889" s="3">
        <v>202309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35">
      <c r="A1890" s="3">
        <v>202310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35">
      <c r="A1891" s="3">
        <v>202311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35">
      <c r="A1892" s="3">
        <v>202312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35">
      <c r="A1893" s="3">
        <v>202401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35">
      <c r="A1894" s="3">
        <v>202402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35">
      <c r="A1895" s="3">
        <v>202403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35">
      <c r="A1896" s="3">
        <v>202404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35">
      <c r="A1897" s="3">
        <v>202405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35">
      <c r="A1898" s="3">
        <v>202406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35">
      <c r="A1899" s="3">
        <v>202407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35">
      <c r="A1900" s="3">
        <v>202408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35">
      <c r="A1901" s="3">
        <v>202409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35">
      <c r="A1902" s="3">
        <v>202410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35">
      <c r="A1903" s="3">
        <v>202411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35">
      <c r="A1904" s="3">
        <v>202412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35">
      <c r="A1905" s="3">
        <v>202501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35">
      <c r="A1906" s="3">
        <v>202502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35">
      <c r="A1907" s="3">
        <v>202503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35">
      <c r="A1908" s="3">
        <v>202504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35">
      <c r="A1909" s="3">
        <v>202505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35">
      <c r="A1910" s="3">
        <v>202506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35">
      <c r="A1911" s="3">
        <v>202507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35">
      <c r="A1912" s="2" t="s">
        <v>63</v>
      </c>
      <c r="B1912">
        <v>0.68094900000000003</v>
      </c>
      <c r="C1912">
        <v>0</v>
      </c>
      <c r="D1912">
        <v>0.68094900000000003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35">
      <c r="A1913" s="3">
        <v>202210</v>
      </c>
      <c r="B1913">
        <v>0.46767500000000001</v>
      </c>
      <c r="C1913">
        <v>0</v>
      </c>
      <c r="D1913" s="15">
        <v>0.46767500000000001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35">
      <c r="A1914" s="3">
        <v>202211</v>
      </c>
      <c r="B1914">
        <v>0.21327398</v>
      </c>
      <c r="C1914">
        <v>0</v>
      </c>
      <c r="D1914" s="15">
        <v>0.21327398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35">
      <c r="A1915" s="3">
        <v>202212</v>
      </c>
      <c r="B1915">
        <v>2E-8</v>
      </c>
      <c r="C1915">
        <v>0</v>
      </c>
      <c r="D1915" s="15">
        <v>2E-8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35">
      <c r="A1916" s="3">
        <v>202301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35">
      <c r="A1917" s="3">
        <v>202302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35">
      <c r="A1918" s="3">
        <v>202303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35">
      <c r="A1919" s="3">
        <v>202304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35">
      <c r="A1920" s="3">
        <v>202305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35">
      <c r="A1921" s="3">
        <v>202306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35">
      <c r="A1922" s="3">
        <v>202307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35">
      <c r="A1923" s="3">
        <v>202308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35">
      <c r="A1924" s="3">
        <v>202309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35">
      <c r="A1925" s="3">
        <v>202310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35">
      <c r="A1926" s="3">
        <v>202311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35">
      <c r="A1927" s="3">
        <v>202312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35">
      <c r="A1928" s="3">
        <v>202401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35">
      <c r="A1929" s="3">
        <v>202402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35">
      <c r="A1930" s="3">
        <v>202403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35">
      <c r="A1931" s="3">
        <v>202404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35">
      <c r="A1932" s="3">
        <v>202405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35">
      <c r="A1933" s="3">
        <v>202406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35">
      <c r="A1934" s="3">
        <v>202407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35">
      <c r="A1935" s="3">
        <v>202408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35">
      <c r="A1936" s="3">
        <v>202409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35">
      <c r="A1937" s="3">
        <v>202410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35">
      <c r="A1938" s="3">
        <v>202411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35">
      <c r="A1939" s="3">
        <v>202412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35">
      <c r="A1940" s="3">
        <v>202501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35">
      <c r="A1941" s="3">
        <v>202502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35">
      <c r="A1942" s="3">
        <v>202503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35">
      <c r="A1943" s="3">
        <v>202504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35">
      <c r="A1944" s="3">
        <v>202505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35">
      <c r="A1945" s="3">
        <v>202506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35">
      <c r="A1946" s="3">
        <v>202507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35">
      <c r="A1947" s="2" t="s">
        <v>61</v>
      </c>
      <c r="B1947">
        <v>28.500726</v>
      </c>
      <c r="C1947">
        <v>0</v>
      </c>
      <c r="D1947">
        <v>28.500726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35">
      <c r="A1948" s="3">
        <v>202201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35">
      <c r="A1949" s="3">
        <v>202202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35">
      <c r="A1950" s="3">
        <v>202203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35">
      <c r="A1951" s="3">
        <v>202204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35">
      <c r="A1952" s="3">
        <v>202205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35">
      <c r="A1953" s="3">
        <v>202206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35">
      <c r="A1954" s="3">
        <v>202207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35">
      <c r="A1955" s="3">
        <v>202208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35">
      <c r="A1956" s="3">
        <v>202209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35">
      <c r="A1957" s="3">
        <v>202210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35">
      <c r="A1958" s="3">
        <v>202211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35">
      <c r="A1959" s="3">
        <v>202212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35">
      <c r="A1960" s="3">
        <v>202301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35">
      <c r="A1961" s="3">
        <v>202302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35">
      <c r="A1962" s="3">
        <v>202303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35">
      <c r="A1963" s="3">
        <v>202304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35">
      <c r="A1964" s="3">
        <v>202305</v>
      </c>
      <c r="B1964">
        <v>28.500726</v>
      </c>
      <c r="C1964">
        <v>0</v>
      </c>
      <c r="D1964">
        <v>28.500726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35">
      <c r="A1965" s="3">
        <v>202306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35">
      <c r="A1966" s="3">
        <v>202307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35">
      <c r="A1967" s="3">
        <v>202308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35">
      <c r="A1968" s="3">
        <v>202309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35">
      <c r="A1969" s="3">
        <v>202310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35">
      <c r="A1970" s="3">
        <v>202311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35">
      <c r="A1971" s="3">
        <v>202312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35">
      <c r="A1972" s="3">
        <v>202401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35">
      <c r="A1973" s="3">
        <v>202402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35">
      <c r="A1974" s="3">
        <v>202403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35">
      <c r="A1975" s="3">
        <v>202404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35">
      <c r="A1976" s="3">
        <v>202405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35">
      <c r="A1977" s="3">
        <v>202406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35">
      <c r="A1978" s="3">
        <v>202407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35">
      <c r="A1979" s="3">
        <v>202408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35">
      <c r="A1980" s="3">
        <v>202409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35">
      <c r="A1981" s="3">
        <v>202410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35">
      <c r="A1982" s="3">
        <v>202411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35">
      <c r="A1983" s="3">
        <v>202412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35">
      <c r="A1984" s="3">
        <v>202501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35">
      <c r="A1985" s="3">
        <v>202502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35">
      <c r="A1986" s="3">
        <v>202503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35">
      <c r="A1987" s="3">
        <v>202504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35">
      <c r="A1988" s="3">
        <v>202505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35">
      <c r="A1989" s="3">
        <v>202506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35">
      <c r="A1990" s="3">
        <v>202507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35">
      <c r="A1991" s="2" t="s">
        <v>114</v>
      </c>
      <c r="B1991">
        <v>0</v>
      </c>
      <c r="C1991">
        <v>0</v>
      </c>
      <c r="D1991">
        <v>0</v>
      </c>
      <c r="E1991">
        <v>18.157397449999998</v>
      </c>
      <c r="F1991">
        <v>0</v>
      </c>
      <c r="G1991">
        <v>0</v>
      </c>
      <c r="H1991">
        <v>0</v>
      </c>
      <c r="I1991">
        <v>2.766948E-2</v>
      </c>
      <c r="J1991">
        <v>0</v>
      </c>
      <c r="K1991">
        <v>0.58050461999999992</v>
      </c>
      <c r="L1991">
        <v>1.1609319999999999E-2</v>
      </c>
    </row>
    <row r="1992" spans="1:12" x14ac:dyDescent="0.35">
      <c r="A1992" s="3">
        <v>202401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35">
      <c r="A1993" s="3">
        <v>202402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35">
      <c r="A1994" s="3">
        <v>202403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35">
      <c r="A1995" s="3">
        <v>202404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35">
      <c r="A1996" s="3">
        <v>202405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35">
      <c r="A1997" s="3">
        <v>202406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1.5375E-4</v>
      </c>
      <c r="L1997">
        <v>0</v>
      </c>
    </row>
    <row r="1998" spans="1:12" x14ac:dyDescent="0.35">
      <c r="A1998" s="3">
        <v>202407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35">
      <c r="A1999" s="3">
        <v>202408</v>
      </c>
      <c r="B1999">
        <v>0</v>
      </c>
      <c r="C1999">
        <v>0</v>
      </c>
      <c r="D1999">
        <v>0</v>
      </c>
      <c r="E1999">
        <v>0.10529866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35">
      <c r="A2000" s="3">
        <v>202409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35">
      <c r="A2001" s="3">
        <v>202410</v>
      </c>
      <c r="B2001">
        <v>0</v>
      </c>
      <c r="C2001">
        <v>0</v>
      </c>
      <c r="D2001">
        <v>0</v>
      </c>
      <c r="E2001">
        <v>0.41212451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 x14ac:dyDescent="0.35">
      <c r="A2002" s="3">
        <v>202411</v>
      </c>
      <c r="B2002">
        <v>0</v>
      </c>
      <c r="C2002">
        <v>0</v>
      </c>
      <c r="D2002">
        <v>0</v>
      </c>
      <c r="E2002">
        <v>0.37138003999999997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0.19188986999999999</v>
      </c>
      <c r="L2002">
        <v>0</v>
      </c>
    </row>
    <row r="2003" spans="1:12" x14ac:dyDescent="0.35">
      <c r="A2003" s="3">
        <v>202412</v>
      </c>
      <c r="B2003">
        <v>0</v>
      </c>
      <c r="C2003">
        <v>0</v>
      </c>
      <c r="D2003">
        <v>0</v>
      </c>
      <c r="E2003">
        <v>1.7972241100000002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2.9234259999999998E-2</v>
      </c>
      <c r="L2003">
        <v>0</v>
      </c>
    </row>
    <row r="2004" spans="1:12" x14ac:dyDescent="0.35">
      <c r="A2004" s="3">
        <v>202501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2.672453E-2</v>
      </c>
      <c r="J2004">
        <v>0</v>
      </c>
      <c r="K2004">
        <v>0</v>
      </c>
      <c r="L2004">
        <v>0</v>
      </c>
    </row>
    <row r="2005" spans="1:12" x14ac:dyDescent="0.35">
      <c r="A2005" s="3">
        <v>202502</v>
      </c>
      <c r="B2005">
        <v>0</v>
      </c>
      <c r="C2005">
        <v>0</v>
      </c>
      <c r="D2005">
        <v>0</v>
      </c>
      <c r="E2005">
        <v>3.5431690299999996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1.1609319999999999E-2</v>
      </c>
    </row>
    <row r="2006" spans="1:12" x14ac:dyDescent="0.35">
      <c r="A2006" s="3">
        <v>202503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35">
      <c r="A2007" s="3">
        <v>202504</v>
      </c>
      <c r="B2007">
        <v>0</v>
      </c>
      <c r="C2007">
        <v>0</v>
      </c>
      <c r="D2007">
        <v>0</v>
      </c>
      <c r="E2007">
        <v>3.82760962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6.2167779999999999E-2</v>
      </c>
      <c r="L2007">
        <v>0</v>
      </c>
    </row>
    <row r="2008" spans="1:12" x14ac:dyDescent="0.35">
      <c r="A2008" s="3">
        <v>202505</v>
      </c>
      <c r="B2008">
        <v>0</v>
      </c>
      <c r="C2008">
        <v>0</v>
      </c>
      <c r="D2008">
        <v>0</v>
      </c>
      <c r="E2008">
        <v>3.0150372499999998</v>
      </c>
      <c r="F2008">
        <v>0</v>
      </c>
      <c r="G2008">
        <v>0</v>
      </c>
      <c r="H2008">
        <v>0</v>
      </c>
      <c r="I2008">
        <v>9.4495000000000007E-4</v>
      </c>
      <c r="J2008">
        <v>0</v>
      </c>
      <c r="K2008">
        <v>0</v>
      </c>
      <c r="L2008">
        <v>0</v>
      </c>
    </row>
    <row r="2009" spans="1:12" x14ac:dyDescent="0.35">
      <c r="A2009" s="3">
        <v>202506</v>
      </c>
      <c r="B2009">
        <v>0</v>
      </c>
      <c r="C2009">
        <v>0</v>
      </c>
      <c r="D2009">
        <v>0</v>
      </c>
      <c r="E2009">
        <v>2.1851011099999997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1.240219E-2</v>
      </c>
      <c r="L2009">
        <v>0</v>
      </c>
    </row>
    <row r="2010" spans="1:12" x14ac:dyDescent="0.35">
      <c r="A2010" s="3">
        <v>202507</v>
      </c>
      <c r="B2010">
        <v>0</v>
      </c>
      <c r="C2010">
        <v>0</v>
      </c>
      <c r="D2010">
        <v>0</v>
      </c>
      <c r="E2010">
        <v>2.9004531200000003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0.28465677</v>
      </c>
      <c r="L2010">
        <v>0</v>
      </c>
    </row>
    <row r="2011" spans="1:12" x14ac:dyDescent="0.35">
      <c r="A2011" s="2" t="s">
        <v>121</v>
      </c>
      <c r="B2011">
        <v>134254.22391469992</v>
      </c>
      <c r="C2011">
        <v>174903.71165204019</v>
      </c>
      <c r="D2011">
        <v>2931.0750960999985</v>
      </c>
      <c r="E2011">
        <v>682435.19501031982</v>
      </c>
      <c r="F2011">
        <v>55595.748372859882</v>
      </c>
      <c r="G2011">
        <v>3568.0465104599962</v>
      </c>
      <c r="H2011">
        <v>3325.6349959599966</v>
      </c>
      <c r="I2011">
        <v>879.27138624999998</v>
      </c>
      <c r="J2011">
        <v>526.80995508000001</v>
      </c>
      <c r="K2011">
        <v>8583.5544707300069</v>
      </c>
      <c r="L2011">
        <v>4734.8482377200044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A2F7-B54E-6647-AAE1-7A1A8AB54A42}">
  <dimension ref="A1:U1961"/>
  <sheetViews>
    <sheetView workbookViewId="0">
      <pane xSplit="1" ySplit="1" topLeftCell="L1944" activePane="bottomRight" state="frozen"/>
      <selection pane="topRight" activeCell="B1" sqref="B1"/>
      <selection pane="bottomLeft" activeCell="A2" sqref="A2"/>
      <selection pane="bottomRight" activeCell="V1956" sqref="V1956"/>
    </sheetView>
  </sheetViews>
  <sheetFormatPr baseColWidth="10" defaultColWidth="10.58203125" defaultRowHeight="15.5" x14ac:dyDescent="0.35"/>
  <cols>
    <col min="3" max="3" width="11.5" customWidth="1"/>
    <col min="5" max="5" width="10.58203125" style="11"/>
    <col min="6" max="6" width="21.25" bestFit="1" customWidth="1"/>
    <col min="12" max="12" width="15.83203125" customWidth="1"/>
    <col min="16" max="16" width="21.58203125" customWidth="1"/>
    <col min="20" max="20" width="13.83203125" customWidth="1"/>
    <col min="21" max="21" width="17.75" customWidth="1"/>
  </cols>
  <sheetData>
    <row r="1" spans="1:21" x14ac:dyDescent="0.35">
      <c r="A1" t="s">
        <v>0</v>
      </c>
      <c r="B1" t="s">
        <v>1</v>
      </c>
      <c r="C1" s="5" t="s">
        <v>2</v>
      </c>
      <c r="D1" t="s">
        <v>3</v>
      </c>
      <c r="E1" s="1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93</v>
      </c>
    </row>
    <row r="2" spans="1:21" x14ac:dyDescent="0.35">
      <c r="A2" t="str">
        <f>LEFT(D2,4)</f>
        <v>2022</v>
      </c>
      <c r="B2" t="str">
        <f>RIGHT(D2,2)</f>
        <v>01</v>
      </c>
      <c r="C2" t="s">
        <v>18</v>
      </c>
      <c r="D2">
        <v>202201</v>
      </c>
      <c r="E2" s="11">
        <v>5</v>
      </c>
      <c r="F2">
        <v>1296.7465500899998</v>
      </c>
      <c r="G2">
        <v>1293.8129218399999</v>
      </c>
      <c r="H2">
        <v>2.9336282499999999</v>
      </c>
      <c r="I2">
        <v>4770.9979499900001</v>
      </c>
      <c r="J2">
        <v>639.11212650999994</v>
      </c>
      <c r="K2">
        <v>41.669198000000002</v>
      </c>
      <c r="L2">
        <v>0.27071600000000001</v>
      </c>
      <c r="M2">
        <v>0.27071600000000001</v>
      </c>
      <c r="N2">
        <v>0</v>
      </c>
      <c r="O2">
        <v>0</v>
      </c>
      <c r="P2">
        <v>34.137324</v>
      </c>
      <c r="Q2">
        <v>33.503212449999999</v>
      </c>
      <c r="R2">
        <v>0</v>
      </c>
      <c r="T2" t="str">
        <f>+E2&amp;D2</f>
        <v>5202201</v>
      </c>
      <c r="U2">
        <f>+F2+I2+J2</f>
        <v>6706.8566265899999</v>
      </c>
    </row>
    <row r="3" spans="1:21" x14ac:dyDescent="0.35">
      <c r="A3" t="str">
        <f t="shared" ref="A3:A66" si="0">LEFT(D3,4)</f>
        <v>2022</v>
      </c>
      <c r="B3" t="str">
        <f t="shared" ref="B3:B66" si="1">RIGHT(D3,2)</f>
        <v>01</v>
      </c>
      <c r="C3" t="s">
        <v>18</v>
      </c>
      <c r="D3">
        <v>202201</v>
      </c>
      <c r="E3" s="11" t="s">
        <v>19</v>
      </c>
      <c r="F3">
        <v>391.30911300000002</v>
      </c>
      <c r="G3">
        <v>391.30911300000002</v>
      </c>
      <c r="H3">
        <v>0</v>
      </c>
      <c r="I3">
        <v>352.21699799999999</v>
      </c>
      <c r="J3">
        <v>95.253043000000005</v>
      </c>
      <c r="K3">
        <v>41.636284000000003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T3" t="str">
        <f t="shared" ref="T3:T66" si="2">+E3&amp;D3</f>
        <v>040002202201</v>
      </c>
      <c r="U3">
        <f t="shared" ref="U3:U66" si="3">+F3+I3+J3</f>
        <v>838.77915400000006</v>
      </c>
    </row>
    <row r="4" spans="1:21" x14ac:dyDescent="0.35">
      <c r="A4" t="str">
        <f t="shared" si="0"/>
        <v>2022</v>
      </c>
      <c r="B4" t="str">
        <f t="shared" si="1"/>
        <v>01</v>
      </c>
      <c r="C4" t="s">
        <v>18</v>
      </c>
      <c r="D4">
        <v>202201</v>
      </c>
      <c r="E4" s="11" t="s">
        <v>20</v>
      </c>
      <c r="F4">
        <v>182.59547699999999</v>
      </c>
      <c r="G4">
        <v>182.59547699999999</v>
      </c>
      <c r="H4">
        <v>0</v>
      </c>
      <c r="I4">
        <v>1829.9934531099998</v>
      </c>
      <c r="J4">
        <v>203.47405232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T4" t="str">
        <f t="shared" si="2"/>
        <v>040012202201</v>
      </c>
      <c r="U4">
        <f t="shared" si="3"/>
        <v>2216.0629824299999</v>
      </c>
    </row>
    <row r="5" spans="1:21" x14ac:dyDescent="0.35">
      <c r="A5" t="str">
        <f t="shared" si="0"/>
        <v>2022</v>
      </c>
      <c r="B5" t="str">
        <f t="shared" si="1"/>
        <v>01</v>
      </c>
      <c r="C5" t="s">
        <v>18</v>
      </c>
      <c r="D5">
        <v>202201</v>
      </c>
      <c r="E5" s="11" t="s">
        <v>21</v>
      </c>
      <c r="F5">
        <v>366.50569300000001</v>
      </c>
      <c r="G5">
        <v>366.50569300000001</v>
      </c>
      <c r="H5">
        <v>0</v>
      </c>
      <c r="I5">
        <v>297.34971999999999</v>
      </c>
      <c r="J5">
        <v>105.822627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 t="str">
        <f t="shared" si="2"/>
        <v>040014202201</v>
      </c>
      <c r="U5">
        <f t="shared" si="3"/>
        <v>769.67804000000001</v>
      </c>
    </row>
    <row r="6" spans="1:21" x14ac:dyDescent="0.35">
      <c r="A6" t="str">
        <f t="shared" si="0"/>
        <v>2022</v>
      </c>
      <c r="B6" t="str">
        <f t="shared" si="1"/>
        <v>01</v>
      </c>
      <c r="C6" t="s">
        <v>18</v>
      </c>
      <c r="D6">
        <v>202201</v>
      </c>
      <c r="E6" s="11" t="s">
        <v>22</v>
      </c>
      <c r="F6">
        <v>117.385671</v>
      </c>
      <c r="G6">
        <v>117.385671</v>
      </c>
      <c r="H6">
        <v>0</v>
      </c>
      <c r="I6">
        <v>555.77741000000003</v>
      </c>
      <c r="J6">
        <v>8.9664249999999992</v>
      </c>
      <c r="K6">
        <v>0</v>
      </c>
      <c r="L6">
        <v>0</v>
      </c>
      <c r="M6">
        <v>0</v>
      </c>
      <c r="N6">
        <v>0</v>
      </c>
      <c r="O6">
        <v>0</v>
      </c>
      <c r="P6">
        <v>20.442299999999999</v>
      </c>
      <c r="Q6">
        <v>13.980314999999999</v>
      </c>
      <c r="R6">
        <v>0</v>
      </c>
      <c r="T6" t="str">
        <f t="shared" si="2"/>
        <v>040021202201</v>
      </c>
      <c r="U6">
        <f t="shared" si="3"/>
        <v>682.12950599999999</v>
      </c>
    </row>
    <row r="7" spans="1:21" x14ac:dyDescent="0.35">
      <c r="A7" t="str">
        <f t="shared" si="0"/>
        <v>2022</v>
      </c>
      <c r="B7" t="str">
        <f t="shared" si="1"/>
        <v>01</v>
      </c>
      <c r="C7" t="s">
        <v>18</v>
      </c>
      <c r="D7">
        <v>202201</v>
      </c>
      <c r="E7" s="11" t="s">
        <v>23</v>
      </c>
      <c r="F7">
        <v>3.55618984</v>
      </c>
      <c r="G7">
        <v>3.55618984</v>
      </c>
      <c r="H7">
        <v>0</v>
      </c>
      <c r="I7">
        <v>14.317032939999999</v>
      </c>
      <c r="J7">
        <v>7.0067392800000006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0.46812545</v>
      </c>
      <c r="R7">
        <v>0</v>
      </c>
      <c r="T7" t="str">
        <f t="shared" si="2"/>
        <v>040030202201</v>
      </c>
      <c r="U7">
        <f t="shared" si="3"/>
        <v>24.87996206</v>
      </c>
    </row>
    <row r="8" spans="1:21" x14ac:dyDescent="0.35">
      <c r="A8" t="str">
        <f t="shared" si="0"/>
        <v>2022</v>
      </c>
      <c r="B8" t="str">
        <f t="shared" si="1"/>
        <v>01</v>
      </c>
      <c r="C8" t="s">
        <v>18</v>
      </c>
      <c r="D8">
        <v>202201</v>
      </c>
      <c r="E8" s="11" t="s">
        <v>24</v>
      </c>
      <c r="F8">
        <v>0</v>
      </c>
      <c r="G8">
        <v>0</v>
      </c>
      <c r="H8">
        <v>0</v>
      </c>
      <c r="I8">
        <v>5.597728</v>
      </c>
      <c r="J8">
        <v>6.2279000000000001E-2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 t="str">
        <f t="shared" si="2"/>
        <v>040036202201</v>
      </c>
      <c r="U8">
        <f t="shared" si="3"/>
        <v>5.6600070000000002</v>
      </c>
    </row>
    <row r="9" spans="1:21" x14ac:dyDescent="0.35">
      <c r="A9" t="str">
        <f t="shared" si="0"/>
        <v>2022</v>
      </c>
      <c r="B9" t="str">
        <f t="shared" si="1"/>
        <v>01</v>
      </c>
      <c r="C9" t="s">
        <v>18</v>
      </c>
      <c r="D9">
        <v>202201</v>
      </c>
      <c r="E9" s="11" t="s">
        <v>25</v>
      </c>
      <c r="F9">
        <v>0.457148</v>
      </c>
      <c r="G9">
        <v>0.457148</v>
      </c>
      <c r="H9">
        <v>0</v>
      </c>
      <c r="I9">
        <v>0.164079</v>
      </c>
      <c r="J9">
        <v>0</v>
      </c>
      <c r="K9">
        <v>3.2913999999999999E-2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 t="str">
        <f t="shared" si="2"/>
        <v>040042202201</v>
      </c>
      <c r="U9">
        <f t="shared" si="3"/>
        <v>0.62122699999999997</v>
      </c>
    </row>
    <row r="10" spans="1:21" x14ac:dyDescent="0.35">
      <c r="A10" t="str">
        <f t="shared" si="0"/>
        <v>2022</v>
      </c>
      <c r="B10" t="str">
        <f t="shared" si="1"/>
        <v>01</v>
      </c>
      <c r="C10" t="s">
        <v>18</v>
      </c>
      <c r="D10">
        <v>202201</v>
      </c>
      <c r="E10" s="11" t="s">
        <v>26</v>
      </c>
      <c r="F10">
        <v>6.8139139999999996</v>
      </c>
      <c r="G10">
        <v>6.8139139999999996</v>
      </c>
      <c r="H10">
        <v>0</v>
      </c>
      <c r="I10">
        <v>152.94596100000001</v>
      </c>
      <c r="J10">
        <v>0</v>
      </c>
      <c r="K10">
        <v>0</v>
      </c>
      <c r="L10">
        <v>0.27071600000000001</v>
      </c>
      <c r="M10">
        <v>0.27071600000000001</v>
      </c>
      <c r="N10">
        <v>0</v>
      </c>
      <c r="O10">
        <v>0</v>
      </c>
      <c r="P10">
        <v>12.688641000000001</v>
      </c>
      <c r="Q10">
        <v>19.054772</v>
      </c>
      <c r="R10">
        <v>0</v>
      </c>
      <c r="T10" t="str">
        <f t="shared" si="2"/>
        <v>040044202201</v>
      </c>
      <c r="U10">
        <f t="shared" si="3"/>
        <v>159.75987500000002</v>
      </c>
    </row>
    <row r="11" spans="1:21" x14ac:dyDescent="0.35">
      <c r="A11" t="str">
        <f t="shared" si="0"/>
        <v>2022</v>
      </c>
      <c r="B11" t="str">
        <f t="shared" si="1"/>
        <v>01</v>
      </c>
      <c r="C11" t="s">
        <v>18</v>
      </c>
      <c r="D11">
        <v>202201</v>
      </c>
      <c r="E11" s="11" t="s">
        <v>27</v>
      </c>
      <c r="F11">
        <v>10.615907</v>
      </c>
      <c r="G11">
        <v>10.615907</v>
      </c>
      <c r="H11">
        <v>0</v>
      </c>
      <c r="I11">
        <v>13.335493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 t="str">
        <f t="shared" si="2"/>
        <v>040058202201</v>
      </c>
      <c r="U11">
        <f t="shared" si="3"/>
        <v>23.9514</v>
      </c>
    </row>
    <row r="12" spans="1:21" x14ac:dyDescent="0.35">
      <c r="A12" t="str">
        <f t="shared" si="0"/>
        <v>2022</v>
      </c>
      <c r="B12" t="str">
        <f t="shared" si="1"/>
        <v>01</v>
      </c>
      <c r="C12" t="s">
        <v>18</v>
      </c>
      <c r="D12">
        <v>202201</v>
      </c>
      <c r="E12" s="11" t="s">
        <v>28</v>
      </c>
      <c r="F12">
        <v>0</v>
      </c>
      <c r="G12">
        <v>0</v>
      </c>
      <c r="H12">
        <v>0</v>
      </c>
      <c r="I12">
        <v>28.876581999999999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T12" t="str">
        <f t="shared" si="2"/>
        <v>040059202201</v>
      </c>
      <c r="U12">
        <f t="shared" si="3"/>
        <v>28.876581999999999</v>
      </c>
    </row>
    <row r="13" spans="1:21" x14ac:dyDescent="0.35">
      <c r="A13" t="str">
        <f t="shared" si="0"/>
        <v>2022</v>
      </c>
      <c r="B13" t="str">
        <f t="shared" si="1"/>
        <v>01</v>
      </c>
      <c r="C13" t="s">
        <v>18</v>
      </c>
      <c r="D13">
        <v>202201</v>
      </c>
      <c r="E13" s="11" t="s">
        <v>29</v>
      </c>
      <c r="F13">
        <v>6.9119789999999997</v>
      </c>
      <c r="G13">
        <v>6.9119789999999997</v>
      </c>
      <c r="H13">
        <v>0</v>
      </c>
      <c r="I13">
        <v>55.651857999999997</v>
      </c>
      <c r="J13">
        <v>0.13624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 t="str">
        <f t="shared" si="2"/>
        <v>040062202201</v>
      </c>
      <c r="U13">
        <f t="shared" si="3"/>
        <v>62.700077</v>
      </c>
    </row>
    <row r="14" spans="1:21" x14ac:dyDescent="0.35">
      <c r="A14" t="str">
        <f t="shared" si="0"/>
        <v>2022</v>
      </c>
      <c r="B14" t="str">
        <f t="shared" si="1"/>
        <v>01</v>
      </c>
      <c r="C14" t="s">
        <v>18</v>
      </c>
      <c r="D14">
        <v>202201</v>
      </c>
      <c r="E14" s="11" t="s">
        <v>30</v>
      </c>
      <c r="F14">
        <v>202.98479850000001</v>
      </c>
      <c r="G14">
        <v>202.98479850000001</v>
      </c>
      <c r="H14">
        <v>0</v>
      </c>
      <c r="I14">
        <v>758.95794341999999</v>
      </c>
      <c r="J14">
        <v>217.54231605000001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T14" t="str">
        <f t="shared" si="2"/>
        <v>040072202201</v>
      </c>
      <c r="U14">
        <f t="shared" si="3"/>
        <v>1179.4850579700001</v>
      </c>
    </row>
    <row r="15" spans="1:21" x14ac:dyDescent="0.35">
      <c r="A15" t="str">
        <f t="shared" si="0"/>
        <v>2022</v>
      </c>
      <c r="B15" t="str">
        <f t="shared" si="1"/>
        <v>01</v>
      </c>
      <c r="C15" t="s">
        <v>18</v>
      </c>
      <c r="D15">
        <v>202201</v>
      </c>
      <c r="E15" s="11" t="s">
        <v>31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T15" t="str">
        <f t="shared" si="2"/>
        <v>040106202201</v>
      </c>
      <c r="U15">
        <f t="shared" si="3"/>
        <v>0</v>
      </c>
    </row>
    <row r="16" spans="1:21" x14ac:dyDescent="0.35">
      <c r="A16" t="str">
        <f t="shared" si="0"/>
        <v>2022</v>
      </c>
      <c r="B16" t="str">
        <f t="shared" si="1"/>
        <v>01</v>
      </c>
      <c r="C16" t="s">
        <v>18</v>
      </c>
      <c r="D16">
        <v>202201</v>
      </c>
      <c r="E16" s="11" t="s">
        <v>32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 t="str">
        <f t="shared" si="2"/>
        <v>040108202201</v>
      </c>
      <c r="U16">
        <f t="shared" si="3"/>
        <v>0</v>
      </c>
    </row>
    <row r="17" spans="1:21" x14ac:dyDescent="0.35">
      <c r="A17" t="str">
        <f t="shared" si="0"/>
        <v>2022</v>
      </c>
      <c r="B17" t="str">
        <f t="shared" si="1"/>
        <v>01</v>
      </c>
      <c r="C17" t="s">
        <v>18</v>
      </c>
      <c r="D17">
        <v>202201</v>
      </c>
      <c r="E17" s="11" t="s">
        <v>33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 t="str">
        <f t="shared" si="2"/>
        <v>040110202201</v>
      </c>
      <c r="U17">
        <f t="shared" si="3"/>
        <v>0</v>
      </c>
    </row>
    <row r="18" spans="1:21" x14ac:dyDescent="0.35">
      <c r="A18" t="str">
        <f t="shared" si="0"/>
        <v>2022</v>
      </c>
      <c r="B18" t="str">
        <f t="shared" si="1"/>
        <v>01</v>
      </c>
      <c r="C18" t="s">
        <v>18</v>
      </c>
      <c r="D18">
        <v>202201</v>
      </c>
      <c r="E18" s="11" t="s">
        <v>34</v>
      </c>
      <c r="F18">
        <v>2.3732070000000001E-2</v>
      </c>
      <c r="G18">
        <v>2.3732070000000001E-2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T18" t="str">
        <f t="shared" si="2"/>
        <v>040112202201</v>
      </c>
      <c r="U18">
        <f t="shared" si="3"/>
        <v>2.3732070000000001E-2</v>
      </c>
    </row>
    <row r="19" spans="1:21" x14ac:dyDescent="0.35">
      <c r="A19" t="str">
        <f t="shared" si="0"/>
        <v>2022</v>
      </c>
      <c r="B19" t="str">
        <f t="shared" si="1"/>
        <v>01</v>
      </c>
      <c r="C19" t="s">
        <v>18</v>
      </c>
      <c r="D19">
        <v>202201</v>
      </c>
      <c r="E19" s="11" t="s">
        <v>35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 t="str">
        <f t="shared" si="2"/>
        <v>040113202201</v>
      </c>
      <c r="U19">
        <f t="shared" si="3"/>
        <v>0</v>
      </c>
    </row>
    <row r="20" spans="1:21" x14ac:dyDescent="0.35">
      <c r="A20" t="str">
        <f t="shared" si="0"/>
        <v>2022</v>
      </c>
      <c r="B20" t="str">
        <f t="shared" si="1"/>
        <v>01</v>
      </c>
      <c r="C20" t="s">
        <v>18</v>
      </c>
      <c r="D20">
        <v>202201</v>
      </c>
      <c r="E20" s="11" t="s">
        <v>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 t="str">
        <f t="shared" si="2"/>
        <v>040126202201</v>
      </c>
      <c r="U20">
        <f t="shared" si="3"/>
        <v>0</v>
      </c>
    </row>
    <row r="21" spans="1:21" x14ac:dyDescent="0.35">
      <c r="A21" t="str">
        <f t="shared" si="0"/>
        <v>2022</v>
      </c>
      <c r="B21" t="str">
        <f t="shared" si="1"/>
        <v>01</v>
      </c>
      <c r="C21" t="s">
        <v>18</v>
      </c>
      <c r="D21">
        <v>202201</v>
      </c>
      <c r="E21" s="11" t="s">
        <v>37</v>
      </c>
      <c r="F21">
        <v>0</v>
      </c>
      <c r="G21">
        <v>0</v>
      </c>
      <c r="H21">
        <v>0</v>
      </c>
      <c r="I21">
        <v>542.06877173999999</v>
      </c>
      <c r="J21">
        <v>2.248725E-2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T21" t="str">
        <f t="shared" si="2"/>
        <v>040127202201</v>
      </c>
      <c r="U21">
        <f t="shared" si="3"/>
        <v>542.09125899000003</v>
      </c>
    </row>
    <row r="22" spans="1:21" x14ac:dyDescent="0.35">
      <c r="A22" t="str">
        <f t="shared" si="0"/>
        <v>2022</v>
      </c>
      <c r="B22" t="str">
        <f t="shared" si="1"/>
        <v>01</v>
      </c>
      <c r="C22" t="s">
        <v>18</v>
      </c>
      <c r="D22">
        <v>202201</v>
      </c>
      <c r="E22" s="11" t="s">
        <v>38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 t="str">
        <f t="shared" si="2"/>
        <v>040128202201</v>
      </c>
      <c r="U22">
        <f t="shared" si="3"/>
        <v>0</v>
      </c>
    </row>
    <row r="23" spans="1:21" x14ac:dyDescent="0.35">
      <c r="A23" t="str">
        <f t="shared" si="0"/>
        <v>2022</v>
      </c>
      <c r="B23" t="str">
        <f t="shared" si="1"/>
        <v>01</v>
      </c>
      <c r="C23" t="s">
        <v>18</v>
      </c>
      <c r="D23">
        <v>202201</v>
      </c>
      <c r="E23" s="11" t="s">
        <v>39</v>
      </c>
      <c r="F23">
        <v>0</v>
      </c>
      <c r="G23">
        <v>0</v>
      </c>
      <c r="H23">
        <v>0</v>
      </c>
      <c r="I23">
        <v>102.010527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0.17432700000000001</v>
      </c>
      <c r="Q23">
        <v>0</v>
      </c>
      <c r="R23">
        <v>0</v>
      </c>
      <c r="T23" t="str">
        <f t="shared" si="2"/>
        <v>040130202201</v>
      </c>
      <c r="U23">
        <f t="shared" si="3"/>
        <v>102.010527</v>
      </c>
    </row>
    <row r="24" spans="1:21" x14ac:dyDescent="0.35">
      <c r="A24" t="str">
        <f t="shared" si="0"/>
        <v>2022</v>
      </c>
      <c r="B24" t="str">
        <f t="shared" si="1"/>
        <v>01</v>
      </c>
      <c r="C24" t="s">
        <v>18</v>
      </c>
      <c r="D24">
        <v>202201</v>
      </c>
      <c r="E24" s="11" t="s">
        <v>40</v>
      </c>
      <c r="F24">
        <v>2.4981369999999998</v>
      </c>
      <c r="G24">
        <v>2.4981369999999998</v>
      </c>
      <c r="H24">
        <v>0</v>
      </c>
      <c r="I24">
        <v>0.31575599999999998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T24" t="str">
        <f t="shared" si="2"/>
        <v>040132202201</v>
      </c>
      <c r="U24">
        <f t="shared" si="3"/>
        <v>2.8138929999999998</v>
      </c>
    </row>
    <row r="25" spans="1:21" x14ac:dyDescent="0.35">
      <c r="A25" t="str">
        <f t="shared" si="0"/>
        <v>2022</v>
      </c>
      <c r="B25" t="str">
        <f t="shared" si="1"/>
        <v>01</v>
      </c>
      <c r="C25" t="s">
        <v>18</v>
      </c>
      <c r="D25">
        <v>202201</v>
      </c>
      <c r="E25" s="11" t="s">
        <v>41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T25" t="str">
        <f t="shared" si="2"/>
        <v>040133202201</v>
      </c>
      <c r="U25">
        <f t="shared" si="3"/>
        <v>0</v>
      </c>
    </row>
    <row r="26" spans="1:21" x14ac:dyDescent="0.35">
      <c r="A26" t="str">
        <f t="shared" si="0"/>
        <v>2022</v>
      </c>
      <c r="B26" t="str">
        <f t="shared" si="1"/>
        <v>01</v>
      </c>
      <c r="C26" t="s">
        <v>18</v>
      </c>
      <c r="D26">
        <v>202201</v>
      </c>
      <c r="E26" s="11" t="s">
        <v>42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T26" t="str">
        <f t="shared" si="2"/>
        <v>040136202201</v>
      </c>
      <c r="U26">
        <f t="shared" si="3"/>
        <v>0</v>
      </c>
    </row>
    <row r="27" spans="1:21" x14ac:dyDescent="0.35">
      <c r="A27" t="str">
        <f t="shared" si="0"/>
        <v>2022</v>
      </c>
      <c r="B27" t="str">
        <f t="shared" si="1"/>
        <v>01</v>
      </c>
      <c r="C27" t="s">
        <v>18</v>
      </c>
      <c r="D27">
        <v>202201</v>
      </c>
      <c r="E27" s="11" t="s">
        <v>43</v>
      </c>
      <c r="F27">
        <v>0</v>
      </c>
      <c r="G27">
        <v>0</v>
      </c>
      <c r="H27">
        <v>0</v>
      </c>
      <c r="I27">
        <v>0.48813148000000001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T27" t="str">
        <f t="shared" si="2"/>
        <v>040137202201</v>
      </c>
      <c r="U27">
        <f t="shared" si="3"/>
        <v>0.48813148000000001</v>
      </c>
    </row>
    <row r="28" spans="1:21" x14ac:dyDescent="0.35">
      <c r="A28" t="str">
        <f t="shared" si="0"/>
        <v>2022</v>
      </c>
      <c r="B28" t="str">
        <f t="shared" si="1"/>
        <v>01</v>
      </c>
      <c r="C28" t="s">
        <v>18</v>
      </c>
      <c r="D28">
        <v>202201</v>
      </c>
      <c r="E28" s="11" t="s">
        <v>44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T28" t="str">
        <f t="shared" si="2"/>
        <v>040138202201</v>
      </c>
      <c r="U28">
        <f t="shared" si="3"/>
        <v>0</v>
      </c>
    </row>
    <row r="29" spans="1:21" x14ac:dyDescent="0.35">
      <c r="A29" t="str">
        <f t="shared" si="0"/>
        <v>2022</v>
      </c>
      <c r="B29" t="str">
        <f t="shared" si="1"/>
        <v>01</v>
      </c>
      <c r="C29" t="s">
        <v>18</v>
      </c>
      <c r="D29">
        <v>202201</v>
      </c>
      <c r="E29" s="11" t="s">
        <v>45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T29" t="str">
        <f t="shared" si="2"/>
        <v>040139202201</v>
      </c>
      <c r="U29">
        <f t="shared" si="3"/>
        <v>0</v>
      </c>
    </row>
    <row r="30" spans="1:21" x14ac:dyDescent="0.35">
      <c r="A30" t="str">
        <f t="shared" si="0"/>
        <v>2022</v>
      </c>
      <c r="B30" t="str">
        <f t="shared" si="1"/>
        <v>01</v>
      </c>
      <c r="C30" t="s">
        <v>18</v>
      </c>
      <c r="D30">
        <v>202201</v>
      </c>
      <c r="E30" s="11" t="s">
        <v>46</v>
      </c>
      <c r="F30">
        <v>0</v>
      </c>
      <c r="G30">
        <v>0</v>
      </c>
      <c r="H30">
        <v>0</v>
      </c>
      <c r="I30">
        <v>20.040973000000001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 t="str">
        <f t="shared" si="2"/>
        <v>040140202201</v>
      </c>
      <c r="U30">
        <f t="shared" si="3"/>
        <v>20.040973000000001</v>
      </c>
    </row>
    <row r="31" spans="1:21" x14ac:dyDescent="0.35">
      <c r="A31" t="str">
        <f t="shared" si="0"/>
        <v>2022</v>
      </c>
      <c r="B31" t="str">
        <f t="shared" si="1"/>
        <v>01</v>
      </c>
      <c r="C31" t="s">
        <v>18</v>
      </c>
      <c r="D31">
        <v>202201</v>
      </c>
      <c r="E31" s="11" t="s">
        <v>47</v>
      </c>
      <c r="F31">
        <v>0</v>
      </c>
      <c r="G31">
        <v>0</v>
      </c>
      <c r="H31">
        <v>0</v>
      </c>
      <c r="I31">
        <v>0.65130999999999994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T31" t="str">
        <f t="shared" si="2"/>
        <v>040141202201</v>
      </c>
      <c r="U31">
        <f t="shared" si="3"/>
        <v>0.65130999999999994</v>
      </c>
    </row>
    <row r="32" spans="1:21" x14ac:dyDescent="0.35">
      <c r="A32" t="str">
        <f t="shared" si="0"/>
        <v>2022</v>
      </c>
      <c r="B32" t="str">
        <f t="shared" si="1"/>
        <v>01</v>
      </c>
      <c r="C32" t="s">
        <v>18</v>
      </c>
      <c r="D32">
        <v>202201</v>
      </c>
      <c r="E32" s="11" t="s">
        <v>48</v>
      </c>
      <c r="F32">
        <v>5.0887906799999998</v>
      </c>
      <c r="G32">
        <v>2.1551624300000003</v>
      </c>
      <c r="H32">
        <v>2.9336282499999999</v>
      </c>
      <c r="I32">
        <v>11.3392423</v>
      </c>
      <c r="J32">
        <v>0.82591760999999997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T32" t="str">
        <f t="shared" si="2"/>
        <v>040143202201</v>
      </c>
      <c r="U32">
        <f t="shared" si="3"/>
        <v>17.253950590000002</v>
      </c>
    </row>
    <row r="33" spans="1:21" x14ac:dyDescent="0.35">
      <c r="A33" t="str">
        <f t="shared" si="0"/>
        <v>2022</v>
      </c>
      <c r="B33" t="str">
        <f t="shared" si="1"/>
        <v>01</v>
      </c>
      <c r="C33" t="s">
        <v>18</v>
      </c>
      <c r="D33">
        <v>202201</v>
      </c>
      <c r="E33" s="11" t="s">
        <v>49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 t="str">
        <f t="shared" si="2"/>
        <v>040145202201</v>
      </c>
      <c r="U33">
        <f t="shared" si="3"/>
        <v>0</v>
      </c>
    </row>
    <row r="34" spans="1:21" x14ac:dyDescent="0.35">
      <c r="A34" t="str">
        <f t="shared" si="0"/>
        <v>2022</v>
      </c>
      <c r="B34" t="str">
        <f t="shared" si="1"/>
        <v>01</v>
      </c>
      <c r="C34" t="s">
        <v>18</v>
      </c>
      <c r="D34">
        <v>202201</v>
      </c>
      <c r="E34" s="11" t="s">
        <v>50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T34" t="str">
        <f t="shared" si="2"/>
        <v>040147202201</v>
      </c>
      <c r="U34">
        <f t="shared" si="3"/>
        <v>0</v>
      </c>
    </row>
    <row r="35" spans="1:21" x14ac:dyDescent="0.35">
      <c r="A35" t="str">
        <f t="shared" si="0"/>
        <v>2022</v>
      </c>
      <c r="B35" t="str">
        <f t="shared" si="1"/>
        <v>01</v>
      </c>
      <c r="C35" t="s">
        <v>18</v>
      </c>
      <c r="D35">
        <v>202201</v>
      </c>
      <c r="E35" s="11" t="s">
        <v>51</v>
      </c>
      <c r="F35">
        <v>0</v>
      </c>
      <c r="G35">
        <v>0</v>
      </c>
      <c r="H35">
        <v>0</v>
      </c>
      <c r="I35">
        <v>28.898980000000002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0.83205600000000002</v>
      </c>
      <c r="Q35">
        <v>0</v>
      </c>
      <c r="R35">
        <v>0</v>
      </c>
      <c r="T35" t="str">
        <f t="shared" si="2"/>
        <v>040149202201</v>
      </c>
      <c r="U35">
        <f t="shared" si="3"/>
        <v>28.898980000000002</v>
      </c>
    </row>
    <row r="36" spans="1:21" x14ac:dyDescent="0.35">
      <c r="A36" t="str">
        <f t="shared" si="0"/>
        <v>2022</v>
      </c>
      <c r="B36" t="str">
        <f t="shared" si="1"/>
        <v>01</v>
      </c>
      <c r="C36" t="s">
        <v>18</v>
      </c>
      <c r="D36">
        <v>202201</v>
      </c>
      <c r="E36" s="11" t="s">
        <v>52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T36" t="str">
        <f t="shared" si="2"/>
        <v>040150202201</v>
      </c>
      <c r="U36">
        <f t="shared" si="3"/>
        <v>0</v>
      </c>
    </row>
    <row r="37" spans="1:21" x14ac:dyDescent="0.35">
      <c r="A37" t="str">
        <f t="shared" si="0"/>
        <v>2022</v>
      </c>
      <c r="B37" t="str">
        <f t="shared" si="1"/>
        <v>01</v>
      </c>
      <c r="C37" t="s">
        <v>18</v>
      </c>
      <c r="D37">
        <v>202201</v>
      </c>
      <c r="E37" s="11" t="s">
        <v>53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 t="str">
        <f t="shared" si="2"/>
        <v>040151202201</v>
      </c>
      <c r="U37">
        <f t="shared" si="3"/>
        <v>0</v>
      </c>
    </row>
    <row r="38" spans="1:21" x14ac:dyDescent="0.35">
      <c r="A38" t="str">
        <f t="shared" si="0"/>
        <v>2022</v>
      </c>
      <c r="B38" t="str">
        <f t="shared" si="1"/>
        <v>01</v>
      </c>
      <c r="C38" t="s">
        <v>18</v>
      </c>
      <c r="D38">
        <v>202201</v>
      </c>
      <c r="E38" s="11" t="s">
        <v>54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T38" t="str">
        <f t="shared" si="2"/>
        <v>040152202201</v>
      </c>
      <c r="U38">
        <f t="shared" si="3"/>
        <v>0</v>
      </c>
    </row>
    <row r="39" spans="1:21" x14ac:dyDescent="0.35">
      <c r="A39" t="str">
        <f t="shared" si="0"/>
        <v>2022</v>
      </c>
      <c r="B39" t="str">
        <f t="shared" si="1"/>
        <v>01</v>
      </c>
      <c r="C39" t="s">
        <v>18</v>
      </c>
      <c r="D39">
        <v>202201</v>
      </c>
      <c r="E39" s="11" t="s">
        <v>55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T39" t="str">
        <f t="shared" si="2"/>
        <v>040154202201</v>
      </c>
      <c r="U39">
        <f t="shared" si="3"/>
        <v>0</v>
      </c>
    </row>
    <row r="40" spans="1:21" x14ac:dyDescent="0.35">
      <c r="A40" t="str">
        <f t="shared" si="0"/>
        <v>2022</v>
      </c>
      <c r="B40" t="str">
        <f t="shared" si="1"/>
        <v>01</v>
      </c>
      <c r="C40" t="s">
        <v>18</v>
      </c>
      <c r="D40">
        <v>202201</v>
      </c>
      <c r="E40" s="11" t="s">
        <v>56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T40" t="str">
        <f t="shared" si="2"/>
        <v>040155202201</v>
      </c>
      <c r="U40">
        <f t="shared" si="3"/>
        <v>0</v>
      </c>
    </row>
    <row r="41" spans="1:21" x14ac:dyDescent="0.35">
      <c r="A41" t="str">
        <f t="shared" si="0"/>
        <v>2022</v>
      </c>
      <c r="B41" t="str">
        <f t="shared" si="1"/>
        <v>01</v>
      </c>
      <c r="C41" t="s">
        <v>18</v>
      </c>
      <c r="D41">
        <v>202201</v>
      </c>
      <c r="E41" s="11" t="s">
        <v>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T41" t="str">
        <f t="shared" si="2"/>
        <v>040156202201</v>
      </c>
      <c r="U41">
        <f t="shared" si="3"/>
        <v>0</v>
      </c>
    </row>
    <row r="42" spans="1:21" x14ac:dyDescent="0.35">
      <c r="A42" t="str">
        <f t="shared" si="0"/>
        <v>2022</v>
      </c>
      <c r="B42" t="str">
        <f t="shared" si="1"/>
        <v>01</v>
      </c>
      <c r="C42" t="s">
        <v>18</v>
      </c>
      <c r="D42">
        <v>202201</v>
      </c>
      <c r="E42" s="11" t="s">
        <v>58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 t="str">
        <f t="shared" si="2"/>
        <v>040157202201</v>
      </c>
      <c r="U42">
        <f t="shared" si="3"/>
        <v>0</v>
      </c>
    </row>
    <row r="43" spans="1:21" x14ac:dyDescent="0.35">
      <c r="A43" t="str">
        <f t="shared" si="0"/>
        <v>2022</v>
      </c>
      <c r="B43" t="str">
        <f t="shared" si="1"/>
        <v>01</v>
      </c>
      <c r="C43" t="s">
        <v>18</v>
      </c>
      <c r="D43">
        <v>202201</v>
      </c>
      <c r="E43" s="11" t="s">
        <v>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T43" t="str">
        <f t="shared" si="2"/>
        <v>040158202201</v>
      </c>
      <c r="U43">
        <f t="shared" si="3"/>
        <v>0</v>
      </c>
    </row>
    <row r="44" spans="1:21" x14ac:dyDescent="0.35">
      <c r="A44" t="str">
        <f t="shared" si="0"/>
        <v>2022</v>
      </c>
      <c r="B44" t="str">
        <f t="shared" si="1"/>
        <v>01</v>
      </c>
      <c r="C44" t="s">
        <v>18</v>
      </c>
      <c r="D44">
        <v>202201</v>
      </c>
      <c r="E44" s="11" t="s">
        <v>60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T44" t="str">
        <f t="shared" si="2"/>
        <v>040159202201</v>
      </c>
      <c r="U44">
        <f t="shared" si="3"/>
        <v>0</v>
      </c>
    </row>
    <row r="45" spans="1:21" x14ac:dyDescent="0.35">
      <c r="A45" t="str">
        <f t="shared" si="0"/>
        <v>2022</v>
      </c>
      <c r="B45" t="str">
        <f t="shared" si="1"/>
        <v>01</v>
      </c>
      <c r="C45" t="s">
        <v>18</v>
      </c>
      <c r="D45">
        <v>202201</v>
      </c>
      <c r="E45" s="11" t="s">
        <v>61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T45" t="str">
        <f t="shared" si="2"/>
        <v>040162202201</v>
      </c>
      <c r="U45">
        <f t="shared" si="3"/>
        <v>0</v>
      </c>
    </row>
    <row r="46" spans="1:21" x14ac:dyDescent="0.35">
      <c r="A46" t="str">
        <f t="shared" si="0"/>
        <v>2022</v>
      </c>
      <c r="B46" t="str">
        <f t="shared" si="1"/>
        <v>02</v>
      </c>
      <c r="C46" t="s">
        <v>77</v>
      </c>
      <c r="D46">
        <v>202202</v>
      </c>
      <c r="E46" s="11">
        <v>5</v>
      </c>
      <c r="F46">
        <v>1169.7500663699998</v>
      </c>
      <c r="G46">
        <v>1168.2075364500001</v>
      </c>
      <c r="H46">
        <v>1.5419350000000001</v>
      </c>
      <c r="I46">
        <v>5014.1451907000001</v>
      </c>
      <c r="J46">
        <v>802.55925029999992</v>
      </c>
      <c r="K46">
        <v>34.204090999999998</v>
      </c>
      <c r="L46">
        <v>0.38256172999999999</v>
      </c>
      <c r="M46">
        <v>0.38256172999999999</v>
      </c>
      <c r="N46">
        <v>0</v>
      </c>
      <c r="O46">
        <v>0</v>
      </c>
      <c r="P46">
        <v>40.890972670000004</v>
      </c>
      <c r="Q46">
        <v>29.39606702</v>
      </c>
      <c r="R46">
        <v>0</v>
      </c>
      <c r="T46" t="str">
        <f t="shared" si="2"/>
        <v>5202202</v>
      </c>
      <c r="U46">
        <f t="shared" si="3"/>
        <v>6986.4545073700001</v>
      </c>
    </row>
    <row r="47" spans="1:21" x14ac:dyDescent="0.35">
      <c r="A47" t="str">
        <f t="shared" si="0"/>
        <v>2022</v>
      </c>
      <c r="B47" t="str">
        <f t="shared" si="1"/>
        <v>02</v>
      </c>
      <c r="C47" t="s">
        <v>77</v>
      </c>
      <c r="D47">
        <v>202202</v>
      </c>
      <c r="E47" s="11" t="s">
        <v>19</v>
      </c>
      <c r="F47">
        <v>278.94189599999999</v>
      </c>
      <c r="G47">
        <v>278.94189599999999</v>
      </c>
      <c r="H47">
        <v>0</v>
      </c>
      <c r="I47">
        <v>338.636347</v>
      </c>
      <c r="J47">
        <v>134.65430799999999</v>
      </c>
      <c r="K47">
        <v>34.204090999999998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 t="str">
        <f t="shared" si="2"/>
        <v>040002202202</v>
      </c>
      <c r="U47">
        <f t="shared" si="3"/>
        <v>752.23255099999994</v>
      </c>
    </row>
    <row r="48" spans="1:21" x14ac:dyDescent="0.35">
      <c r="A48" t="str">
        <f t="shared" si="0"/>
        <v>2022</v>
      </c>
      <c r="B48" t="str">
        <f t="shared" si="1"/>
        <v>02</v>
      </c>
      <c r="C48" t="s">
        <v>77</v>
      </c>
      <c r="D48">
        <v>202202</v>
      </c>
      <c r="E48" s="11" t="s">
        <v>20</v>
      </c>
      <c r="F48">
        <v>190.69124306999998</v>
      </c>
      <c r="G48">
        <v>190.69124306999998</v>
      </c>
      <c r="H48">
        <v>0</v>
      </c>
      <c r="I48">
        <v>1957.28422043</v>
      </c>
      <c r="J48">
        <v>243.28332437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T48" t="str">
        <f t="shared" si="2"/>
        <v>040012202202</v>
      </c>
      <c r="U48">
        <f t="shared" si="3"/>
        <v>2391.2587878700001</v>
      </c>
    </row>
    <row r="49" spans="1:21" x14ac:dyDescent="0.35">
      <c r="A49" t="str">
        <f t="shared" si="0"/>
        <v>2022</v>
      </c>
      <c r="B49" t="str">
        <f t="shared" si="1"/>
        <v>02</v>
      </c>
      <c r="C49" t="s">
        <v>77</v>
      </c>
      <c r="D49">
        <v>202202</v>
      </c>
      <c r="E49" s="11" t="s">
        <v>21</v>
      </c>
      <c r="F49">
        <v>275.31675899999999</v>
      </c>
      <c r="G49">
        <v>275.31675899999999</v>
      </c>
      <c r="H49">
        <v>0</v>
      </c>
      <c r="I49">
        <v>209.22294500000001</v>
      </c>
      <c r="J49">
        <v>149.598375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T49" t="str">
        <f t="shared" si="2"/>
        <v>040014202202</v>
      </c>
      <c r="U49">
        <f t="shared" si="3"/>
        <v>634.13807900000006</v>
      </c>
    </row>
    <row r="50" spans="1:21" x14ac:dyDescent="0.35">
      <c r="A50" t="str">
        <f t="shared" si="0"/>
        <v>2022</v>
      </c>
      <c r="B50" t="str">
        <f t="shared" si="1"/>
        <v>02</v>
      </c>
      <c r="C50" t="s">
        <v>77</v>
      </c>
      <c r="D50">
        <v>202202</v>
      </c>
      <c r="E50" s="11" t="s">
        <v>22</v>
      </c>
      <c r="F50">
        <v>109.56813699999999</v>
      </c>
      <c r="G50">
        <v>109.56813699999999</v>
      </c>
      <c r="H50">
        <v>0</v>
      </c>
      <c r="I50">
        <v>638.99021500000003</v>
      </c>
      <c r="J50">
        <v>16.065818</v>
      </c>
      <c r="K50">
        <v>0</v>
      </c>
      <c r="L50">
        <v>0</v>
      </c>
      <c r="M50">
        <v>0</v>
      </c>
      <c r="N50">
        <v>0</v>
      </c>
      <c r="O50">
        <v>0</v>
      </c>
      <c r="P50">
        <v>18.683752999999999</v>
      </c>
      <c r="Q50">
        <v>17.954927000000001</v>
      </c>
      <c r="R50">
        <v>0</v>
      </c>
      <c r="T50" t="str">
        <f t="shared" si="2"/>
        <v>040021202202</v>
      </c>
      <c r="U50">
        <f t="shared" si="3"/>
        <v>764.62417000000005</v>
      </c>
    </row>
    <row r="51" spans="1:21" x14ac:dyDescent="0.35">
      <c r="A51" t="str">
        <f t="shared" si="0"/>
        <v>2022</v>
      </c>
      <c r="B51" t="str">
        <f t="shared" si="1"/>
        <v>02</v>
      </c>
      <c r="C51" t="s">
        <v>77</v>
      </c>
      <c r="D51">
        <v>202202</v>
      </c>
      <c r="E51" s="11" t="s">
        <v>23</v>
      </c>
      <c r="F51">
        <v>28.020126050000002</v>
      </c>
      <c r="G51">
        <v>28.020126050000002</v>
      </c>
      <c r="H51">
        <v>0</v>
      </c>
      <c r="I51">
        <v>19.334202019999999</v>
      </c>
      <c r="J51">
        <v>18.80368752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0.52742060999999996</v>
      </c>
      <c r="R51">
        <v>0</v>
      </c>
      <c r="T51" t="str">
        <f t="shared" si="2"/>
        <v>040030202202</v>
      </c>
      <c r="U51">
        <f t="shared" si="3"/>
        <v>66.158015590000005</v>
      </c>
    </row>
    <row r="52" spans="1:21" x14ac:dyDescent="0.35">
      <c r="A52" t="str">
        <f t="shared" si="0"/>
        <v>2022</v>
      </c>
      <c r="B52" t="str">
        <f t="shared" si="1"/>
        <v>02</v>
      </c>
      <c r="C52" t="s">
        <v>77</v>
      </c>
      <c r="D52">
        <v>202202</v>
      </c>
      <c r="E52" s="11" t="s">
        <v>24</v>
      </c>
      <c r="F52">
        <v>0</v>
      </c>
      <c r="G52">
        <v>0</v>
      </c>
      <c r="H52">
        <v>0</v>
      </c>
      <c r="I52">
        <v>6.2068899999999996</v>
      </c>
      <c r="J52">
        <v>0.29324800000000001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T52" t="str">
        <f t="shared" si="2"/>
        <v>040036202202</v>
      </c>
      <c r="U52">
        <f t="shared" si="3"/>
        <v>6.5001379999999997</v>
      </c>
    </row>
    <row r="53" spans="1:21" x14ac:dyDescent="0.35">
      <c r="A53" t="str">
        <f t="shared" si="0"/>
        <v>2022</v>
      </c>
      <c r="B53" t="str">
        <f t="shared" si="1"/>
        <v>02</v>
      </c>
      <c r="C53" t="s">
        <v>77</v>
      </c>
      <c r="D53">
        <v>202202</v>
      </c>
      <c r="E53" s="11" t="s">
        <v>25</v>
      </c>
      <c r="F53">
        <v>7.066338</v>
      </c>
      <c r="G53">
        <v>7.066338</v>
      </c>
      <c r="H53">
        <v>0</v>
      </c>
      <c r="I53">
        <v>0.16994300000000001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T53" t="str">
        <f t="shared" si="2"/>
        <v>040042202202</v>
      </c>
      <c r="U53">
        <f t="shared" si="3"/>
        <v>7.236281</v>
      </c>
    </row>
    <row r="54" spans="1:21" x14ac:dyDescent="0.35">
      <c r="A54" t="str">
        <f t="shared" si="0"/>
        <v>2022</v>
      </c>
      <c r="B54" t="str">
        <f t="shared" si="1"/>
        <v>02</v>
      </c>
      <c r="C54" t="s">
        <v>77</v>
      </c>
      <c r="D54">
        <v>202202</v>
      </c>
      <c r="E54" s="11" t="s">
        <v>26</v>
      </c>
      <c r="F54">
        <v>6.433732</v>
      </c>
      <c r="G54">
        <v>6.433732</v>
      </c>
      <c r="H54">
        <v>0</v>
      </c>
      <c r="I54">
        <v>112.823048</v>
      </c>
      <c r="J54">
        <v>0</v>
      </c>
      <c r="K54">
        <v>0</v>
      </c>
      <c r="L54">
        <v>0.22903499999999999</v>
      </c>
      <c r="M54">
        <v>0.22903499999999999</v>
      </c>
      <c r="N54">
        <v>0</v>
      </c>
      <c r="O54">
        <v>0</v>
      </c>
      <c r="P54">
        <v>14.467909000000001</v>
      </c>
      <c r="Q54">
        <v>10.830709000000001</v>
      </c>
      <c r="R54">
        <v>0</v>
      </c>
      <c r="T54" t="str">
        <f t="shared" si="2"/>
        <v>040044202202</v>
      </c>
      <c r="U54">
        <f t="shared" si="3"/>
        <v>119.25678000000001</v>
      </c>
    </row>
    <row r="55" spans="1:21" x14ac:dyDescent="0.35">
      <c r="A55" t="str">
        <f t="shared" si="0"/>
        <v>2022</v>
      </c>
      <c r="B55" t="str">
        <f t="shared" si="1"/>
        <v>02</v>
      </c>
      <c r="C55" t="s">
        <v>77</v>
      </c>
      <c r="D55">
        <v>202202</v>
      </c>
      <c r="E55" s="11" t="s">
        <v>27</v>
      </c>
      <c r="F55">
        <v>51.188648000000001</v>
      </c>
      <c r="G55">
        <v>51.188648000000001</v>
      </c>
      <c r="H55">
        <v>0</v>
      </c>
      <c r="I55">
        <v>16.247454000000001</v>
      </c>
      <c r="J55">
        <v>2.1542919999999999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 t="str">
        <f t="shared" si="2"/>
        <v>040058202202</v>
      </c>
      <c r="U55">
        <f t="shared" si="3"/>
        <v>69.590394000000003</v>
      </c>
    </row>
    <row r="56" spans="1:21" x14ac:dyDescent="0.35">
      <c r="A56" t="str">
        <f t="shared" si="0"/>
        <v>2022</v>
      </c>
      <c r="B56" t="str">
        <f t="shared" si="1"/>
        <v>02</v>
      </c>
      <c r="C56" t="s">
        <v>77</v>
      </c>
      <c r="D56">
        <v>202202</v>
      </c>
      <c r="E56" s="11" t="s">
        <v>28</v>
      </c>
      <c r="F56">
        <v>0</v>
      </c>
      <c r="G56">
        <v>0</v>
      </c>
      <c r="H56">
        <v>0</v>
      </c>
      <c r="I56">
        <v>29.574432999999999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T56" t="str">
        <f t="shared" si="2"/>
        <v>040059202202</v>
      </c>
      <c r="U56">
        <f t="shared" si="3"/>
        <v>29.574432999999999</v>
      </c>
    </row>
    <row r="57" spans="1:21" x14ac:dyDescent="0.35">
      <c r="A57" t="str">
        <f t="shared" si="0"/>
        <v>2022</v>
      </c>
      <c r="B57" t="str">
        <f t="shared" si="1"/>
        <v>02</v>
      </c>
      <c r="C57" t="s">
        <v>77</v>
      </c>
      <c r="D57">
        <v>202202</v>
      </c>
      <c r="E57" s="11" t="s">
        <v>62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 t="str">
        <f t="shared" si="2"/>
        <v>040060202202</v>
      </c>
      <c r="U57">
        <f t="shared" si="3"/>
        <v>0</v>
      </c>
    </row>
    <row r="58" spans="1:21" x14ac:dyDescent="0.35">
      <c r="A58" t="str">
        <f t="shared" si="0"/>
        <v>2022</v>
      </c>
      <c r="B58" t="str">
        <f t="shared" si="1"/>
        <v>02</v>
      </c>
      <c r="C58" t="s">
        <v>77</v>
      </c>
      <c r="D58">
        <v>202202</v>
      </c>
      <c r="E58" s="11" t="s">
        <v>29</v>
      </c>
      <c r="F58">
        <v>0.49284299999999998</v>
      </c>
      <c r="G58">
        <v>0.49284299999999998</v>
      </c>
      <c r="H58">
        <v>0</v>
      </c>
      <c r="I58">
        <v>38.400877000000001</v>
      </c>
      <c r="J58">
        <v>2.1350000000000001E-2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T58" t="str">
        <f t="shared" si="2"/>
        <v>040062202202</v>
      </c>
      <c r="U58">
        <f t="shared" si="3"/>
        <v>38.91507</v>
      </c>
    </row>
    <row r="59" spans="1:21" x14ac:dyDescent="0.35">
      <c r="A59" t="str">
        <f t="shared" si="0"/>
        <v>2022</v>
      </c>
      <c r="B59" t="str">
        <f t="shared" si="1"/>
        <v>02</v>
      </c>
      <c r="C59" t="s">
        <v>77</v>
      </c>
      <c r="D59">
        <v>202202</v>
      </c>
      <c r="E59" s="11" t="s">
        <v>30</v>
      </c>
      <c r="F59">
        <v>87.122049290000007</v>
      </c>
      <c r="G59">
        <v>87.122049290000007</v>
      </c>
      <c r="H59">
        <v>0</v>
      </c>
      <c r="I59">
        <v>784.1253183099999</v>
      </c>
      <c r="J59">
        <v>236.28647784999998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T59" t="str">
        <f t="shared" si="2"/>
        <v>040072202202</v>
      </c>
      <c r="U59">
        <f t="shared" si="3"/>
        <v>1107.5338454499999</v>
      </c>
    </row>
    <row r="60" spans="1:21" x14ac:dyDescent="0.35">
      <c r="A60" t="str">
        <f t="shared" si="0"/>
        <v>2022</v>
      </c>
      <c r="B60" t="str">
        <f t="shared" si="1"/>
        <v>02</v>
      </c>
      <c r="C60" t="s">
        <v>77</v>
      </c>
      <c r="D60">
        <v>202202</v>
      </c>
      <c r="E60" s="11" t="s">
        <v>31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T60" t="str">
        <f t="shared" si="2"/>
        <v>040106202202</v>
      </c>
      <c r="U60">
        <f t="shared" si="3"/>
        <v>0</v>
      </c>
    </row>
    <row r="61" spans="1:21" x14ac:dyDescent="0.35">
      <c r="A61" t="str">
        <f t="shared" si="0"/>
        <v>2022</v>
      </c>
      <c r="B61" t="str">
        <f t="shared" si="1"/>
        <v>02</v>
      </c>
      <c r="C61" t="s">
        <v>77</v>
      </c>
      <c r="D61">
        <v>202202</v>
      </c>
      <c r="E61" s="11" t="s">
        <v>32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T61" t="str">
        <f t="shared" si="2"/>
        <v>040108202202</v>
      </c>
      <c r="U61">
        <f t="shared" si="3"/>
        <v>0</v>
      </c>
    </row>
    <row r="62" spans="1:21" x14ac:dyDescent="0.35">
      <c r="A62" t="str">
        <f t="shared" si="0"/>
        <v>2022</v>
      </c>
      <c r="B62" t="str">
        <f t="shared" si="1"/>
        <v>02</v>
      </c>
      <c r="C62" t="s">
        <v>77</v>
      </c>
      <c r="D62">
        <v>202202</v>
      </c>
      <c r="E62" s="11" t="s">
        <v>33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T62" t="str">
        <f t="shared" si="2"/>
        <v>040110202202</v>
      </c>
      <c r="U62">
        <f t="shared" si="3"/>
        <v>0</v>
      </c>
    </row>
    <row r="63" spans="1:21" x14ac:dyDescent="0.35">
      <c r="A63" t="str">
        <f t="shared" si="0"/>
        <v>2022</v>
      </c>
      <c r="B63" t="str">
        <f t="shared" si="1"/>
        <v>02</v>
      </c>
      <c r="C63" t="s">
        <v>77</v>
      </c>
      <c r="D63">
        <v>202202</v>
      </c>
      <c r="E63" s="11" t="s">
        <v>34</v>
      </c>
      <c r="F63">
        <v>68.61633458</v>
      </c>
      <c r="G63">
        <v>68.615739660000003</v>
      </c>
      <c r="H63">
        <v>0</v>
      </c>
      <c r="I63">
        <v>0</v>
      </c>
      <c r="J63">
        <v>5.9790290000000003E-2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T63" t="str">
        <f t="shared" si="2"/>
        <v>040112202202</v>
      </c>
      <c r="U63">
        <f t="shared" si="3"/>
        <v>68.676124869999995</v>
      </c>
    </row>
    <row r="64" spans="1:21" x14ac:dyDescent="0.35">
      <c r="A64" t="str">
        <f t="shared" si="0"/>
        <v>2022</v>
      </c>
      <c r="B64" t="str">
        <f t="shared" si="1"/>
        <v>02</v>
      </c>
      <c r="C64" t="s">
        <v>77</v>
      </c>
      <c r="D64">
        <v>202202</v>
      </c>
      <c r="E64" s="11" t="s">
        <v>35</v>
      </c>
      <c r="F64">
        <v>0</v>
      </c>
      <c r="G64">
        <v>0</v>
      </c>
      <c r="H64">
        <v>0</v>
      </c>
      <c r="I64">
        <v>0</v>
      </c>
      <c r="J64">
        <v>1.2218979999999999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T64" t="str">
        <f t="shared" si="2"/>
        <v>040113202202</v>
      </c>
      <c r="U64">
        <f t="shared" si="3"/>
        <v>1.2218979999999999</v>
      </c>
    </row>
    <row r="65" spans="1:21" x14ac:dyDescent="0.35">
      <c r="A65" t="str">
        <f t="shared" si="0"/>
        <v>2022</v>
      </c>
      <c r="B65" t="str">
        <f t="shared" si="1"/>
        <v>02</v>
      </c>
      <c r="C65" t="s">
        <v>77</v>
      </c>
      <c r="D65">
        <v>202202</v>
      </c>
      <c r="E65" s="11" t="s">
        <v>36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T65" t="str">
        <f t="shared" si="2"/>
        <v>040126202202</v>
      </c>
      <c r="U65">
        <f t="shared" si="3"/>
        <v>0</v>
      </c>
    </row>
    <row r="66" spans="1:21" x14ac:dyDescent="0.35">
      <c r="A66" t="str">
        <f t="shared" si="0"/>
        <v>2022</v>
      </c>
      <c r="B66" t="str">
        <f t="shared" si="1"/>
        <v>02</v>
      </c>
      <c r="C66" t="s">
        <v>77</v>
      </c>
      <c r="D66">
        <v>202202</v>
      </c>
      <c r="E66" s="11" t="s">
        <v>37</v>
      </c>
      <c r="F66">
        <v>0</v>
      </c>
      <c r="G66">
        <v>0</v>
      </c>
      <c r="H66">
        <v>0</v>
      </c>
      <c r="I66">
        <v>677.74220300000002</v>
      </c>
      <c r="J66">
        <v>2.6797999999999999E-2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T66" t="str">
        <f t="shared" si="2"/>
        <v>040127202202</v>
      </c>
      <c r="U66">
        <f t="shared" si="3"/>
        <v>677.769001</v>
      </c>
    </row>
    <row r="67" spans="1:21" x14ac:dyDescent="0.35">
      <c r="A67" t="str">
        <f t="shared" ref="A67:A130" si="4">LEFT(D67,4)</f>
        <v>2022</v>
      </c>
      <c r="B67" t="str">
        <f t="shared" ref="B67:B130" si="5">RIGHT(D67,2)</f>
        <v>02</v>
      </c>
      <c r="C67" t="s">
        <v>77</v>
      </c>
      <c r="D67">
        <v>202202</v>
      </c>
      <c r="E67" s="11" t="s">
        <v>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T67" t="str">
        <f t="shared" ref="T67:T130" si="6">+E67&amp;D67</f>
        <v>040128202202</v>
      </c>
      <c r="U67">
        <f t="shared" ref="U67:U130" si="7">+F67+I67+J67</f>
        <v>0</v>
      </c>
    </row>
    <row r="68" spans="1:21" x14ac:dyDescent="0.35">
      <c r="A68" t="str">
        <f t="shared" si="4"/>
        <v>2022</v>
      </c>
      <c r="B68" t="str">
        <f t="shared" si="5"/>
        <v>02</v>
      </c>
      <c r="C68" t="s">
        <v>77</v>
      </c>
      <c r="D68">
        <v>202202</v>
      </c>
      <c r="E68" s="11" t="s">
        <v>39</v>
      </c>
      <c r="F68">
        <v>0</v>
      </c>
      <c r="G68">
        <v>0</v>
      </c>
      <c r="H68">
        <v>0</v>
      </c>
      <c r="I68">
        <v>147.70861400000001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0.53239999999999998</v>
      </c>
      <c r="Q68">
        <v>0</v>
      </c>
      <c r="R68">
        <v>0</v>
      </c>
      <c r="T68" t="str">
        <f t="shared" si="6"/>
        <v>040130202202</v>
      </c>
      <c r="U68">
        <f t="shared" si="7"/>
        <v>147.70861400000001</v>
      </c>
    </row>
    <row r="69" spans="1:21" x14ac:dyDescent="0.35">
      <c r="A69" t="str">
        <f t="shared" si="4"/>
        <v>2022</v>
      </c>
      <c r="B69" t="str">
        <f t="shared" si="5"/>
        <v>02</v>
      </c>
      <c r="C69" t="s">
        <v>77</v>
      </c>
      <c r="D69">
        <v>202202</v>
      </c>
      <c r="E69" s="11" t="s">
        <v>40</v>
      </c>
      <c r="F69">
        <v>60.032040000000002</v>
      </c>
      <c r="G69">
        <v>60.032040000000002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 t="str">
        <f t="shared" si="6"/>
        <v>040132202202</v>
      </c>
      <c r="U69">
        <f t="shared" si="7"/>
        <v>60.032040000000002</v>
      </c>
    </row>
    <row r="70" spans="1:21" x14ac:dyDescent="0.35">
      <c r="A70" t="str">
        <f t="shared" si="4"/>
        <v>2022</v>
      </c>
      <c r="B70" t="str">
        <f t="shared" si="5"/>
        <v>02</v>
      </c>
      <c r="C70" t="s">
        <v>77</v>
      </c>
      <c r="D70">
        <v>202202</v>
      </c>
      <c r="E70" s="11" t="s">
        <v>41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T70" t="str">
        <f t="shared" si="6"/>
        <v>040133202202</v>
      </c>
      <c r="U70">
        <f t="shared" si="7"/>
        <v>0</v>
      </c>
    </row>
    <row r="71" spans="1:21" x14ac:dyDescent="0.35">
      <c r="A71" t="str">
        <f t="shared" si="4"/>
        <v>2022</v>
      </c>
      <c r="B71" t="str">
        <f t="shared" si="5"/>
        <v>02</v>
      </c>
      <c r="C71" t="s">
        <v>77</v>
      </c>
      <c r="D71">
        <v>202202</v>
      </c>
      <c r="E71" s="11" t="s">
        <v>42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T71" t="str">
        <f t="shared" si="6"/>
        <v>040136202202</v>
      </c>
      <c r="U71">
        <f t="shared" si="7"/>
        <v>0</v>
      </c>
    </row>
    <row r="72" spans="1:21" x14ac:dyDescent="0.35">
      <c r="A72" t="str">
        <f t="shared" si="4"/>
        <v>2022</v>
      </c>
      <c r="B72" t="str">
        <f t="shared" si="5"/>
        <v>02</v>
      </c>
      <c r="C72" t="s">
        <v>77</v>
      </c>
      <c r="D72">
        <v>202202</v>
      </c>
      <c r="E72" s="11" t="s">
        <v>43</v>
      </c>
      <c r="F72">
        <v>0</v>
      </c>
      <c r="G72">
        <v>0</v>
      </c>
      <c r="H72">
        <v>0</v>
      </c>
      <c r="I72">
        <v>0.30087726000000004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T72" t="str">
        <f t="shared" si="6"/>
        <v>040137202202</v>
      </c>
      <c r="U72">
        <f t="shared" si="7"/>
        <v>0.30087726000000004</v>
      </c>
    </row>
    <row r="73" spans="1:21" x14ac:dyDescent="0.35">
      <c r="A73" t="str">
        <f t="shared" si="4"/>
        <v>2022</v>
      </c>
      <c r="B73" t="str">
        <f t="shared" si="5"/>
        <v>02</v>
      </c>
      <c r="C73" t="s">
        <v>77</v>
      </c>
      <c r="D73">
        <v>202202</v>
      </c>
      <c r="E73" s="11" t="s">
        <v>44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T73" t="str">
        <f t="shared" si="6"/>
        <v>040138202202</v>
      </c>
      <c r="U73">
        <f t="shared" si="7"/>
        <v>0</v>
      </c>
    </row>
    <row r="74" spans="1:21" x14ac:dyDescent="0.35">
      <c r="A74" t="str">
        <f t="shared" si="4"/>
        <v>2022</v>
      </c>
      <c r="B74" t="str">
        <f t="shared" si="5"/>
        <v>02</v>
      </c>
      <c r="C74" t="s">
        <v>77</v>
      </c>
      <c r="D74">
        <v>202202</v>
      </c>
      <c r="E74" s="11" t="s">
        <v>45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T74" t="str">
        <f t="shared" si="6"/>
        <v>040139202202</v>
      </c>
      <c r="U74">
        <f t="shared" si="7"/>
        <v>0</v>
      </c>
    </row>
    <row r="75" spans="1:21" x14ac:dyDescent="0.35">
      <c r="A75" t="str">
        <f t="shared" si="4"/>
        <v>2022</v>
      </c>
      <c r="B75" t="str">
        <f t="shared" si="5"/>
        <v>02</v>
      </c>
      <c r="C75" t="s">
        <v>77</v>
      </c>
      <c r="D75">
        <v>202202</v>
      </c>
      <c r="E75" s="11" t="s">
        <v>46</v>
      </c>
      <c r="F75">
        <v>0</v>
      </c>
      <c r="G75">
        <v>0</v>
      </c>
      <c r="H75">
        <v>0</v>
      </c>
      <c r="I75">
        <v>11.151277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T75" t="str">
        <f t="shared" si="6"/>
        <v>040140202202</v>
      </c>
      <c r="U75">
        <f t="shared" si="7"/>
        <v>11.151277</v>
      </c>
    </row>
    <row r="76" spans="1:21" x14ac:dyDescent="0.35">
      <c r="A76" t="str">
        <f t="shared" si="4"/>
        <v>2022</v>
      </c>
      <c r="B76" t="str">
        <f t="shared" si="5"/>
        <v>02</v>
      </c>
      <c r="C76" t="s">
        <v>77</v>
      </c>
      <c r="D76">
        <v>202202</v>
      </c>
      <c r="E76" s="11" t="s">
        <v>47</v>
      </c>
      <c r="F76">
        <v>0</v>
      </c>
      <c r="G76">
        <v>0</v>
      </c>
      <c r="H76">
        <v>0</v>
      </c>
      <c r="I76">
        <v>1.1478299999999999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T76" t="str">
        <f t="shared" si="6"/>
        <v>040141202202</v>
      </c>
      <c r="U76">
        <f t="shared" si="7"/>
        <v>1.1478299999999999</v>
      </c>
    </row>
    <row r="77" spans="1:21" x14ac:dyDescent="0.35">
      <c r="A77" t="str">
        <f t="shared" si="4"/>
        <v>2022</v>
      </c>
      <c r="B77" t="str">
        <f t="shared" si="5"/>
        <v>02</v>
      </c>
      <c r="C77" t="s">
        <v>77</v>
      </c>
      <c r="D77">
        <v>202202</v>
      </c>
      <c r="E77" s="11" t="s">
        <v>48</v>
      </c>
      <c r="F77">
        <v>3.7982645099999996</v>
      </c>
      <c r="G77">
        <v>2.2563295099999996</v>
      </c>
      <c r="H77">
        <v>1.5419350000000001</v>
      </c>
      <c r="I77">
        <v>2.4054776800000002</v>
      </c>
      <c r="J77">
        <v>8.9883270000000001E-2</v>
      </c>
      <c r="K77">
        <v>0</v>
      </c>
      <c r="L77">
        <v>4.3801730000000004E-2</v>
      </c>
      <c r="M77">
        <v>4.3801730000000004E-2</v>
      </c>
      <c r="N77">
        <v>0</v>
      </c>
      <c r="O77">
        <v>0</v>
      </c>
      <c r="P77">
        <v>6.7106366699999995</v>
      </c>
      <c r="Q77">
        <v>8.3010410000000007E-2</v>
      </c>
      <c r="R77">
        <v>0</v>
      </c>
      <c r="T77" t="str">
        <f t="shared" si="6"/>
        <v>040143202202</v>
      </c>
      <c r="U77">
        <f t="shared" si="7"/>
        <v>6.2936254599999994</v>
      </c>
    </row>
    <row r="78" spans="1:21" x14ac:dyDescent="0.35">
      <c r="A78" t="str">
        <f t="shared" si="4"/>
        <v>2022</v>
      </c>
      <c r="B78" t="str">
        <f t="shared" si="5"/>
        <v>02</v>
      </c>
      <c r="C78" t="s">
        <v>77</v>
      </c>
      <c r="D78">
        <v>202202</v>
      </c>
      <c r="E78" s="11" t="s">
        <v>49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T78" t="str">
        <f t="shared" si="6"/>
        <v>040145202202</v>
      </c>
      <c r="U78">
        <f t="shared" si="7"/>
        <v>0</v>
      </c>
    </row>
    <row r="79" spans="1:21" x14ac:dyDescent="0.35">
      <c r="A79" t="str">
        <f t="shared" si="4"/>
        <v>2022</v>
      </c>
      <c r="B79" t="str">
        <f t="shared" si="5"/>
        <v>02</v>
      </c>
      <c r="C79" t="s">
        <v>77</v>
      </c>
      <c r="D79">
        <v>202202</v>
      </c>
      <c r="E79" s="11" t="s">
        <v>50</v>
      </c>
      <c r="F79">
        <v>0.26830987000000001</v>
      </c>
      <c r="G79">
        <v>0.26830987000000001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T79" t="str">
        <f t="shared" si="6"/>
        <v>040147202202</v>
      </c>
      <c r="U79">
        <f t="shared" si="7"/>
        <v>0.26830987000000001</v>
      </c>
    </row>
    <row r="80" spans="1:21" x14ac:dyDescent="0.35">
      <c r="A80" t="str">
        <f t="shared" si="4"/>
        <v>2022</v>
      </c>
      <c r="B80" t="str">
        <f t="shared" si="5"/>
        <v>02</v>
      </c>
      <c r="C80" t="s">
        <v>77</v>
      </c>
      <c r="D80">
        <v>202202</v>
      </c>
      <c r="E80" s="11" t="s">
        <v>51</v>
      </c>
      <c r="F80">
        <v>0.11834600000000001</v>
      </c>
      <c r="G80">
        <v>0.11834600000000001</v>
      </c>
      <c r="H80">
        <v>0</v>
      </c>
      <c r="I80">
        <v>22.673019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0.49627399999999999</v>
      </c>
      <c r="Q80">
        <v>0</v>
      </c>
      <c r="R80">
        <v>0</v>
      </c>
      <c r="T80" t="str">
        <f t="shared" si="6"/>
        <v>040149202202</v>
      </c>
      <c r="U80">
        <f t="shared" si="7"/>
        <v>22.791364999999999</v>
      </c>
    </row>
    <row r="81" spans="1:21" x14ac:dyDescent="0.35">
      <c r="A81" t="str">
        <f t="shared" si="4"/>
        <v>2022</v>
      </c>
      <c r="B81" t="str">
        <f t="shared" si="5"/>
        <v>02</v>
      </c>
      <c r="C81" t="s">
        <v>77</v>
      </c>
      <c r="D81">
        <v>202202</v>
      </c>
      <c r="E81" s="11" t="s">
        <v>52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 t="str">
        <f t="shared" si="6"/>
        <v>040150202202</v>
      </c>
      <c r="U81">
        <f t="shared" si="7"/>
        <v>0</v>
      </c>
    </row>
    <row r="82" spans="1:21" x14ac:dyDescent="0.35">
      <c r="A82" t="str">
        <f t="shared" si="4"/>
        <v>2022</v>
      </c>
      <c r="B82" t="str">
        <f t="shared" si="5"/>
        <v>02</v>
      </c>
      <c r="C82" t="s">
        <v>77</v>
      </c>
      <c r="D82">
        <v>202202</v>
      </c>
      <c r="E82" s="11" t="s">
        <v>53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T82" t="str">
        <f t="shared" si="6"/>
        <v>040151202202</v>
      </c>
      <c r="U82">
        <f t="shared" si="7"/>
        <v>0</v>
      </c>
    </row>
    <row r="83" spans="1:21" x14ac:dyDescent="0.35">
      <c r="A83" t="str">
        <f t="shared" si="4"/>
        <v>2022</v>
      </c>
      <c r="B83" t="str">
        <f t="shared" si="5"/>
        <v>02</v>
      </c>
      <c r="C83" t="s">
        <v>77</v>
      </c>
      <c r="D83">
        <v>202202</v>
      </c>
      <c r="E83" s="11" t="s">
        <v>54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T83" t="str">
        <f t="shared" si="6"/>
        <v>040152202202</v>
      </c>
      <c r="U83">
        <f t="shared" si="7"/>
        <v>0</v>
      </c>
    </row>
    <row r="84" spans="1:21" x14ac:dyDescent="0.35">
      <c r="A84" t="str">
        <f t="shared" si="4"/>
        <v>2022</v>
      </c>
      <c r="B84" t="str">
        <f t="shared" si="5"/>
        <v>02</v>
      </c>
      <c r="C84" t="s">
        <v>77</v>
      </c>
      <c r="D84">
        <v>202202</v>
      </c>
      <c r="E84" s="11" t="s">
        <v>55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 t="str">
        <f t="shared" si="6"/>
        <v>040154202202</v>
      </c>
      <c r="U84">
        <f t="shared" si="7"/>
        <v>0</v>
      </c>
    </row>
    <row r="85" spans="1:21" x14ac:dyDescent="0.35">
      <c r="A85" t="str">
        <f t="shared" si="4"/>
        <v>2022</v>
      </c>
      <c r="B85" t="str">
        <f t="shared" si="5"/>
        <v>02</v>
      </c>
      <c r="C85" t="s">
        <v>77</v>
      </c>
      <c r="D85">
        <v>202202</v>
      </c>
      <c r="E85" s="11" t="s">
        <v>56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 t="str">
        <f t="shared" si="6"/>
        <v>040155202202</v>
      </c>
      <c r="U85">
        <f t="shared" si="7"/>
        <v>0</v>
      </c>
    </row>
    <row r="86" spans="1:21" x14ac:dyDescent="0.35">
      <c r="A86" t="str">
        <f t="shared" si="4"/>
        <v>2022</v>
      </c>
      <c r="B86" t="str">
        <f t="shared" si="5"/>
        <v>02</v>
      </c>
      <c r="C86" t="s">
        <v>77</v>
      </c>
      <c r="D86">
        <v>202202</v>
      </c>
      <c r="E86" s="11" t="s">
        <v>57</v>
      </c>
      <c r="F86">
        <v>2.0750000000000002</v>
      </c>
      <c r="G86">
        <v>2.0750000000000002</v>
      </c>
      <c r="H86">
        <v>0</v>
      </c>
      <c r="I86">
        <v>0</v>
      </c>
      <c r="J86">
        <v>0</v>
      </c>
      <c r="K86">
        <v>0</v>
      </c>
      <c r="L86">
        <v>0.109725</v>
      </c>
      <c r="M86">
        <v>0.109725</v>
      </c>
      <c r="N86">
        <v>0</v>
      </c>
      <c r="O86">
        <v>0</v>
      </c>
      <c r="P86">
        <v>0</v>
      </c>
      <c r="Q86">
        <v>0</v>
      </c>
      <c r="R86">
        <v>0</v>
      </c>
      <c r="T86" t="str">
        <f t="shared" si="6"/>
        <v>040156202202</v>
      </c>
      <c r="U86">
        <f t="shared" si="7"/>
        <v>2.0750000000000002</v>
      </c>
    </row>
    <row r="87" spans="1:21" x14ac:dyDescent="0.35">
      <c r="A87" t="str">
        <f t="shared" si="4"/>
        <v>2022</v>
      </c>
      <c r="B87" t="str">
        <f t="shared" si="5"/>
        <v>02</v>
      </c>
      <c r="C87" t="s">
        <v>77</v>
      </c>
      <c r="D87">
        <v>202202</v>
      </c>
      <c r="E87" s="11" t="s">
        <v>58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T87" t="str">
        <f t="shared" si="6"/>
        <v>040157202202</v>
      </c>
      <c r="U87">
        <f t="shared" si="7"/>
        <v>0</v>
      </c>
    </row>
    <row r="88" spans="1:21" x14ac:dyDescent="0.35">
      <c r="A88" t="str">
        <f t="shared" si="4"/>
        <v>2022</v>
      </c>
      <c r="B88" t="str">
        <f t="shared" si="5"/>
        <v>02</v>
      </c>
      <c r="C88" t="s">
        <v>77</v>
      </c>
      <c r="D88">
        <v>202202</v>
      </c>
      <c r="E88" s="11" t="s">
        <v>59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T88" t="str">
        <f t="shared" si="6"/>
        <v>040158202202</v>
      </c>
      <c r="U88">
        <f t="shared" si="7"/>
        <v>0</v>
      </c>
    </row>
    <row r="89" spans="1:21" x14ac:dyDescent="0.35">
      <c r="A89" t="str">
        <f t="shared" si="4"/>
        <v>2022</v>
      </c>
      <c r="B89" t="str">
        <f t="shared" si="5"/>
        <v>02</v>
      </c>
      <c r="C89" t="s">
        <v>77</v>
      </c>
      <c r="D89">
        <v>202202</v>
      </c>
      <c r="E89" s="11" t="s">
        <v>60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T89" t="str">
        <f t="shared" si="6"/>
        <v>040159202202</v>
      </c>
      <c r="U89">
        <f t="shared" si="7"/>
        <v>0</v>
      </c>
    </row>
    <row r="90" spans="1:21" x14ac:dyDescent="0.35">
      <c r="A90" t="str">
        <f t="shared" si="4"/>
        <v>2022</v>
      </c>
      <c r="B90" t="str">
        <f t="shared" si="5"/>
        <v>02</v>
      </c>
      <c r="C90" t="s">
        <v>77</v>
      </c>
      <c r="D90">
        <v>202202</v>
      </c>
      <c r="E90" s="11" t="s">
        <v>61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T90" t="str">
        <f t="shared" si="6"/>
        <v>040162202202</v>
      </c>
      <c r="U90">
        <f t="shared" si="7"/>
        <v>0</v>
      </c>
    </row>
    <row r="91" spans="1:21" x14ac:dyDescent="0.35">
      <c r="A91" t="str">
        <f t="shared" si="4"/>
        <v>2022</v>
      </c>
      <c r="B91" t="str">
        <f t="shared" si="5"/>
        <v>03</v>
      </c>
      <c r="C91" t="s">
        <v>78</v>
      </c>
      <c r="D91">
        <v>202203</v>
      </c>
      <c r="E91" s="11">
        <v>5</v>
      </c>
      <c r="F91">
        <v>2082.8126621400002</v>
      </c>
      <c r="G91">
        <v>2080.9934356099998</v>
      </c>
      <c r="H91">
        <v>1.74066253</v>
      </c>
      <c r="I91">
        <v>5554.9862275799996</v>
      </c>
      <c r="J91">
        <v>961.33789077999995</v>
      </c>
      <c r="K91">
        <v>2.3934769999999999</v>
      </c>
      <c r="L91">
        <v>8.8575630000000007</v>
      </c>
      <c r="M91">
        <v>8.8575630000000007</v>
      </c>
      <c r="N91">
        <v>0</v>
      </c>
      <c r="O91">
        <v>0</v>
      </c>
      <c r="P91">
        <v>40.876916819999998</v>
      </c>
      <c r="Q91">
        <v>29.753988360000001</v>
      </c>
      <c r="R91">
        <v>0</v>
      </c>
      <c r="T91" t="str">
        <f t="shared" si="6"/>
        <v>5202203</v>
      </c>
      <c r="U91">
        <f t="shared" si="7"/>
        <v>8599.1367804999991</v>
      </c>
    </row>
    <row r="92" spans="1:21" x14ac:dyDescent="0.35">
      <c r="A92" t="str">
        <f t="shared" si="4"/>
        <v>2022</v>
      </c>
      <c r="B92" t="str">
        <f t="shared" si="5"/>
        <v>03</v>
      </c>
      <c r="C92" t="s">
        <v>78</v>
      </c>
      <c r="D92">
        <v>202203</v>
      </c>
      <c r="E92" s="11" t="s">
        <v>19</v>
      </c>
      <c r="F92">
        <v>132.10826399999999</v>
      </c>
      <c r="G92">
        <v>132.10826399999999</v>
      </c>
      <c r="H92">
        <v>0</v>
      </c>
      <c r="I92">
        <v>319.48780099999999</v>
      </c>
      <c r="J92">
        <v>261.34726499999999</v>
      </c>
      <c r="K92">
        <v>2.3934769999999999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T92" t="str">
        <f t="shared" si="6"/>
        <v>040002202203</v>
      </c>
      <c r="U92">
        <f t="shared" si="7"/>
        <v>712.94332999999995</v>
      </c>
    </row>
    <row r="93" spans="1:21" x14ac:dyDescent="0.35">
      <c r="A93" t="str">
        <f t="shared" si="4"/>
        <v>2022</v>
      </c>
      <c r="B93" t="str">
        <f t="shared" si="5"/>
        <v>03</v>
      </c>
      <c r="C93" t="s">
        <v>78</v>
      </c>
      <c r="D93">
        <v>202203</v>
      </c>
      <c r="E93" s="11" t="s">
        <v>20</v>
      </c>
      <c r="F93">
        <v>189.69326839999999</v>
      </c>
      <c r="G93">
        <v>189.69326839999999</v>
      </c>
      <c r="H93">
        <v>0</v>
      </c>
      <c r="I93">
        <v>2071.4580787899999</v>
      </c>
      <c r="J93">
        <v>253.25203902000001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T93" t="str">
        <f t="shared" si="6"/>
        <v>040012202203</v>
      </c>
      <c r="U93">
        <f t="shared" si="7"/>
        <v>2514.40338621</v>
      </c>
    </row>
    <row r="94" spans="1:21" x14ac:dyDescent="0.35">
      <c r="A94" t="str">
        <f t="shared" si="4"/>
        <v>2022</v>
      </c>
      <c r="B94" t="str">
        <f t="shared" si="5"/>
        <v>03</v>
      </c>
      <c r="C94" t="s">
        <v>78</v>
      </c>
      <c r="D94">
        <v>202203</v>
      </c>
      <c r="E94" s="11" t="s">
        <v>21</v>
      </c>
      <c r="F94">
        <v>1492.8187370000001</v>
      </c>
      <c r="G94">
        <v>1492.8187370000001</v>
      </c>
      <c r="H94">
        <v>0</v>
      </c>
      <c r="I94">
        <v>324.603499</v>
      </c>
      <c r="J94">
        <v>141.93637899999999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T94" t="str">
        <f t="shared" si="6"/>
        <v>040014202203</v>
      </c>
      <c r="U94">
        <f t="shared" si="7"/>
        <v>1959.3586150000001</v>
      </c>
    </row>
    <row r="95" spans="1:21" x14ac:dyDescent="0.35">
      <c r="A95" t="str">
        <f t="shared" si="4"/>
        <v>2022</v>
      </c>
      <c r="B95" t="str">
        <f t="shared" si="5"/>
        <v>03</v>
      </c>
      <c r="C95" t="s">
        <v>78</v>
      </c>
      <c r="D95">
        <v>202203</v>
      </c>
      <c r="E95" s="11" t="s">
        <v>22</v>
      </c>
      <c r="F95">
        <v>43.485616999999998</v>
      </c>
      <c r="G95">
        <v>43.406804000000001</v>
      </c>
      <c r="H95">
        <v>2.4899999999999998E-4</v>
      </c>
      <c r="I95">
        <v>665.16825600000004</v>
      </c>
      <c r="J95">
        <v>15.078037</v>
      </c>
      <c r="K95">
        <v>0</v>
      </c>
      <c r="L95">
        <v>0</v>
      </c>
      <c r="M95">
        <v>0</v>
      </c>
      <c r="N95">
        <v>0</v>
      </c>
      <c r="O95">
        <v>0</v>
      </c>
      <c r="P95">
        <v>20.548214000000002</v>
      </c>
      <c r="Q95">
        <v>18.516559000000001</v>
      </c>
      <c r="R95">
        <v>0</v>
      </c>
      <c r="T95" t="str">
        <f t="shared" si="6"/>
        <v>040021202203</v>
      </c>
      <c r="U95">
        <f t="shared" si="7"/>
        <v>723.73191000000008</v>
      </c>
    </row>
    <row r="96" spans="1:21" x14ac:dyDescent="0.35">
      <c r="A96" t="str">
        <f t="shared" si="4"/>
        <v>2022</v>
      </c>
      <c r="B96" t="str">
        <f t="shared" si="5"/>
        <v>03</v>
      </c>
      <c r="C96" t="s">
        <v>78</v>
      </c>
      <c r="D96">
        <v>202203</v>
      </c>
      <c r="E96" s="11" t="s">
        <v>23</v>
      </c>
      <c r="F96">
        <v>14.42209806</v>
      </c>
      <c r="G96">
        <v>14.42209806</v>
      </c>
      <c r="H96">
        <v>0</v>
      </c>
      <c r="I96">
        <v>22.879968179999999</v>
      </c>
      <c r="J96">
        <v>6.4429411999999999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1.0294418000000001</v>
      </c>
      <c r="R96">
        <v>0</v>
      </c>
      <c r="T96" t="str">
        <f t="shared" si="6"/>
        <v>040030202203</v>
      </c>
      <c r="U96">
        <f t="shared" si="7"/>
        <v>43.745007440000002</v>
      </c>
    </row>
    <row r="97" spans="1:21" x14ac:dyDescent="0.35">
      <c r="A97" t="str">
        <f t="shared" si="4"/>
        <v>2022</v>
      </c>
      <c r="B97" t="str">
        <f t="shared" si="5"/>
        <v>03</v>
      </c>
      <c r="C97" t="s">
        <v>78</v>
      </c>
      <c r="D97">
        <v>202203</v>
      </c>
      <c r="E97" s="11" t="s">
        <v>24</v>
      </c>
      <c r="F97">
        <v>0</v>
      </c>
      <c r="G97">
        <v>0</v>
      </c>
      <c r="H97">
        <v>0</v>
      </c>
      <c r="I97">
        <v>5.7044370000000004</v>
      </c>
      <c r="J97">
        <v>2.35E-2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T97" t="str">
        <f t="shared" si="6"/>
        <v>040036202203</v>
      </c>
      <c r="U97">
        <f t="shared" si="7"/>
        <v>5.7279370000000007</v>
      </c>
    </row>
    <row r="98" spans="1:21" x14ac:dyDescent="0.35">
      <c r="A98" t="str">
        <f t="shared" si="4"/>
        <v>2022</v>
      </c>
      <c r="B98" t="str">
        <f t="shared" si="5"/>
        <v>03</v>
      </c>
      <c r="C98" t="s">
        <v>78</v>
      </c>
      <c r="D98">
        <v>202203</v>
      </c>
      <c r="E98" s="11" t="s">
        <v>25</v>
      </c>
      <c r="F98">
        <v>8.5078259999999997</v>
      </c>
      <c r="G98">
        <v>8.5078259999999997</v>
      </c>
      <c r="H98">
        <v>0</v>
      </c>
      <c r="I98">
        <v>0.93540999999999996</v>
      </c>
      <c r="J98">
        <v>2.0880339999999999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T98" t="str">
        <f t="shared" si="6"/>
        <v>040042202203</v>
      </c>
      <c r="U98">
        <f t="shared" si="7"/>
        <v>11.531269999999999</v>
      </c>
    </row>
    <row r="99" spans="1:21" x14ac:dyDescent="0.35">
      <c r="A99" t="str">
        <f t="shared" si="4"/>
        <v>2022</v>
      </c>
      <c r="B99" t="str">
        <f t="shared" si="5"/>
        <v>03</v>
      </c>
      <c r="C99" t="s">
        <v>78</v>
      </c>
      <c r="D99">
        <v>202203</v>
      </c>
      <c r="E99" s="11" t="s">
        <v>26</v>
      </c>
      <c r="F99">
        <v>12.798505</v>
      </c>
      <c r="G99">
        <v>12.798505</v>
      </c>
      <c r="H99">
        <v>0</v>
      </c>
      <c r="I99">
        <v>163.10106200000001</v>
      </c>
      <c r="J99">
        <v>0</v>
      </c>
      <c r="K99">
        <v>0</v>
      </c>
      <c r="L99">
        <v>8.8575630000000007</v>
      </c>
      <c r="M99">
        <v>8.8575630000000007</v>
      </c>
      <c r="N99">
        <v>0</v>
      </c>
      <c r="O99">
        <v>0</v>
      </c>
      <c r="P99">
        <v>8.2428500000000007</v>
      </c>
      <c r="Q99">
        <v>10.196756000000001</v>
      </c>
      <c r="R99">
        <v>0</v>
      </c>
      <c r="T99" t="str">
        <f t="shared" si="6"/>
        <v>040044202203</v>
      </c>
      <c r="U99">
        <f t="shared" si="7"/>
        <v>175.89956700000002</v>
      </c>
    </row>
    <row r="100" spans="1:21" x14ac:dyDescent="0.35">
      <c r="A100" t="str">
        <f t="shared" si="4"/>
        <v>2022</v>
      </c>
      <c r="B100" t="str">
        <f t="shared" si="5"/>
        <v>03</v>
      </c>
      <c r="C100" t="s">
        <v>78</v>
      </c>
      <c r="D100">
        <v>202203</v>
      </c>
      <c r="E100" s="11" t="s">
        <v>27</v>
      </c>
      <c r="F100">
        <v>15.674823930000001</v>
      </c>
      <c r="G100">
        <v>15.674823930000001</v>
      </c>
      <c r="H100">
        <v>0</v>
      </c>
      <c r="I100">
        <v>8.5433928599999991</v>
      </c>
      <c r="J100">
        <v>2.84789694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 t="str">
        <f t="shared" si="6"/>
        <v>040058202203</v>
      </c>
      <c r="U100">
        <f t="shared" si="7"/>
        <v>27.066113729999998</v>
      </c>
    </row>
    <row r="101" spans="1:21" x14ac:dyDescent="0.35">
      <c r="A101" t="str">
        <f t="shared" si="4"/>
        <v>2022</v>
      </c>
      <c r="B101" t="str">
        <f t="shared" si="5"/>
        <v>03</v>
      </c>
      <c r="C101" t="s">
        <v>78</v>
      </c>
      <c r="D101">
        <v>202203</v>
      </c>
      <c r="E101" s="11" t="s">
        <v>28</v>
      </c>
      <c r="F101">
        <v>0</v>
      </c>
      <c r="G101">
        <v>0</v>
      </c>
      <c r="H101">
        <v>0</v>
      </c>
      <c r="I101">
        <v>31.380115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 t="str">
        <f t="shared" si="6"/>
        <v>040059202203</v>
      </c>
      <c r="U101">
        <f t="shared" si="7"/>
        <v>31.380115</v>
      </c>
    </row>
    <row r="102" spans="1:21" x14ac:dyDescent="0.35">
      <c r="A102" t="str">
        <f t="shared" si="4"/>
        <v>2022</v>
      </c>
      <c r="B102" t="str">
        <f t="shared" si="5"/>
        <v>03</v>
      </c>
      <c r="C102" t="s">
        <v>78</v>
      </c>
      <c r="D102">
        <v>202203</v>
      </c>
      <c r="E102" s="11" t="s">
        <v>29</v>
      </c>
      <c r="F102">
        <v>0.31722499999999998</v>
      </c>
      <c r="G102">
        <v>0.31722499999999998</v>
      </c>
      <c r="H102">
        <v>0</v>
      </c>
      <c r="I102">
        <v>53.550829999999998</v>
      </c>
      <c r="J102">
        <v>2.7289999999999998E-2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T102" t="str">
        <f t="shared" si="6"/>
        <v>040062202203</v>
      </c>
      <c r="U102">
        <f t="shared" si="7"/>
        <v>53.895344999999999</v>
      </c>
    </row>
    <row r="103" spans="1:21" x14ac:dyDescent="0.35">
      <c r="A103" t="str">
        <f t="shared" si="4"/>
        <v>2022</v>
      </c>
      <c r="B103" t="str">
        <f t="shared" si="5"/>
        <v>03</v>
      </c>
      <c r="C103" t="s">
        <v>78</v>
      </c>
      <c r="D103">
        <v>202203</v>
      </c>
      <c r="E103" s="11" t="s">
        <v>30</v>
      </c>
      <c r="F103">
        <v>102.52608481</v>
      </c>
      <c r="G103">
        <v>102.52608481</v>
      </c>
      <c r="H103">
        <v>0</v>
      </c>
      <c r="I103">
        <v>823.09823169000003</v>
      </c>
      <c r="J103">
        <v>276.01002726999997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T103" t="str">
        <f t="shared" si="6"/>
        <v>040072202203</v>
      </c>
      <c r="U103">
        <f t="shared" si="7"/>
        <v>1201.63434377</v>
      </c>
    </row>
    <row r="104" spans="1:21" x14ac:dyDescent="0.35">
      <c r="A104" t="str">
        <f t="shared" si="4"/>
        <v>2022</v>
      </c>
      <c r="B104" t="str">
        <f t="shared" si="5"/>
        <v>03</v>
      </c>
      <c r="C104" t="s">
        <v>78</v>
      </c>
      <c r="D104">
        <v>202203</v>
      </c>
      <c r="E104" s="11" t="s">
        <v>31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T104" t="str">
        <f t="shared" si="6"/>
        <v>040106202203</v>
      </c>
      <c r="U104">
        <f t="shared" si="7"/>
        <v>0</v>
      </c>
    </row>
    <row r="105" spans="1:21" x14ac:dyDescent="0.35">
      <c r="A105" t="str">
        <f t="shared" si="4"/>
        <v>2022</v>
      </c>
      <c r="B105" t="str">
        <f t="shared" si="5"/>
        <v>03</v>
      </c>
      <c r="C105" t="s">
        <v>78</v>
      </c>
      <c r="D105">
        <v>202203</v>
      </c>
      <c r="E105" s="11" t="s">
        <v>32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T105" t="str">
        <f t="shared" si="6"/>
        <v>040108202203</v>
      </c>
      <c r="U105">
        <f t="shared" si="7"/>
        <v>0</v>
      </c>
    </row>
    <row r="106" spans="1:21" x14ac:dyDescent="0.35">
      <c r="A106" t="str">
        <f t="shared" si="4"/>
        <v>2022</v>
      </c>
      <c r="B106" t="str">
        <f t="shared" si="5"/>
        <v>03</v>
      </c>
      <c r="C106" t="s">
        <v>78</v>
      </c>
      <c r="D106">
        <v>202203</v>
      </c>
      <c r="E106" s="11" t="s">
        <v>33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T106" t="str">
        <f t="shared" si="6"/>
        <v>040110202203</v>
      </c>
      <c r="U106">
        <f t="shared" si="7"/>
        <v>0</v>
      </c>
    </row>
    <row r="107" spans="1:21" x14ac:dyDescent="0.35">
      <c r="A107" t="str">
        <f t="shared" si="4"/>
        <v>2022</v>
      </c>
      <c r="B107" t="str">
        <f t="shared" si="5"/>
        <v>03</v>
      </c>
      <c r="C107" t="s">
        <v>78</v>
      </c>
      <c r="D107">
        <v>202203</v>
      </c>
      <c r="E107" s="11" t="s">
        <v>34</v>
      </c>
      <c r="F107">
        <v>0.76820549999999999</v>
      </c>
      <c r="G107">
        <v>0.76820549999999999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T107" t="str">
        <f t="shared" si="6"/>
        <v>040112202203</v>
      </c>
      <c r="U107">
        <f t="shared" si="7"/>
        <v>0.76820549999999999</v>
      </c>
    </row>
    <row r="108" spans="1:21" x14ac:dyDescent="0.35">
      <c r="A108" t="str">
        <f t="shared" si="4"/>
        <v>2022</v>
      </c>
      <c r="B108" t="str">
        <f t="shared" si="5"/>
        <v>03</v>
      </c>
      <c r="C108" t="s">
        <v>78</v>
      </c>
      <c r="D108">
        <v>202203</v>
      </c>
      <c r="E108" s="11" t="s">
        <v>35</v>
      </c>
      <c r="F108">
        <v>63.213974</v>
      </c>
      <c r="G108">
        <v>63.213974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9.4899999999999997E-4</v>
      </c>
      <c r="R108">
        <v>0</v>
      </c>
      <c r="T108" t="str">
        <f t="shared" si="6"/>
        <v>040113202203</v>
      </c>
      <c r="U108">
        <f t="shared" si="7"/>
        <v>63.213974</v>
      </c>
    </row>
    <row r="109" spans="1:21" x14ac:dyDescent="0.35">
      <c r="A109" t="str">
        <f t="shared" si="4"/>
        <v>2022</v>
      </c>
      <c r="B109" t="str">
        <f t="shared" si="5"/>
        <v>03</v>
      </c>
      <c r="C109" t="s">
        <v>78</v>
      </c>
      <c r="D109">
        <v>202203</v>
      </c>
      <c r="E109" s="11" t="s">
        <v>36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T109" t="str">
        <f t="shared" si="6"/>
        <v>040126202203</v>
      </c>
      <c r="U109">
        <f t="shared" si="7"/>
        <v>0</v>
      </c>
    </row>
    <row r="110" spans="1:21" x14ac:dyDescent="0.35">
      <c r="A110" t="str">
        <f t="shared" si="4"/>
        <v>2022</v>
      </c>
      <c r="B110" t="str">
        <f t="shared" si="5"/>
        <v>03</v>
      </c>
      <c r="C110" t="s">
        <v>78</v>
      </c>
      <c r="D110">
        <v>202203</v>
      </c>
      <c r="E110" s="11" t="s">
        <v>37</v>
      </c>
      <c r="F110">
        <v>0</v>
      </c>
      <c r="G110">
        <v>0</v>
      </c>
      <c r="H110">
        <v>0</v>
      </c>
      <c r="I110">
        <v>817.29193399999997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T110" t="str">
        <f t="shared" si="6"/>
        <v>040127202203</v>
      </c>
      <c r="U110">
        <f t="shared" si="7"/>
        <v>817.29193399999997</v>
      </c>
    </row>
    <row r="111" spans="1:21" x14ac:dyDescent="0.35">
      <c r="A111" t="str">
        <f t="shared" si="4"/>
        <v>2022</v>
      </c>
      <c r="B111" t="str">
        <f t="shared" si="5"/>
        <v>03</v>
      </c>
      <c r="C111" t="s">
        <v>78</v>
      </c>
      <c r="D111">
        <v>202203</v>
      </c>
      <c r="E111" s="11" t="s">
        <v>38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T111" t="str">
        <f t="shared" si="6"/>
        <v>040128202203</v>
      </c>
      <c r="U111">
        <f t="shared" si="7"/>
        <v>0</v>
      </c>
    </row>
    <row r="112" spans="1:21" x14ac:dyDescent="0.35">
      <c r="A112" t="str">
        <f t="shared" si="4"/>
        <v>2022</v>
      </c>
      <c r="B112" t="str">
        <f t="shared" si="5"/>
        <v>03</v>
      </c>
      <c r="C112" t="s">
        <v>78</v>
      </c>
      <c r="D112">
        <v>202203</v>
      </c>
      <c r="E112" s="11" t="s">
        <v>39</v>
      </c>
      <c r="F112">
        <v>0</v>
      </c>
      <c r="G112">
        <v>0</v>
      </c>
      <c r="H112">
        <v>0</v>
      </c>
      <c r="I112">
        <v>150.64281099999999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1.3442670000000001</v>
      </c>
      <c r="Q112">
        <v>0</v>
      </c>
      <c r="R112">
        <v>0</v>
      </c>
      <c r="T112" t="str">
        <f t="shared" si="6"/>
        <v>040130202203</v>
      </c>
      <c r="U112">
        <f t="shared" si="7"/>
        <v>150.64281099999999</v>
      </c>
    </row>
    <row r="113" spans="1:21" x14ac:dyDescent="0.35">
      <c r="A113" t="str">
        <f t="shared" si="4"/>
        <v>2022</v>
      </c>
      <c r="B113" t="str">
        <f t="shared" si="5"/>
        <v>03</v>
      </c>
      <c r="C113" t="s">
        <v>78</v>
      </c>
      <c r="D113">
        <v>202203</v>
      </c>
      <c r="E113" s="11" t="s">
        <v>40</v>
      </c>
      <c r="F113">
        <v>1.5517890000000001</v>
      </c>
      <c r="G113">
        <v>1.5517890000000001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T113" t="str">
        <f t="shared" si="6"/>
        <v>040132202203</v>
      </c>
      <c r="U113">
        <f t="shared" si="7"/>
        <v>1.5517890000000001</v>
      </c>
    </row>
    <row r="114" spans="1:21" x14ac:dyDescent="0.35">
      <c r="A114" t="str">
        <f t="shared" si="4"/>
        <v>2022</v>
      </c>
      <c r="B114" t="str">
        <f t="shared" si="5"/>
        <v>03</v>
      </c>
      <c r="C114" t="s">
        <v>78</v>
      </c>
      <c r="D114">
        <v>202203</v>
      </c>
      <c r="E114" s="11" t="s">
        <v>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T114" t="str">
        <f t="shared" si="6"/>
        <v>040133202203</v>
      </c>
      <c r="U114">
        <f t="shared" si="7"/>
        <v>0</v>
      </c>
    </row>
    <row r="115" spans="1:21" x14ac:dyDescent="0.35">
      <c r="A115" t="str">
        <f t="shared" si="4"/>
        <v>2022</v>
      </c>
      <c r="B115" t="str">
        <f t="shared" si="5"/>
        <v>03</v>
      </c>
      <c r="C115" t="s">
        <v>78</v>
      </c>
      <c r="D115">
        <v>202203</v>
      </c>
      <c r="E115" s="11" t="s">
        <v>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T115" t="str">
        <f t="shared" si="6"/>
        <v>040136202203</v>
      </c>
      <c r="U115">
        <f t="shared" si="7"/>
        <v>0</v>
      </c>
    </row>
    <row r="116" spans="1:21" x14ac:dyDescent="0.35">
      <c r="A116" t="str">
        <f t="shared" si="4"/>
        <v>2022</v>
      </c>
      <c r="B116" t="str">
        <f t="shared" si="5"/>
        <v>03</v>
      </c>
      <c r="C116" t="s">
        <v>78</v>
      </c>
      <c r="D116">
        <v>202203</v>
      </c>
      <c r="E116" s="11" t="s">
        <v>43</v>
      </c>
      <c r="F116">
        <v>0</v>
      </c>
      <c r="G116">
        <v>0</v>
      </c>
      <c r="H116">
        <v>0</v>
      </c>
      <c r="I116">
        <v>0.48813148000000001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T116" t="str">
        <f t="shared" si="6"/>
        <v>040137202203</v>
      </c>
      <c r="U116">
        <f t="shared" si="7"/>
        <v>0.48813148000000001</v>
      </c>
    </row>
    <row r="117" spans="1:21" x14ac:dyDescent="0.35">
      <c r="A117" t="str">
        <f t="shared" si="4"/>
        <v>2022</v>
      </c>
      <c r="B117" t="str">
        <f t="shared" si="5"/>
        <v>03</v>
      </c>
      <c r="C117" t="s">
        <v>78</v>
      </c>
      <c r="D117">
        <v>202203</v>
      </c>
      <c r="E117" s="11" t="s">
        <v>44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T117" t="str">
        <f t="shared" si="6"/>
        <v>040138202203</v>
      </c>
      <c r="U117">
        <f t="shared" si="7"/>
        <v>0</v>
      </c>
    </row>
    <row r="118" spans="1:21" x14ac:dyDescent="0.35">
      <c r="A118" t="str">
        <f t="shared" si="4"/>
        <v>2022</v>
      </c>
      <c r="B118" t="str">
        <f t="shared" si="5"/>
        <v>03</v>
      </c>
      <c r="C118" t="s">
        <v>78</v>
      </c>
      <c r="D118">
        <v>202203</v>
      </c>
      <c r="E118" s="11" t="s">
        <v>45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T118" t="str">
        <f t="shared" si="6"/>
        <v>040139202203</v>
      </c>
      <c r="U118">
        <f t="shared" si="7"/>
        <v>0</v>
      </c>
    </row>
    <row r="119" spans="1:21" x14ac:dyDescent="0.35">
      <c r="A119" t="str">
        <f t="shared" si="4"/>
        <v>2022</v>
      </c>
      <c r="B119" t="str">
        <f t="shared" si="5"/>
        <v>03</v>
      </c>
      <c r="C119" t="s">
        <v>78</v>
      </c>
      <c r="D119">
        <v>202203</v>
      </c>
      <c r="E119" s="11" t="s">
        <v>46</v>
      </c>
      <c r="F119">
        <v>0</v>
      </c>
      <c r="G119">
        <v>0</v>
      </c>
      <c r="H119">
        <v>0</v>
      </c>
      <c r="I119">
        <v>38.145716999999998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T119" t="str">
        <f t="shared" si="6"/>
        <v>040140202203</v>
      </c>
      <c r="U119">
        <f t="shared" si="7"/>
        <v>38.145716999999998</v>
      </c>
    </row>
    <row r="120" spans="1:21" x14ac:dyDescent="0.35">
      <c r="A120" t="str">
        <f t="shared" si="4"/>
        <v>2022</v>
      </c>
      <c r="B120" t="str">
        <f t="shared" si="5"/>
        <v>03</v>
      </c>
      <c r="C120" t="s">
        <v>78</v>
      </c>
      <c r="D120">
        <v>202203</v>
      </c>
      <c r="E120" s="11" t="s">
        <v>47</v>
      </c>
      <c r="F120">
        <v>0</v>
      </c>
      <c r="G120">
        <v>0</v>
      </c>
      <c r="H120">
        <v>0</v>
      </c>
      <c r="I120">
        <v>14.102029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T120" t="str">
        <f t="shared" si="6"/>
        <v>040141202203</v>
      </c>
      <c r="U120">
        <f t="shared" si="7"/>
        <v>14.102029</v>
      </c>
    </row>
    <row r="121" spans="1:21" x14ac:dyDescent="0.35">
      <c r="A121" t="str">
        <f t="shared" si="4"/>
        <v>2022</v>
      </c>
      <c r="B121" t="str">
        <f t="shared" si="5"/>
        <v>03</v>
      </c>
      <c r="C121" t="s">
        <v>78</v>
      </c>
      <c r="D121">
        <v>202203</v>
      </c>
      <c r="E121" s="11" t="s">
        <v>48</v>
      </c>
      <c r="F121">
        <v>2.71096044</v>
      </c>
      <c r="G121">
        <v>0.97054691000000004</v>
      </c>
      <c r="H121">
        <v>1.7404135300000001</v>
      </c>
      <c r="I121">
        <v>29.753874579999998</v>
      </c>
      <c r="J121">
        <v>2.2844813500000001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10.34959282</v>
      </c>
      <c r="Q121">
        <v>1.028256E-2</v>
      </c>
      <c r="R121">
        <v>0</v>
      </c>
      <c r="T121" t="str">
        <f t="shared" si="6"/>
        <v>040143202203</v>
      </c>
      <c r="U121">
        <f t="shared" si="7"/>
        <v>34.749316369999995</v>
      </c>
    </row>
    <row r="122" spans="1:21" x14ac:dyDescent="0.35">
      <c r="A122" t="str">
        <f t="shared" si="4"/>
        <v>2022</v>
      </c>
      <c r="B122" t="str">
        <f t="shared" si="5"/>
        <v>03</v>
      </c>
      <c r="C122" t="s">
        <v>78</v>
      </c>
      <c r="D122">
        <v>202203</v>
      </c>
      <c r="E122" s="11" t="s">
        <v>49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T122" t="str">
        <f t="shared" si="6"/>
        <v>040145202203</v>
      </c>
      <c r="U122">
        <f t="shared" si="7"/>
        <v>0</v>
      </c>
    </row>
    <row r="123" spans="1:21" x14ac:dyDescent="0.35">
      <c r="A123" t="str">
        <f t="shared" si="4"/>
        <v>2022</v>
      </c>
      <c r="B123" t="str">
        <f t="shared" si="5"/>
        <v>03</v>
      </c>
      <c r="C123" t="s">
        <v>78</v>
      </c>
      <c r="D123">
        <v>202203</v>
      </c>
      <c r="E123" s="11" t="s">
        <v>50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T123" t="str">
        <f t="shared" si="6"/>
        <v>040147202203</v>
      </c>
      <c r="U123">
        <f t="shared" si="7"/>
        <v>0</v>
      </c>
    </row>
    <row r="124" spans="1:21" x14ac:dyDescent="0.35">
      <c r="A124" t="str">
        <f t="shared" si="4"/>
        <v>2022</v>
      </c>
      <c r="B124" t="str">
        <f t="shared" si="5"/>
        <v>03</v>
      </c>
      <c r="C124" t="s">
        <v>78</v>
      </c>
      <c r="D124">
        <v>202203</v>
      </c>
      <c r="E124" s="11" t="s">
        <v>51</v>
      </c>
      <c r="F124">
        <v>0</v>
      </c>
      <c r="G124">
        <v>0</v>
      </c>
      <c r="H124">
        <v>0</v>
      </c>
      <c r="I124">
        <v>14.650649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0.39199299999999998</v>
      </c>
      <c r="Q124">
        <v>0</v>
      </c>
      <c r="R124">
        <v>0</v>
      </c>
      <c r="T124" t="str">
        <f t="shared" si="6"/>
        <v>040149202203</v>
      </c>
      <c r="U124">
        <f t="shared" si="7"/>
        <v>14.650649</v>
      </c>
    </row>
    <row r="125" spans="1:21" x14ac:dyDescent="0.35">
      <c r="A125" t="str">
        <f t="shared" si="4"/>
        <v>2022</v>
      </c>
      <c r="B125" t="str">
        <f t="shared" si="5"/>
        <v>03</v>
      </c>
      <c r="C125" t="s">
        <v>78</v>
      </c>
      <c r="D125">
        <v>202203</v>
      </c>
      <c r="E125" s="11" t="s">
        <v>52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T125" t="str">
        <f t="shared" si="6"/>
        <v>040150202203</v>
      </c>
      <c r="U125">
        <f t="shared" si="7"/>
        <v>0</v>
      </c>
    </row>
    <row r="126" spans="1:21" x14ac:dyDescent="0.35">
      <c r="A126" t="str">
        <f t="shared" si="4"/>
        <v>2022</v>
      </c>
      <c r="B126" t="str">
        <f t="shared" si="5"/>
        <v>03</v>
      </c>
      <c r="C126" t="s">
        <v>78</v>
      </c>
      <c r="D126">
        <v>202203</v>
      </c>
      <c r="E126" s="11" t="s">
        <v>53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T126" t="str">
        <f t="shared" si="6"/>
        <v>040151202203</v>
      </c>
      <c r="U126">
        <f t="shared" si="7"/>
        <v>0</v>
      </c>
    </row>
    <row r="127" spans="1:21" x14ac:dyDescent="0.35">
      <c r="A127" t="str">
        <f t="shared" si="4"/>
        <v>2022</v>
      </c>
      <c r="B127" t="str">
        <f t="shared" si="5"/>
        <v>03</v>
      </c>
      <c r="C127" t="s">
        <v>78</v>
      </c>
      <c r="D127">
        <v>202203</v>
      </c>
      <c r="E127" s="11" t="s">
        <v>54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T127" t="str">
        <f t="shared" si="6"/>
        <v>040152202203</v>
      </c>
      <c r="U127">
        <f t="shared" si="7"/>
        <v>0</v>
      </c>
    </row>
    <row r="128" spans="1:21" x14ac:dyDescent="0.35">
      <c r="A128" t="str">
        <f t="shared" si="4"/>
        <v>2022</v>
      </c>
      <c r="B128" t="str">
        <f t="shared" si="5"/>
        <v>03</v>
      </c>
      <c r="C128" t="s">
        <v>78</v>
      </c>
      <c r="D128">
        <v>202203</v>
      </c>
      <c r="E128" s="11" t="s">
        <v>55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T128" t="str">
        <f t="shared" si="6"/>
        <v>040154202203</v>
      </c>
      <c r="U128">
        <f t="shared" si="7"/>
        <v>0</v>
      </c>
    </row>
    <row r="129" spans="1:21" x14ac:dyDescent="0.35">
      <c r="A129" t="str">
        <f t="shared" si="4"/>
        <v>2022</v>
      </c>
      <c r="B129" t="str">
        <f t="shared" si="5"/>
        <v>03</v>
      </c>
      <c r="C129" t="s">
        <v>78</v>
      </c>
      <c r="D129">
        <v>202203</v>
      </c>
      <c r="E129" s="11" t="s">
        <v>56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T129" t="str">
        <f t="shared" si="6"/>
        <v>040155202203</v>
      </c>
      <c r="U129">
        <f t="shared" si="7"/>
        <v>0</v>
      </c>
    </row>
    <row r="130" spans="1:21" x14ac:dyDescent="0.35">
      <c r="A130" t="str">
        <f t="shared" si="4"/>
        <v>2022</v>
      </c>
      <c r="B130" t="str">
        <f t="shared" si="5"/>
        <v>03</v>
      </c>
      <c r="C130" t="s">
        <v>78</v>
      </c>
      <c r="D130">
        <v>202203</v>
      </c>
      <c r="E130" s="11" t="s">
        <v>57</v>
      </c>
      <c r="F130">
        <v>2.215284</v>
      </c>
      <c r="G130">
        <v>2.215284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T130" t="str">
        <f t="shared" si="6"/>
        <v>040156202203</v>
      </c>
      <c r="U130">
        <f t="shared" si="7"/>
        <v>2.215284</v>
      </c>
    </row>
    <row r="131" spans="1:21" x14ac:dyDescent="0.35">
      <c r="A131" t="str">
        <f t="shared" ref="A131:A194" si="8">LEFT(D131,4)</f>
        <v>2022</v>
      </c>
      <c r="B131" t="str">
        <f t="shared" ref="B131:B194" si="9">RIGHT(D131,2)</f>
        <v>03</v>
      </c>
      <c r="C131" t="s">
        <v>78</v>
      </c>
      <c r="D131">
        <v>202203</v>
      </c>
      <c r="E131" s="11" t="s">
        <v>58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T131" t="str">
        <f t="shared" ref="T131:T194" si="10">+E131&amp;D131</f>
        <v>040157202203</v>
      </c>
      <c r="U131">
        <f t="shared" ref="U131:U194" si="11">+F131+I131+J131</f>
        <v>0</v>
      </c>
    </row>
    <row r="132" spans="1:21" x14ac:dyDescent="0.35">
      <c r="A132" t="str">
        <f t="shared" si="8"/>
        <v>2022</v>
      </c>
      <c r="B132" t="str">
        <f t="shared" si="9"/>
        <v>03</v>
      </c>
      <c r="C132" t="s">
        <v>78</v>
      </c>
      <c r="D132">
        <v>202203</v>
      </c>
      <c r="E132" s="11" t="s">
        <v>59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T132" t="str">
        <f t="shared" si="10"/>
        <v>040158202203</v>
      </c>
      <c r="U132">
        <f t="shared" si="11"/>
        <v>0</v>
      </c>
    </row>
    <row r="133" spans="1:21" x14ac:dyDescent="0.35">
      <c r="A133" t="str">
        <f t="shared" si="8"/>
        <v>2022</v>
      </c>
      <c r="B133" t="str">
        <f t="shared" si="9"/>
        <v>03</v>
      </c>
      <c r="C133" t="s">
        <v>78</v>
      </c>
      <c r="D133">
        <v>202203</v>
      </c>
      <c r="E133" s="11" t="s">
        <v>60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T133" t="str">
        <f t="shared" si="10"/>
        <v>040159202203</v>
      </c>
      <c r="U133">
        <f t="shared" si="11"/>
        <v>0</v>
      </c>
    </row>
    <row r="134" spans="1:21" x14ac:dyDescent="0.35">
      <c r="A134" t="str">
        <f t="shared" si="8"/>
        <v>2022</v>
      </c>
      <c r="B134" t="str">
        <f t="shared" si="9"/>
        <v>03</v>
      </c>
      <c r="C134" t="s">
        <v>78</v>
      </c>
      <c r="D134">
        <v>202203</v>
      </c>
      <c r="E134" s="11" t="s">
        <v>61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T134" t="str">
        <f t="shared" si="10"/>
        <v>040162202203</v>
      </c>
      <c r="U134">
        <f t="shared" si="11"/>
        <v>0</v>
      </c>
    </row>
    <row r="135" spans="1:21" x14ac:dyDescent="0.35">
      <c r="A135" t="str">
        <f t="shared" si="8"/>
        <v>2022</v>
      </c>
      <c r="B135" t="str">
        <f t="shared" si="9"/>
        <v>04</v>
      </c>
      <c r="C135" t="s">
        <v>79</v>
      </c>
      <c r="D135">
        <v>202204</v>
      </c>
      <c r="E135" s="11">
        <v>5</v>
      </c>
      <c r="F135">
        <v>1383.1430040799999</v>
      </c>
      <c r="G135">
        <v>1382.6726402699999</v>
      </c>
      <c r="H135">
        <v>0.46977991999999996</v>
      </c>
      <c r="I135">
        <v>4975.0167940600004</v>
      </c>
      <c r="J135">
        <v>545.32522760000006</v>
      </c>
      <c r="K135">
        <v>27.224112000000002</v>
      </c>
      <c r="L135">
        <v>1.72490725</v>
      </c>
      <c r="M135">
        <v>1.72490725</v>
      </c>
      <c r="N135">
        <v>0</v>
      </c>
      <c r="O135">
        <v>0</v>
      </c>
      <c r="P135">
        <v>39.300464770000005</v>
      </c>
      <c r="Q135">
        <v>27.88534237</v>
      </c>
      <c r="R135">
        <v>0</v>
      </c>
      <c r="T135" t="str">
        <f t="shared" si="10"/>
        <v>5202204</v>
      </c>
      <c r="U135">
        <f t="shared" si="11"/>
        <v>6903.4850257400003</v>
      </c>
    </row>
    <row r="136" spans="1:21" x14ac:dyDescent="0.35">
      <c r="A136" t="str">
        <f t="shared" si="8"/>
        <v>2022</v>
      </c>
      <c r="B136" t="str">
        <f t="shared" si="9"/>
        <v>04</v>
      </c>
      <c r="C136" t="s">
        <v>79</v>
      </c>
      <c r="D136">
        <v>202204</v>
      </c>
      <c r="E136" s="11" t="s">
        <v>19</v>
      </c>
      <c r="F136">
        <v>188.424215</v>
      </c>
      <c r="G136">
        <v>188.424215</v>
      </c>
      <c r="H136">
        <v>0</v>
      </c>
      <c r="I136">
        <v>145.69775799999999</v>
      </c>
      <c r="J136">
        <v>199.507553</v>
      </c>
      <c r="K136">
        <v>27.224112000000002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 t="str">
        <f t="shared" si="10"/>
        <v>040002202204</v>
      </c>
      <c r="U136">
        <f t="shared" si="11"/>
        <v>533.62952600000006</v>
      </c>
    </row>
    <row r="137" spans="1:21" x14ac:dyDescent="0.35">
      <c r="A137" t="str">
        <f t="shared" si="8"/>
        <v>2022</v>
      </c>
      <c r="B137" t="str">
        <f t="shared" si="9"/>
        <v>04</v>
      </c>
      <c r="C137" t="s">
        <v>79</v>
      </c>
      <c r="D137">
        <v>202204</v>
      </c>
      <c r="E137" s="11" t="s">
        <v>20</v>
      </c>
      <c r="F137">
        <v>160.88141223</v>
      </c>
      <c r="G137">
        <v>160.88141223</v>
      </c>
      <c r="H137">
        <v>0</v>
      </c>
      <c r="I137">
        <v>1903.9966404700001</v>
      </c>
      <c r="J137">
        <v>32.157549600000003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T137" t="str">
        <f t="shared" si="10"/>
        <v>040012202204</v>
      </c>
      <c r="U137">
        <f t="shared" si="11"/>
        <v>2097.0356022999999</v>
      </c>
    </row>
    <row r="138" spans="1:21" x14ac:dyDescent="0.35">
      <c r="A138" t="str">
        <f t="shared" si="8"/>
        <v>2022</v>
      </c>
      <c r="B138" t="str">
        <f t="shared" si="9"/>
        <v>04</v>
      </c>
      <c r="C138" t="s">
        <v>79</v>
      </c>
      <c r="D138">
        <v>202204</v>
      </c>
      <c r="E138" s="11" t="s">
        <v>21</v>
      </c>
      <c r="F138">
        <v>578.26473033000002</v>
      </c>
      <c r="G138">
        <v>578.26473033000002</v>
      </c>
      <c r="H138">
        <v>0</v>
      </c>
      <c r="I138">
        <v>277.753827</v>
      </c>
      <c r="J138">
        <v>141.43491499999999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T138" t="str">
        <f t="shared" si="10"/>
        <v>040014202204</v>
      </c>
      <c r="U138">
        <f t="shared" si="11"/>
        <v>997.45347233000007</v>
      </c>
    </row>
    <row r="139" spans="1:21" x14ac:dyDescent="0.35">
      <c r="A139" t="str">
        <f t="shared" si="8"/>
        <v>2022</v>
      </c>
      <c r="B139" t="str">
        <f t="shared" si="9"/>
        <v>04</v>
      </c>
      <c r="C139" t="s">
        <v>79</v>
      </c>
      <c r="D139">
        <v>202204</v>
      </c>
      <c r="E139" s="11" t="s">
        <v>22</v>
      </c>
      <c r="F139">
        <v>275.50389899999999</v>
      </c>
      <c r="G139">
        <v>275.50389799999999</v>
      </c>
      <c r="H139">
        <v>0</v>
      </c>
      <c r="I139">
        <v>590.55893600000002</v>
      </c>
      <c r="J139">
        <v>24.722517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17.42191</v>
      </c>
      <c r="Q139">
        <v>13.930595</v>
      </c>
      <c r="R139">
        <v>0</v>
      </c>
      <c r="T139" t="str">
        <f t="shared" si="10"/>
        <v>040021202204</v>
      </c>
      <c r="U139">
        <f t="shared" si="11"/>
        <v>890.78535199999999</v>
      </c>
    </row>
    <row r="140" spans="1:21" x14ac:dyDescent="0.35">
      <c r="A140" t="str">
        <f t="shared" si="8"/>
        <v>2022</v>
      </c>
      <c r="B140" t="str">
        <f t="shared" si="9"/>
        <v>04</v>
      </c>
      <c r="C140" t="s">
        <v>79</v>
      </c>
      <c r="D140">
        <v>202204</v>
      </c>
      <c r="E140" s="11" t="s">
        <v>23</v>
      </c>
      <c r="F140">
        <v>16.905404799999999</v>
      </c>
      <c r="G140">
        <v>16.905404799999999</v>
      </c>
      <c r="H140">
        <v>0</v>
      </c>
      <c r="I140">
        <v>19.934242739999998</v>
      </c>
      <c r="J140">
        <v>6.3788438300000001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0.44226128000000003</v>
      </c>
      <c r="R140">
        <v>0</v>
      </c>
      <c r="T140" t="str">
        <f t="shared" si="10"/>
        <v>040030202204</v>
      </c>
      <c r="U140">
        <f t="shared" si="11"/>
        <v>43.218491370000002</v>
      </c>
    </row>
    <row r="141" spans="1:21" x14ac:dyDescent="0.35">
      <c r="A141" t="str">
        <f t="shared" si="8"/>
        <v>2022</v>
      </c>
      <c r="B141" t="str">
        <f t="shared" si="9"/>
        <v>04</v>
      </c>
      <c r="C141" t="s">
        <v>79</v>
      </c>
      <c r="D141">
        <v>202204</v>
      </c>
      <c r="E141" s="11" t="s">
        <v>24</v>
      </c>
      <c r="F141">
        <v>0</v>
      </c>
      <c r="G141">
        <v>0</v>
      </c>
      <c r="H141">
        <v>0</v>
      </c>
      <c r="I141">
        <v>5.7698280000000004</v>
      </c>
      <c r="J141">
        <v>1.0442E-2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 t="str">
        <f t="shared" si="10"/>
        <v>040036202204</v>
      </c>
      <c r="U141">
        <f t="shared" si="11"/>
        <v>5.7802700000000007</v>
      </c>
    </row>
    <row r="142" spans="1:21" x14ac:dyDescent="0.35">
      <c r="A142" t="str">
        <f t="shared" si="8"/>
        <v>2022</v>
      </c>
      <c r="B142" t="str">
        <f t="shared" si="9"/>
        <v>04</v>
      </c>
      <c r="C142" t="s">
        <v>79</v>
      </c>
      <c r="D142">
        <v>202204</v>
      </c>
      <c r="E142" s="11" t="s">
        <v>25</v>
      </c>
      <c r="F142">
        <v>0.151119</v>
      </c>
      <c r="G142">
        <v>0.151119</v>
      </c>
      <c r="H142">
        <v>0</v>
      </c>
      <c r="I142">
        <v>0.35435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T142" t="str">
        <f t="shared" si="10"/>
        <v>040042202204</v>
      </c>
      <c r="U142">
        <f t="shared" si="11"/>
        <v>0.50546899999999995</v>
      </c>
    </row>
    <row r="143" spans="1:21" x14ac:dyDescent="0.35">
      <c r="A143" t="str">
        <f t="shared" si="8"/>
        <v>2022</v>
      </c>
      <c r="B143" t="str">
        <f t="shared" si="9"/>
        <v>04</v>
      </c>
      <c r="C143" t="s">
        <v>79</v>
      </c>
      <c r="D143">
        <v>202204</v>
      </c>
      <c r="E143" s="11" t="s">
        <v>26</v>
      </c>
      <c r="F143">
        <v>3.8737379999999999</v>
      </c>
      <c r="G143">
        <v>3.8737379999999999</v>
      </c>
      <c r="H143">
        <v>0</v>
      </c>
      <c r="I143">
        <v>140.457448</v>
      </c>
      <c r="J143">
        <v>0</v>
      </c>
      <c r="K143">
        <v>0</v>
      </c>
      <c r="L143">
        <v>1.6045990000000001</v>
      </c>
      <c r="M143">
        <v>1.6045990000000001</v>
      </c>
      <c r="N143">
        <v>0</v>
      </c>
      <c r="O143">
        <v>0</v>
      </c>
      <c r="P143">
        <v>12.393143999999999</v>
      </c>
      <c r="Q143">
        <v>13.102937000000001</v>
      </c>
      <c r="R143">
        <v>0</v>
      </c>
      <c r="T143" t="str">
        <f t="shared" si="10"/>
        <v>040044202204</v>
      </c>
      <c r="U143">
        <f t="shared" si="11"/>
        <v>144.331186</v>
      </c>
    </row>
    <row r="144" spans="1:21" x14ac:dyDescent="0.35">
      <c r="A144" t="str">
        <f t="shared" si="8"/>
        <v>2022</v>
      </c>
      <c r="B144" t="str">
        <f t="shared" si="9"/>
        <v>04</v>
      </c>
      <c r="C144" t="s">
        <v>79</v>
      </c>
      <c r="D144">
        <v>202204</v>
      </c>
      <c r="E144" s="11" t="s">
        <v>27</v>
      </c>
      <c r="F144">
        <v>63.345997709999999</v>
      </c>
      <c r="G144">
        <v>63.345997709999999</v>
      </c>
      <c r="H144">
        <v>0</v>
      </c>
      <c r="I144">
        <v>22.594940010000002</v>
      </c>
      <c r="J144">
        <v>0.91408920999999999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T144" t="str">
        <f t="shared" si="10"/>
        <v>040058202204</v>
      </c>
      <c r="U144">
        <f t="shared" si="11"/>
        <v>86.855026929999994</v>
      </c>
    </row>
    <row r="145" spans="1:21" x14ac:dyDescent="0.35">
      <c r="A145" t="str">
        <f t="shared" si="8"/>
        <v>2022</v>
      </c>
      <c r="B145" t="str">
        <f t="shared" si="9"/>
        <v>04</v>
      </c>
      <c r="C145" t="s">
        <v>79</v>
      </c>
      <c r="D145">
        <v>202204</v>
      </c>
      <c r="E145" s="11" t="s">
        <v>28</v>
      </c>
      <c r="F145">
        <v>0</v>
      </c>
      <c r="G145">
        <v>0</v>
      </c>
      <c r="H145">
        <v>0</v>
      </c>
      <c r="I145">
        <v>29.523330999999999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T145" t="str">
        <f t="shared" si="10"/>
        <v>040059202204</v>
      </c>
      <c r="U145">
        <f t="shared" si="11"/>
        <v>29.523330999999999</v>
      </c>
    </row>
    <row r="146" spans="1:21" x14ac:dyDescent="0.35">
      <c r="A146" t="str">
        <f t="shared" si="8"/>
        <v>2022</v>
      </c>
      <c r="B146" t="str">
        <f t="shared" si="9"/>
        <v>04</v>
      </c>
      <c r="C146" t="s">
        <v>79</v>
      </c>
      <c r="D146">
        <v>202204</v>
      </c>
      <c r="E146" s="11" t="s">
        <v>62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T146" t="str">
        <f t="shared" si="10"/>
        <v>040060202204</v>
      </c>
      <c r="U146">
        <f t="shared" si="11"/>
        <v>0</v>
      </c>
    </row>
    <row r="147" spans="1:21" x14ac:dyDescent="0.35">
      <c r="A147" t="str">
        <f t="shared" si="8"/>
        <v>2022</v>
      </c>
      <c r="B147" t="str">
        <f t="shared" si="9"/>
        <v>04</v>
      </c>
      <c r="C147" t="s">
        <v>79</v>
      </c>
      <c r="D147">
        <v>202204</v>
      </c>
      <c r="E147" s="11" t="s">
        <v>29</v>
      </c>
      <c r="F147">
        <v>9.2739999999999993E-3</v>
      </c>
      <c r="G147">
        <v>9.2739999999999993E-3</v>
      </c>
      <c r="H147">
        <v>0</v>
      </c>
      <c r="I147">
        <v>47.785091000000001</v>
      </c>
      <c r="J147">
        <v>0.101686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T147" t="str">
        <f t="shared" si="10"/>
        <v>040062202204</v>
      </c>
      <c r="U147">
        <f t="shared" si="11"/>
        <v>47.896051</v>
      </c>
    </row>
    <row r="148" spans="1:21" x14ac:dyDescent="0.35">
      <c r="A148" t="str">
        <f t="shared" si="8"/>
        <v>2022</v>
      </c>
      <c r="B148" t="str">
        <f t="shared" si="9"/>
        <v>04</v>
      </c>
      <c r="C148" t="s">
        <v>79</v>
      </c>
      <c r="D148">
        <v>202204</v>
      </c>
      <c r="E148" s="11" t="s">
        <v>30</v>
      </c>
      <c r="F148">
        <v>76.513828619999998</v>
      </c>
      <c r="G148">
        <v>76.513245730000008</v>
      </c>
      <c r="H148">
        <v>0</v>
      </c>
      <c r="I148">
        <v>849.24666021000007</v>
      </c>
      <c r="J148">
        <v>140.04152845999999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T148" t="str">
        <f t="shared" si="10"/>
        <v>040072202204</v>
      </c>
      <c r="U148">
        <f t="shared" si="11"/>
        <v>1065.8020172900001</v>
      </c>
    </row>
    <row r="149" spans="1:21" x14ac:dyDescent="0.35">
      <c r="A149" t="str">
        <f t="shared" si="8"/>
        <v>2022</v>
      </c>
      <c r="B149" t="str">
        <f t="shared" si="9"/>
        <v>04</v>
      </c>
      <c r="C149" t="s">
        <v>79</v>
      </c>
      <c r="D149">
        <v>202204</v>
      </c>
      <c r="E149" s="11" t="s">
        <v>31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T149" t="str">
        <f t="shared" si="10"/>
        <v>040106202204</v>
      </c>
      <c r="U149">
        <f t="shared" si="11"/>
        <v>0</v>
      </c>
    </row>
    <row r="150" spans="1:21" x14ac:dyDescent="0.35">
      <c r="A150" t="str">
        <f t="shared" si="8"/>
        <v>2022</v>
      </c>
      <c r="B150" t="str">
        <f t="shared" si="9"/>
        <v>04</v>
      </c>
      <c r="C150" t="s">
        <v>79</v>
      </c>
      <c r="D150">
        <v>202204</v>
      </c>
      <c r="E150" s="11" t="s">
        <v>32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T150" t="str">
        <f t="shared" si="10"/>
        <v>040108202204</v>
      </c>
      <c r="U150">
        <f t="shared" si="11"/>
        <v>0</v>
      </c>
    </row>
    <row r="151" spans="1:21" x14ac:dyDescent="0.35">
      <c r="A151" t="str">
        <f t="shared" si="8"/>
        <v>2022</v>
      </c>
      <c r="B151" t="str">
        <f t="shared" si="9"/>
        <v>04</v>
      </c>
      <c r="C151" t="s">
        <v>79</v>
      </c>
      <c r="D151">
        <v>202204</v>
      </c>
      <c r="E151" s="11" t="s">
        <v>33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T151" t="str">
        <f t="shared" si="10"/>
        <v>040110202204</v>
      </c>
      <c r="U151">
        <f t="shared" si="11"/>
        <v>0</v>
      </c>
    </row>
    <row r="152" spans="1:21" x14ac:dyDescent="0.35">
      <c r="A152" t="str">
        <f t="shared" si="8"/>
        <v>2022</v>
      </c>
      <c r="B152" t="str">
        <f t="shared" si="9"/>
        <v>04</v>
      </c>
      <c r="C152" t="s">
        <v>79</v>
      </c>
      <c r="D152">
        <v>202204</v>
      </c>
      <c r="E152" s="11" t="s">
        <v>34</v>
      </c>
      <c r="F152">
        <v>17.188411760000001</v>
      </c>
      <c r="G152">
        <v>17.188411760000001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T152" t="str">
        <f t="shared" si="10"/>
        <v>040112202204</v>
      </c>
      <c r="U152">
        <f t="shared" si="11"/>
        <v>17.188411760000001</v>
      </c>
    </row>
    <row r="153" spans="1:21" x14ac:dyDescent="0.35">
      <c r="A153" t="str">
        <f t="shared" si="8"/>
        <v>2022</v>
      </c>
      <c r="B153" t="str">
        <f t="shared" si="9"/>
        <v>04</v>
      </c>
      <c r="C153" t="s">
        <v>79</v>
      </c>
      <c r="D153">
        <v>202204</v>
      </c>
      <c r="E153" s="11" t="s">
        <v>35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T153" t="str">
        <f t="shared" si="10"/>
        <v>040113202204</v>
      </c>
      <c r="U153">
        <f t="shared" si="11"/>
        <v>0</v>
      </c>
    </row>
    <row r="154" spans="1:21" x14ac:dyDescent="0.35">
      <c r="A154" t="str">
        <f t="shared" si="8"/>
        <v>2022</v>
      </c>
      <c r="B154" t="str">
        <f t="shared" si="9"/>
        <v>04</v>
      </c>
      <c r="C154" t="s">
        <v>79</v>
      </c>
      <c r="D154">
        <v>202204</v>
      </c>
      <c r="E154" s="11" t="s">
        <v>36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T154" t="str">
        <f t="shared" si="10"/>
        <v>040126202204</v>
      </c>
      <c r="U154">
        <f t="shared" si="11"/>
        <v>0</v>
      </c>
    </row>
    <row r="155" spans="1:21" x14ac:dyDescent="0.35">
      <c r="A155" t="str">
        <f t="shared" si="8"/>
        <v>2022</v>
      </c>
      <c r="B155" t="str">
        <f t="shared" si="9"/>
        <v>04</v>
      </c>
      <c r="C155" t="s">
        <v>79</v>
      </c>
      <c r="D155">
        <v>202204</v>
      </c>
      <c r="E155" s="11" t="s">
        <v>37</v>
      </c>
      <c r="F155">
        <v>0</v>
      </c>
      <c r="G155">
        <v>0</v>
      </c>
      <c r="H155">
        <v>0</v>
      </c>
      <c r="I155">
        <v>739.72262132000003</v>
      </c>
      <c r="J155">
        <v>1.028688E-2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T155" t="str">
        <f t="shared" si="10"/>
        <v>040127202204</v>
      </c>
      <c r="U155">
        <f t="shared" si="11"/>
        <v>739.7329082</v>
      </c>
    </row>
    <row r="156" spans="1:21" x14ac:dyDescent="0.35">
      <c r="A156" t="str">
        <f t="shared" si="8"/>
        <v>2022</v>
      </c>
      <c r="B156" t="str">
        <f t="shared" si="9"/>
        <v>04</v>
      </c>
      <c r="C156" t="s">
        <v>79</v>
      </c>
      <c r="D156">
        <v>202204</v>
      </c>
      <c r="E156" s="11" t="s">
        <v>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T156" t="str">
        <f t="shared" si="10"/>
        <v>040128202204</v>
      </c>
      <c r="U156">
        <f t="shared" si="11"/>
        <v>0</v>
      </c>
    </row>
    <row r="157" spans="1:21" x14ac:dyDescent="0.35">
      <c r="A157" t="str">
        <f t="shared" si="8"/>
        <v>2022</v>
      </c>
      <c r="B157" t="str">
        <f t="shared" si="9"/>
        <v>04</v>
      </c>
      <c r="C157" t="s">
        <v>79</v>
      </c>
      <c r="D157">
        <v>202204</v>
      </c>
      <c r="E157" s="11" t="s">
        <v>39</v>
      </c>
      <c r="F157">
        <v>0</v>
      </c>
      <c r="G157">
        <v>0</v>
      </c>
      <c r="H157">
        <v>0</v>
      </c>
      <c r="I157">
        <v>169.299691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1.2262420000000001</v>
      </c>
      <c r="Q157">
        <v>0</v>
      </c>
      <c r="R157">
        <v>0</v>
      </c>
      <c r="T157" t="str">
        <f t="shared" si="10"/>
        <v>040130202204</v>
      </c>
      <c r="U157">
        <f t="shared" si="11"/>
        <v>169.299691</v>
      </c>
    </row>
    <row r="158" spans="1:21" x14ac:dyDescent="0.35">
      <c r="A158" t="str">
        <f t="shared" si="8"/>
        <v>2022</v>
      </c>
      <c r="B158" t="str">
        <f t="shared" si="9"/>
        <v>04</v>
      </c>
      <c r="C158" t="s">
        <v>79</v>
      </c>
      <c r="D158">
        <v>202204</v>
      </c>
      <c r="E158" s="11" t="s">
        <v>40</v>
      </c>
      <c r="F158">
        <v>0.21123600000000001</v>
      </c>
      <c r="G158">
        <v>0.21123600000000001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T158" t="str">
        <f t="shared" si="10"/>
        <v>040132202204</v>
      </c>
      <c r="U158">
        <f t="shared" si="11"/>
        <v>0.21123600000000001</v>
      </c>
    </row>
    <row r="159" spans="1:21" x14ac:dyDescent="0.35">
      <c r="A159" t="str">
        <f t="shared" si="8"/>
        <v>2022</v>
      </c>
      <c r="B159" t="str">
        <f t="shared" si="9"/>
        <v>04</v>
      </c>
      <c r="C159" t="s">
        <v>79</v>
      </c>
      <c r="D159">
        <v>202204</v>
      </c>
      <c r="E159" s="11" t="s">
        <v>41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T159" t="str">
        <f t="shared" si="10"/>
        <v>040133202204</v>
      </c>
      <c r="U159">
        <f t="shared" si="11"/>
        <v>0</v>
      </c>
    </row>
    <row r="160" spans="1:21" x14ac:dyDescent="0.35">
      <c r="A160" t="str">
        <f t="shared" si="8"/>
        <v>2022</v>
      </c>
      <c r="B160" t="str">
        <f t="shared" si="9"/>
        <v>04</v>
      </c>
      <c r="C160" t="s">
        <v>79</v>
      </c>
      <c r="D160">
        <v>202204</v>
      </c>
      <c r="E160" s="11" t="s">
        <v>42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T160" t="str">
        <f t="shared" si="10"/>
        <v>040136202204</v>
      </c>
      <c r="U160">
        <f t="shared" si="11"/>
        <v>0</v>
      </c>
    </row>
    <row r="161" spans="1:21" x14ac:dyDescent="0.35">
      <c r="A161" t="str">
        <f t="shared" si="8"/>
        <v>2022</v>
      </c>
      <c r="B161" t="str">
        <f t="shared" si="9"/>
        <v>04</v>
      </c>
      <c r="C161" t="s">
        <v>79</v>
      </c>
      <c r="D161">
        <v>202204</v>
      </c>
      <c r="E161" s="11" t="s">
        <v>43</v>
      </c>
      <c r="F161">
        <v>0</v>
      </c>
      <c r="G161">
        <v>0</v>
      </c>
      <c r="H161">
        <v>0</v>
      </c>
      <c r="I161">
        <v>0.14165914999999998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 t="str">
        <f t="shared" si="10"/>
        <v>040137202204</v>
      </c>
      <c r="U161">
        <f t="shared" si="11"/>
        <v>0.14165914999999998</v>
      </c>
    </row>
    <row r="162" spans="1:21" x14ac:dyDescent="0.35">
      <c r="A162" t="str">
        <f t="shared" si="8"/>
        <v>2022</v>
      </c>
      <c r="B162" t="str">
        <f t="shared" si="9"/>
        <v>04</v>
      </c>
      <c r="C162" t="s">
        <v>79</v>
      </c>
      <c r="D162">
        <v>202204</v>
      </c>
      <c r="E162" s="11" t="s">
        <v>44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T162" t="str">
        <f t="shared" si="10"/>
        <v>040138202204</v>
      </c>
      <c r="U162">
        <f t="shared" si="11"/>
        <v>0</v>
      </c>
    </row>
    <row r="163" spans="1:21" x14ac:dyDescent="0.35">
      <c r="A163" t="str">
        <f t="shared" si="8"/>
        <v>2022</v>
      </c>
      <c r="B163" t="str">
        <f t="shared" si="9"/>
        <v>04</v>
      </c>
      <c r="C163" t="s">
        <v>79</v>
      </c>
      <c r="D163">
        <v>202204</v>
      </c>
      <c r="E163" s="11" t="s">
        <v>45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T163" t="str">
        <f t="shared" si="10"/>
        <v>040139202204</v>
      </c>
      <c r="U163">
        <f t="shared" si="11"/>
        <v>0</v>
      </c>
    </row>
    <row r="164" spans="1:21" x14ac:dyDescent="0.35">
      <c r="A164" t="str">
        <f t="shared" si="8"/>
        <v>2022</v>
      </c>
      <c r="B164" t="str">
        <f t="shared" si="9"/>
        <v>04</v>
      </c>
      <c r="C164" t="s">
        <v>79</v>
      </c>
      <c r="D164">
        <v>202204</v>
      </c>
      <c r="E164" s="11" t="s">
        <v>46</v>
      </c>
      <c r="F164">
        <v>0</v>
      </c>
      <c r="G164">
        <v>0</v>
      </c>
      <c r="H164">
        <v>0</v>
      </c>
      <c r="I164">
        <v>18.110028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T164" t="str">
        <f t="shared" si="10"/>
        <v>040140202204</v>
      </c>
      <c r="U164">
        <f t="shared" si="11"/>
        <v>18.110028</v>
      </c>
    </row>
    <row r="165" spans="1:21" x14ac:dyDescent="0.35">
      <c r="A165" t="str">
        <f t="shared" si="8"/>
        <v>2022</v>
      </c>
      <c r="B165" t="str">
        <f t="shared" si="9"/>
        <v>04</v>
      </c>
      <c r="C165" t="s">
        <v>79</v>
      </c>
      <c r="D165">
        <v>202204</v>
      </c>
      <c r="E165" s="11" t="s">
        <v>47</v>
      </c>
      <c r="F165">
        <v>0</v>
      </c>
      <c r="G165">
        <v>0</v>
      </c>
      <c r="H165">
        <v>0</v>
      </c>
      <c r="I165">
        <v>0.29223700000000002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T165" t="str">
        <f t="shared" si="10"/>
        <v>040141202204</v>
      </c>
      <c r="U165">
        <f t="shared" si="11"/>
        <v>0.29223700000000002</v>
      </c>
    </row>
    <row r="166" spans="1:21" x14ac:dyDescent="0.35">
      <c r="A166" t="str">
        <f t="shared" si="8"/>
        <v>2022</v>
      </c>
      <c r="B166" t="str">
        <f t="shared" si="9"/>
        <v>04</v>
      </c>
      <c r="C166" t="s">
        <v>79</v>
      </c>
      <c r="D166">
        <v>202204</v>
      </c>
      <c r="E166" s="11" t="s">
        <v>48</v>
      </c>
      <c r="F166">
        <v>1.8697376299999999</v>
      </c>
      <c r="G166">
        <v>1.39995771</v>
      </c>
      <c r="H166">
        <v>0.46977991999999996</v>
      </c>
      <c r="I166">
        <v>2.8894111600000003</v>
      </c>
      <c r="J166">
        <v>4.5816620000000002E-2</v>
      </c>
      <c r="K166">
        <v>0</v>
      </c>
      <c r="L166">
        <v>1.3925E-4</v>
      </c>
      <c r="M166">
        <v>1.3925E-4</v>
      </c>
      <c r="N166">
        <v>0</v>
      </c>
      <c r="O166">
        <v>0</v>
      </c>
      <c r="P166">
        <v>8.1563687700000003</v>
      </c>
      <c r="Q166">
        <v>0.40954909</v>
      </c>
      <c r="R166">
        <v>0</v>
      </c>
      <c r="T166" t="str">
        <f t="shared" si="10"/>
        <v>040143202204</v>
      </c>
      <c r="U166">
        <f t="shared" si="11"/>
        <v>4.8049654100000003</v>
      </c>
    </row>
    <row r="167" spans="1:21" x14ac:dyDescent="0.35">
      <c r="A167" t="str">
        <f t="shared" si="8"/>
        <v>2022</v>
      </c>
      <c r="B167" t="str">
        <f t="shared" si="9"/>
        <v>04</v>
      </c>
      <c r="C167" t="s">
        <v>79</v>
      </c>
      <c r="D167">
        <v>202204</v>
      </c>
      <c r="E167" s="11" t="s">
        <v>49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T167" t="str">
        <f t="shared" si="10"/>
        <v>040145202204</v>
      </c>
      <c r="U167">
        <f t="shared" si="11"/>
        <v>0</v>
      </c>
    </row>
    <row r="168" spans="1:21" x14ac:dyDescent="0.35">
      <c r="A168" t="str">
        <f t="shared" si="8"/>
        <v>2022</v>
      </c>
      <c r="B168" t="str">
        <f t="shared" si="9"/>
        <v>04</v>
      </c>
      <c r="C168" t="s">
        <v>79</v>
      </c>
      <c r="D168">
        <v>202204</v>
      </c>
      <c r="E168" s="11" t="s">
        <v>50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T168" t="str">
        <f t="shared" si="10"/>
        <v>040147202204</v>
      </c>
      <c r="U168">
        <f t="shared" si="11"/>
        <v>0</v>
      </c>
    </row>
    <row r="169" spans="1:21" x14ac:dyDescent="0.35">
      <c r="A169" t="str">
        <f t="shared" si="8"/>
        <v>2022</v>
      </c>
      <c r="B169" t="str">
        <f t="shared" si="9"/>
        <v>04</v>
      </c>
      <c r="C169" t="s">
        <v>79</v>
      </c>
      <c r="D169">
        <v>202204</v>
      </c>
      <c r="E169" s="11" t="s">
        <v>51</v>
      </c>
      <c r="F169">
        <v>0</v>
      </c>
      <c r="G169">
        <v>0</v>
      </c>
      <c r="H169">
        <v>0</v>
      </c>
      <c r="I169">
        <v>10.888094000000001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0.1028</v>
      </c>
      <c r="Q169">
        <v>0</v>
      </c>
      <c r="R169">
        <v>0</v>
      </c>
      <c r="T169" t="str">
        <f t="shared" si="10"/>
        <v>040149202204</v>
      </c>
      <c r="U169">
        <f t="shared" si="11"/>
        <v>10.888094000000001</v>
      </c>
    </row>
    <row r="170" spans="1:21" x14ac:dyDescent="0.35">
      <c r="A170" t="str">
        <f t="shared" si="8"/>
        <v>2022</v>
      </c>
      <c r="B170" t="str">
        <f t="shared" si="9"/>
        <v>04</v>
      </c>
      <c r="C170" t="s">
        <v>79</v>
      </c>
      <c r="D170">
        <v>202204</v>
      </c>
      <c r="E170" s="11" t="s">
        <v>52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T170" t="str">
        <f t="shared" si="10"/>
        <v>040150202204</v>
      </c>
      <c r="U170">
        <f t="shared" si="11"/>
        <v>0</v>
      </c>
    </row>
    <row r="171" spans="1:21" x14ac:dyDescent="0.35">
      <c r="A171" t="str">
        <f t="shared" si="8"/>
        <v>2022</v>
      </c>
      <c r="B171" t="str">
        <f t="shared" si="9"/>
        <v>04</v>
      </c>
      <c r="C171" t="s">
        <v>79</v>
      </c>
      <c r="D171">
        <v>202204</v>
      </c>
      <c r="E171" s="11" t="s">
        <v>53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T171" t="str">
        <f t="shared" si="10"/>
        <v>040151202204</v>
      </c>
      <c r="U171">
        <f t="shared" si="11"/>
        <v>0</v>
      </c>
    </row>
    <row r="172" spans="1:21" x14ac:dyDescent="0.35">
      <c r="A172" t="str">
        <f t="shared" si="8"/>
        <v>2022</v>
      </c>
      <c r="B172" t="str">
        <f t="shared" si="9"/>
        <v>04</v>
      </c>
      <c r="C172" t="s">
        <v>79</v>
      </c>
      <c r="D172">
        <v>202204</v>
      </c>
      <c r="E172" s="11" t="s">
        <v>55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T172" t="str">
        <f t="shared" si="10"/>
        <v>040154202204</v>
      </c>
      <c r="U172">
        <f t="shared" si="11"/>
        <v>0</v>
      </c>
    </row>
    <row r="173" spans="1:21" x14ac:dyDescent="0.35">
      <c r="A173" t="str">
        <f t="shared" si="8"/>
        <v>2022</v>
      </c>
      <c r="B173" t="str">
        <f t="shared" si="9"/>
        <v>04</v>
      </c>
      <c r="C173" t="s">
        <v>79</v>
      </c>
      <c r="D173">
        <v>202204</v>
      </c>
      <c r="E173" s="11" t="s">
        <v>56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T173" t="str">
        <f t="shared" si="10"/>
        <v>040155202204</v>
      </c>
      <c r="U173">
        <f t="shared" si="11"/>
        <v>0</v>
      </c>
    </row>
    <row r="174" spans="1:21" x14ac:dyDescent="0.35">
      <c r="A174" t="str">
        <f t="shared" si="8"/>
        <v>2022</v>
      </c>
      <c r="B174" t="str">
        <f t="shared" si="9"/>
        <v>04</v>
      </c>
      <c r="C174" t="s">
        <v>79</v>
      </c>
      <c r="D174">
        <v>202204</v>
      </c>
      <c r="E174" s="11" t="s">
        <v>57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0.120169</v>
      </c>
      <c r="M174">
        <v>0.120169</v>
      </c>
      <c r="N174">
        <v>0</v>
      </c>
      <c r="O174">
        <v>0</v>
      </c>
      <c r="P174">
        <v>0</v>
      </c>
      <c r="Q174">
        <v>0</v>
      </c>
      <c r="R174">
        <v>0</v>
      </c>
      <c r="T174" t="str">
        <f t="shared" si="10"/>
        <v>040156202204</v>
      </c>
      <c r="U174">
        <f t="shared" si="11"/>
        <v>0</v>
      </c>
    </row>
    <row r="175" spans="1:21" x14ac:dyDescent="0.35">
      <c r="A175" t="str">
        <f t="shared" si="8"/>
        <v>2022</v>
      </c>
      <c r="B175" t="str">
        <f t="shared" si="9"/>
        <v>04</v>
      </c>
      <c r="C175" t="s">
        <v>79</v>
      </c>
      <c r="D175">
        <v>202204</v>
      </c>
      <c r="E175" s="11" t="s">
        <v>58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T175" t="str">
        <f t="shared" si="10"/>
        <v>040157202204</v>
      </c>
      <c r="U175">
        <f t="shared" si="11"/>
        <v>0</v>
      </c>
    </row>
    <row r="176" spans="1:21" x14ac:dyDescent="0.35">
      <c r="A176" t="str">
        <f t="shared" si="8"/>
        <v>2022</v>
      </c>
      <c r="B176" t="str">
        <f t="shared" si="9"/>
        <v>04</v>
      </c>
      <c r="C176" t="s">
        <v>79</v>
      </c>
      <c r="D176">
        <v>202204</v>
      </c>
      <c r="E176" s="11" t="s">
        <v>59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T176" t="str">
        <f t="shared" si="10"/>
        <v>040158202204</v>
      </c>
      <c r="U176">
        <f t="shared" si="11"/>
        <v>0</v>
      </c>
    </row>
    <row r="177" spans="1:21" x14ac:dyDescent="0.35">
      <c r="A177" t="str">
        <f t="shared" si="8"/>
        <v>2022</v>
      </c>
      <c r="B177" t="str">
        <f t="shared" si="9"/>
        <v>04</v>
      </c>
      <c r="C177" t="s">
        <v>79</v>
      </c>
      <c r="D177">
        <v>202204</v>
      </c>
      <c r="E177" s="11" t="s">
        <v>60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T177" t="str">
        <f t="shared" si="10"/>
        <v>040159202204</v>
      </c>
      <c r="U177">
        <f t="shared" si="11"/>
        <v>0</v>
      </c>
    </row>
    <row r="178" spans="1:21" x14ac:dyDescent="0.35">
      <c r="A178" t="str">
        <f t="shared" si="8"/>
        <v>2022</v>
      </c>
      <c r="B178" t="str">
        <f t="shared" si="9"/>
        <v>04</v>
      </c>
      <c r="C178" t="s">
        <v>79</v>
      </c>
      <c r="D178">
        <v>202204</v>
      </c>
      <c r="E178" s="11" t="s">
        <v>61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T178" t="str">
        <f t="shared" si="10"/>
        <v>040162202204</v>
      </c>
      <c r="U178">
        <f t="shared" si="11"/>
        <v>0</v>
      </c>
    </row>
    <row r="179" spans="1:21" x14ac:dyDescent="0.35">
      <c r="A179" t="str">
        <f t="shared" si="8"/>
        <v>2022</v>
      </c>
      <c r="B179" t="str">
        <f t="shared" si="9"/>
        <v>05</v>
      </c>
      <c r="C179" t="s">
        <v>80</v>
      </c>
      <c r="D179">
        <v>202205</v>
      </c>
      <c r="E179" s="11">
        <v>5</v>
      </c>
      <c r="F179">
        <v>1458.1435826900001</v>
      </c>
      <c r="G179">
        <v>1457.6615346800002</v>
      </c>
      <c r="H179">
        <v>0.48196420000000001</v>
      </c>
      <c r="I179">
        <v>4961.7700194999998</v>
      </c>
      <c r="J179">
        <v>1126.9268104300002</v>
      </c>
      <c r="K179">
        <v>27.224112000000002</v>
      </c>
      <c r="L179">
        <v>0.20263100000000001</v>
      </c>
      <c r="M179">
        <v>0.20263100000000001</v>
      </c>
      <c r="N179">
        <v>0</v>
      </c>
      <c r="O179">
        <v>0</v>
      </c>
      <c r="P179">
        <v>47.305973049999999</v>
      </c>
      <c r="Q179">
        <v>47.126083180000002</v>
      </c>
      <c r="R179">
        <v>0</v>
      </c>
      <c r="T179" t="str">
        <f t="shared" si="10"/>
        <v>5202205</v>
      </c>
      <c r="U179">
        <f t="shared" si="11"/>
        <v>7546.8404126199994</v>
      </c>
    </row>
    <row r="180" spans="1:21" x14ac:dyDescent="0.35">
      <c r="A180" t="str">
        <f t="shared" si="8"/>
        <v>2022</v>
      </c>
      <c r="B180" t="str">
        <f t="shared" si="9"/>
        <v>05</v>
      </c>
      <c r="C180" t="s">
        <v>80</v>
      </c>
      <c r="D180">
        <v>202205</v>
      </c>
      <c r="E180" s="11" t="s">
        <v>19</v>
      </c>
      <c r="F180">
        <v>188.424215</v>
      </c>
      <c r="G180">
        <v>188.424215</v>
      </c>
      <c r="H180">
        <v>0</v>
      </c>
      <c r="I180">
        <v>145.69775799999999</v>
      </c>
      <c r="J180">
        <v>199.507553</v>
      </c>
      <c r="K180">
        <v>27.224112000000002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T180" t="str">
        <f t="shared" si="10"/>
        <v>040002202205</v>
      </c>
      <c r="U180">
        <f t="shared" si="11"/>
        <v>533.62952600000006</v>
      </c>
    </row>
    <row r="181" spans="1:21" x14ac:dyDescent="0.35">
      <c r="A181" t="str">
        <f t="shared" si="8"/>
        <v>2022</v>
      </c>
      <c r="B181" t="str">
        <f t="shared" si="9"/>
        <v>05</v>
      </c>
      <c r="C181" t="s">
        <v>80</v>
      </c>
      <c r="D181">
        <v>202205</v>
      </c>
      <c r="E181" s="11" t="s">
        <v>20</v>
      </c>
      <c r="F181">
        <v>244.99125000999999</v>
      </c>
      <c r="G181">
        <v>244.99125000999999</v>
      </c>
      <c r="H181">
        <v>0</v>
      </c>
      <c r="I181">
        <v>1940.3443442600001</v>
      </c>
      <c r="J181">
        <v>274.41610387999998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 t="str">
        <f t="shared" si="10"/>
        <v>040012202205</v>
      </c>
      <c r="U181">
        <f t="shared" si="11"/>
        <v>2459.7516981499998</v>
      </c>
    </row>
    <row r="182" spans="1:21" x14ac:dyDescent="0.35">
      <c r="A182" t="str">
        <f t="shared" si="8"/>
        <v>2022</v>
      </c>
      <c r="B182" t="str">
        <f t="shared" si="9"/>
        <v>05</v>
      </c>
      <c r="C182" t="s">
        <v>80</v>
      </c>
      <c r="D182">
        <v>202205</v>
      </c>
      <c r="E182" s="11" t="s">
        <v>21</v>
      </c>
      <c r="F182">
        <v>434.98273999999998</v>
      </c>
      <c r="G182">
        <v>434.98273999999998</v>
      </c>
      <c r="H182">
        <v>0</v>
      </c>
      <c r="I182">
        <v>316.08968399999998</v>
      </c>
      <c r="J182">
        <v>164.648911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T182" t="str">
        <f t="shared" si="10"/>
        <v>040014202205</v>
      </c>
      <c r="U182">
        <f t="shared" si="11"/>
        <v>915.72133499999995</v>
      </c>
    </row>
    <row r="183" spans="1:21" x14ac:dyDescent="0.35">
      <c r="A183" t="str">
        <f t="shared" si="8"/>
        <v>2022</v>
      </c>
      <c r="B183" t="str">
        <f t="shared" si="9"/>
        <v>05</v>
      </c>
      <c r="C183" t="s">
        <v>80</v>
      </c>
      <c r="D183">
        <v>202205</v>
      </c>
      <c r="E183" s="11" t="s">
        <v>22</v>
      </c>
      <c r="F183">
        <v>118.251982</v>
      </c>
      <c r="G183">
        <v>118.251982</v>
      </c>
      <c r="H183">
        <v>0</v>
      </c>
      <c r="I183">
        <v>551.23173399999996</v>
      </c>
      <c r="J183">
        <v>13.35679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19.864917999999999</v>
      </c>
      <c r="Q183">
        <v>32.066698000000002</v>
      </c>
      <c r="R183">
        <v>0</v>
      </c>
      <c r="T183" t="str">
        <f t="shared" si="10"/>
        <v>040021202205</v>
      </c>
      <c r="U183">
        <f t="shared" si="11"/>
        <v>682.840506</v>
      </c>
    </row>
    <row r="184" spans="1:21" x14ac:dyDescent="0.35">
      <c r="A184" t="str">
        <f t="shared" si="8"/>
        <v>2022</v>
      </c>
      <c r="B184" t="str">
        <f t="shared" si="9"/>
        <v>05</v>
      </c>
      <c r="C184" t="s">
        <v>80</v>
      </c>
      <c r="D184">
        <v>202205</v>
      </c>
      <c r="E184" s="11" t="s">
        <v>23</v>
      </c>
      <c r="F184">
        <v>44.637163520000001</v>
      </c>
      <c r="G184">
        <v>44.637163520000001</v>
      </c>
      <c r="H184">
        <v>0</v>
      </c>
      <c r="I184">
        <v>15.85286917</v>
      </c>
      <c r="J184">
        <v>2.9578247100000001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0.54766488999999996</v>
      </c>
      <c r="R184">
        <v>0</v>
      </c>
      <c r="T184" t="str">
        <f t="shared" si="10"/>
        <v>040030202205</v>
      </c>
      <c r="U184">
        <f t="shared" si="11"/>
        <v>63.447857399999997</v>
      </c>
    </row>
    <row r="185" spans="1:21" x14ac:dyDescent="0.35">
      <c r="A185" t="str">
        <f t="shared" si="8"/>
        <v>2022</v>
      </c>
      <c r="B185" t="str">
        <f t="shared" si="9"/>
        <v>05</v>
      </c>
      <c r="C185" t="s">
        <v>80</v>
      </c>
      <c r="D185">
        <v>202205</v>
      </c>
      <c r="E185" s="11" t="s">
        <v>24</v>
      </c>
      <c r="F185">
        <v>0</v>
      </c>
      <c r="G185">
        <v>0</v>
      </c>
      <c r="H185">
        <v>0</v>
      </c>
      <c r="I185">
        <v>4.1357679999999997</v>
      </c>
      <c r="J185">
        <v>3.0247E-2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T185" t="str">
        <f t="shared" si="10"/>
        <v>040036202205</v>
      </c>
      <c r="U185">
        <f t="shared" si="11"/>
        <v>4.1660149999999998</v>
      </c>
    </row>
    <row r="186" spans="1:21" x14ac:dyDescent="0.35">
      <c r="A186" t="str">
        <f t="shared" si="8"/>
        <v>2022</v>
      </c>
      <c r="B186" t="str">
        <f t="shared" si="9"/>
        <v>05</v>
      </c>
      <c r="C186" t="s">
        <v>80</v>
      </c>
      <c r="D186">
        <v>202205</v>
      </c>
      <c r="E186" s="11" t="s">
        <v>25</v>
      </c>
      <c r="F186">
        <v>151.42659699999999</v>
      </c>
      <c r="G186">
        <v>151.42659699999999</v>
      </c>
      <c r="H186">
        <v>0</v>
      </c>
      <c r="I186">
        <v>1.3618980000000001</v>
      </c>
      <c r="J186">
        <v>283.03675900000002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T186" t="str">
        <f t="shared" si="10"/>
        <v>040042202205</v>
      </c>
      <c r="U186">
        <f t="shared" si="11"/>
        <v>435.82525399999997</v>
      </c>
    </row>
    <row r="187" spans="1:21" x14ac:dyDescent="0.35">
      <c r="A187" t="str">
        <f t="shared" si="8"/>
        <v>2022</v>
      </c>
      <c r="B187" t="str">
        <f t="shared" si="9"/>
        <v>05</v>
      </c>
      <c r="C187" t="s">
        <v>80</v>
      </c>
      <c r="D187">
        <v>202205</v>
      </c>
      <c r="E187" s="11" t="s">
        <v>26</v>
      </c>
      <c r="F187">
        <v>10.797017</v>
      </c>
      <c r="G187">
        <v>10.797017</v>
      </c>
      <c r="H187">
        <v>0</v>
      </c>
      <c r="I187">
        <v>142.39202700000001</v>
      </c>
      <c r="J187">
        <v>0</v>
      </c>
      <c r="K187">
        <v>0</v>
      </c>
      <c r="L187">
        <v>0.19085199999999999</v>
      </c>
      <c r="M187">
        <v>0.19085199999999999</v>
      </c>
      <c r="N187">
        <v>0</v>
      </c>
      <c r="O187">
        <v>0</v>
      </c>
      <c r="P187">
        <v>13.86567</v>
      </c>
      <c r="Q187">
        <v>14.162811</v>
      </c>
      <c r="R187">
        <v>0</v>
      </c>
      <c r="T187" t="str">
        <f t="shared" si="10"/>
        <v>040044202205</v>
      </c>
      <c r="U187">
        <f t="shared" si="11"/>
        <v>153.18904400000002</v>
      </c>
    </row>
    <row r="188" spans="1:21" x14ac:dyDescent="0.35">
      <c r="A188" t="str">
        <f t="shared" si="8"/>
        <v>2022</v>
      </c>
      <c r="B188" t="str">
        <f t="shared" si="9"/>
        <v>05</v>
      </c>
      <c r="C188" t="s">
        <v>80</v>
      </c>
      <c r="D188">
        <v>202205</v>
      </c>
      <c r="E188" s="11" t="s">
        <v>27</v>
      </c>
      <c r="F188">
        <v>30.90759293</v>
      </c>
      <c r="G188">
        <v>30.90759293</v>
      </c>
      <c r="H188">
        <v>0</v>
      </c>
      <c r="I188">
        <v>13.42481832</v>
      </c>
      <c r="J188">
        <v>3.6107097599999998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T188" t="str">
        <f t="shared" si="10"/>
        <v>040058202205</v>
      </c>
      <c r="U188">
        <f t="shared" si="11"/>
        <v>47.943121009999999</v>
      </c>
    </row>
    <row r="189" spans="1:21" x14ac:dyDescent="0.35">
      <c r="A189" t="str">
        <f t="shared" si="8"/>
        <v>2022</v>
      </c>
      <c r="B189" t="str">
        <f t="shared" si="9"/>
        <v>05</v>
      </c>
      <c r="C189" t="s">
        <v>80</v>
      </c>
      <c r="D189">
        <v>202205</v>
      </c>
      <c r="E189" s="11" t="s">
        <v>28</v>
      </c>
      <c r="F189">
        <v>120.24718</v>
      </c>
      <c r="G189">
        <v>120.24718</v>
      </c>
      <c r="H189">
        <v>0</v>
      </c>
      <c r="I189">
        <v>28.583815999999999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 t="str">
        <f t="shared" si="10"/>
        <v>040059202205</v>
      </c>
      <c r="U189">
        <f t="shared" si="11"/>
        <v>148.830996</v>
      </c>
    </row>
    <row r="190" spans="1:21" x14ac:dyDescent="0.35">
      <c r="A190" t="str">
        <f t="shared" si="8"/>
        <v>2022</v>
      </c>
      <c r="B190" t="str">
        <f t="shared" si="9"/>
        <v>05</v>
      </c>
      <c r="C190" t="s">
        <v>80</v>
      </c>
      <c r="D190">
        <v>202205</v>
      </c>
      <c r="E190" s="11" t="s">
        <v>62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T190" t="str">
        <f t="shared" si="10"/>
        <v>040060202205</v>
      </c>
      <c r="U190">
        <f t="shared" si="11"/>
        <v>0</v>
      </c>
    </row>
    <row r="191" spans="1:21" x14ac:dyDescent="0.35">
      <c r="A191" t="str">
        <f t="shared" si="8"/>
        <v>2022</v>
      </c>
      <c r="B191" t="str">
        <f t="shared" si="9"/>
        <v>05</v>
      </c>
      <c r="C191" t="s">
        <v>80</v>
      </c>
      <c r="D191">
        <v>202205</v>
      </c>
      <c r="E191" s="11" t="s">
        <v>29</v>
      </c>
      <c r="F191">
        <v>8.8875999999999997E-2</v>
      </c>
      <c r="G191">
        <v>8.8875999999999997E-2</v>
      </c>
      <c r="H191">
        <v>0</v>
      </c>
      <c r="I191">
        <v>49.066239000000003</v>
      </c>
      <c r="J191">
        <v>2.5432E-2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T191" t="str">
        <f t="shared" si="10"/>
        <v>040062202205</v>
      </c>
      <c r="U191">
        <f t="shared" si="11"/>
        <v>49.180547000000004</v>
      </c>
    </row>
    <row r="192" spans="1:21" x14ac:dyDescent="0.35">
      <c r="A192" t="str">
        <f t="shared" si="8"/>
        <v>2022</v>
      </c>
      <c r="B192" t="str">
        <f t="shared" si="9"/>
        <v>05</v>
      </c>
      <c r="C192" t="s">
        <v>80</v>
      </c>
      <c r="D192">
        <v>202205</v>
      </c>
      <c r="E192" s="11" t="s">
        <v>30</v>
      </c>
      <c r="F192">
        <v>72.802496950000005</v>
      </c>
      <c r="G192">
        <v>72.802413139999999</v>
      </c>
      <c r="H192">
        <v>0</v>
      </c>
      <c r="I192">
        <v>761.81915932000004</v>
      </c>
      <c r="J192">
        <v>185.26830000000001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T192" t="str">
        <f t="shared" si="10"/>
        <v>040072202205</v>
      </c>
      <c r="U192">
        <f t="shared" si="11"/>
        <v>1019.8899562700001</v>
      </c>
    </row>
    <row r="193" spans="1:21" x14ac:dyDescent="0.35">
      <c r="A193" t="str">
        <f t="shared" si="8"/>
        <v>2022</v>
      </c>
      <c r="B193" t="str">
        <f t="shared" si="9"/>
        <v>05</v>
      </c>
      <c r="C193" t="s">
        <v>80</v>
      </c>
      <c r="D193">
        <v>202205</v>
      </c>
      <c r="E193" s="11" t="s">
        <v>31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T193" t="str">
        <f t="shared" si="10"/>
        <v>040106202205</v>
      </c>
      <c r="U193">
        <f t="shared" si="11"/>
        <v>0</v>
      </c>
    </row>
    <row r="194" spans="1:21" x14ac:dyDescent="0.35">
      <c r="A194" t="str">
        <f t="shared" si="8"/>
        <v>2022</v>
      </c>
      <c r="B194" t="str">
        <f t="shared" si="9"/>
        <v>05</v>
      </c>
      <c r="C194" t="s">
        <v>80</v>
      </c>
      <c r="D194">
        <v>202205</v>
      </c>
      <c r="E194" s="11" t="s">
        <v>32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T194" t="str">
        <f t="shared" si="10"/>
        <v>040108202205</v>
      </c>
      <c r="U194">
        <f t="shared" si="11"/>
        <v>0</v>
      </c>
    </row>
    <row r="195" spans="1:21" x14ac:dyDescent="0.35">
      <c r="A195" t="str">
        <f t="shared" ref="A195:A258" si="12">LEFT(D195,4)</f>
        <v>2022</v>
      </c>
      <c r="B195" t="str">
        <f t="shared" ref="B195:B258" si="13">RIGHT(D195,2)</f>
        <v>05</v>
      </c>
      <c r="C195" t="s">
        <v>80</v>
      </c>
      <c r="D195">
        <v>202205</v>
      </c>
      <c r="E195" s="11" t="s">
        <v>33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T195" t="str">
        <f t="shared" ref="T195:T258" si="14">+E195&amp;D195</f>
        <v>040110202205</v>
      </c>
      <c r="U195">
        <f t="shared" ref="U195:U258" si="15">+F195+I195+J195</f>
        <v>0</v>
      </c>
    </row>
    <row r="196" spans="1:21" x14ac:dyDescent="0.35">
      <c r="A196" t="str">
        <f t="shared" si="12"/>
        <v>2022</v>
      </c>
      <c r="B196" t="str">
        <f t="shared" si="13"/>
        <v>05</v>
      </c>
      <c r="C196" t="s">
        <v>80</v>
      </c>
      <c r="D196">
        <v>202205</v>
      </c>
      <c r="E196" s="11" t="s">
        <v>34</v>
      </c>
      <c r="F196">
        <v>5.8638400000000004E-3</v>
      </c>
      <c r="G196">
        <v>5.8638400000000004E-3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T196" t="str">
        <f t="shared" si="14"/>
        <v>040112202205</v>
      </c>
      <c r="U196">
        <f t="shared" si="15"/>
        <v>5.8638400000000004E-3</v>
      </c>
    </row>
    <row r="197" spans="1:21" x14ac:dyDescent="0.35">
      <c r="A197" t="str">
        <f t="shared" si="12"/>
        <v>2022</v>
      </c>
      <c r="B197" t="str">
        <f t="shared" si="13"/>
        <v>05</v>
      </c>
      <c r="C197" t="s">
        <v>80</v>
      </c>
      <c r="D197">
        <v>202205</v>
      </c>
      <c r="E197" s="11" t="s">
        <v>35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T197" t="str">
        <f t="shared" si="14"/>
        <v>040113202205</v>
      </c>
      <c r="U197">
        <f t="shared" si="15"/>
        <v>0</v>
      </c>
    </row>
    <row r="198" spans="1:21" x14ac:dyDescent="0.35">
      <c r="A198" t="str">
        <f t="shared" si="12"/>
        <v>2022</v>
      </c>
      <c r="B198" t="str">
        <f t="shared" si="13"/>
        <v>05</v>
      </c>
      <c r="C198" t="s">
        <v>80</v>
      </c>
      <c r="D198">
        <v>202205</v>
      </c>
      <c r="E198" s="11" t="s">
        <v>36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T198" t="str">
        <f t="shared" si="14"/>
        <v>040126202205</v>
      </c>
      <c r="U198">
        <f t="shared" si="15"/>
        <v>0</v>
      </c>
    </row>
    <row r="199" spans="1:21" x14ac:dyDescent="0.35">
      <c r="A199" t="str">
        <f t="shared" si="12"/>
        <v>2022</v>
      </c>
      <c r="B199" t="str">
        <f t="shared" si="13"/>
        <v>05</v>
      </c>
      <c r="C199" t="s">
        <v>80</v>
      </c>
      <c r="D199">
        <v>202205</v>
      </c>
      <c r="E199" s="11" t="s">
        <v>37</v>
      </c>
      <c r="F199">
        <v>0</v>
      </c>
      <c r="G199">
        <v>0</v>
      </c>
      <c r="H199">
        <v>0</v>
      </c>
      <c r="I199">
        <v>784.30576499000006</v>
      </c>
      <c r="J199">
        <v>7.9155600000000003E-3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T199" t="str">
        <f t="shared" si="14"/>
        <v>040127202205</v>
      </c>
      <c r="U199">
        <f t="shared" si="15"/>
        <v>784.31368055000007</v>
      </c>
    </row>
    <row r="200" spans="1:21" x14ac:dyDescent="0.35">
      <c r="A200" t="str">
        <f t="shared" si="12"/>
        <v>2022</v>
      </c>
      <c r="B200" t="str">
        <f t="shared" si="13"/>
        <v>05</v>
      </c>
      <c r="C200" t="s">
        <v>80</v>
      </c>
      <c r="D200">
        <v>202205</v>
      </c>
      <c r="E200" s="11" t="s">
        <v>38</v>
      </c>
      <c r="F200">
        <v>34.706252670000005</v>
      </c>
      <c r="G200">
        <v>34.706252670000005</v>
      </c>
      <c r="H200">
        <v>0</v>
      </c>
      <c r="I200">
        <v>2.9335354200000001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T200" t="str">
        <f t="shared" si="14"/>
        <v>040128202205</v>
      </c>
      <c r="U200">
        <f t="shared" si="15"/>
        <v>37.639788090000003</v>
      </c>
    </row>
    <row r="201" spans="1:21" x14ac:dyDescent="0.35">
      <c r="A201" t="str">
        <f t="shared" si="12"/>
        <v>2022</v>
      </c>
      <c r="B201" t="str">
        <f t="shared" si="13"/>
        <v>05</v>
      </c>
      <c r="C201" t="s">
        <v>80</v>
      </c>
      <c r="D201">
        <v>202205</v>
      </c>
      <c r="E201" s="11" t="s">
        <v>39</v>
      </c>
      <c r="F201">
        <v>0</v>
      </c>
      <c r="G201">
        <v>0</v>
      </c>
      <c r="H201">
        <v>0</v>
      </c>
      <c r="I201">
        <v>150.719043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1.7570479999999999</v>
      </c>
      <c r="Q201">
        <v>0</v>
      </c>
      <c r="R201">
        <v>0</v>
      </c>
      <c r="T201" t="str">
        <f t="shared" si="14"/>
        <v>040130202205</v>
      </c>
      <c r="U201">
        <f t="shared" si="15"/>
        <v>150.719043</v>
      </c>
    </row>
    <row r="202" spans="1:21" x14ac:dyDescent="0.35">
      <c r="A202" t="str">
        <f t="shared" si="12"/>
        <v>2022</v>
      </c>
      <c r="B202" t="str">
        <f t="shared" si="13"/>
        <v>05</v>
      </c>
      <c r="C202" t="s">
        <v>80</v>
      </c>
      <c r="D202">
        <v>202205</v>
      </c>
      <c r="E202" s="11" t="s">
        <v>40</v>
      </c>
      <c r="F202">
        <v>3.93614</v>
      </c>
      <c r="G202">
        <v>3.93614</v>
      </c>
      <c r="H202">
        <v>0</v>
      </c>
      <c r="I202">
        <v>1.3373710000000001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T202" t="str">
        <f t="shared" si="14"/>
        <v>040132202205</v>
      </c>
      <c r="U202">
        <f t="shared" si="15"/>
        <v>5.2735110000000001</v>
      </c>
    </row>
    <row r="203" spans="1:21" x14ac:dyDescent="0.35">
      <c r="A203" t="str">
        <f t="shared" si="12"/>
        <v>2022</v>
      </c>
      <c r="B203" t="str">
        <f t="shared" si="13"/>
        <v>05</v>
      </c>
      <c r="C203" t="s">
        <v>80</v>
      </c>
      <c r="D203">
        <v>202205</v>
      </c>
      <c r="E203" s="11" t="s">
        <v>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T203" t="str">
        <f t="shared" si="14"/>
        <v>040133202205</v>
      </c>
      <c r="U203">
        <f t="shared" si="15"/>
        <v>0</v>
      </c>
    </row>
    <row r="204" spans="1:21" x14ac:dyDescent="0.35">
      <c r="A204" t="str">
        <f t="shared" si="12"/>
        <v>2022</v>
      </c>
      <c r="B204" t="str">
        <f t="shared" si="13"/>
        <v>05</v>
      </c>
      <c r="C204" t="s">
        <v>80</v>
      </c>
      <c r="D204">
        <v>202205</v>
      </c>
      <c r="E204" s="11" t="s">
        <v>42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 t="str">
        <f t="shared" si="14"/>
        <v>040136202205</v>
      </c>
      <c r="U204">
        <f t="shared" si="15"/>
        <v>0</v>
      </c>
    </row>
    <row r="205" spans="1:21" x14ac:dyDescent="0.35">
      <c r="A205" t="str">
        <f t="shared" si="12"/>
        <v>2022</v>
      </c>
      <c r="B205" t="str">
        <f t="shared" si="13"/>
        <v>05</v>
      </c>
      <c r="C205" t="s">
        <v>80</v>
      </c>
      <c r="D205">
        <v>202205</v>
      </c>
      <c r="E205" s="11" t="s">
        <v>43</v>
      </c>
      <c r="F205">
        <v>0</v>
      </c>
      <c r="G205">
        <v>0</v>
      </c>
      <c r="H205">
        <v>0</v>
      </c>
      <c r="I205">
        <v>0.48813148000000001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T205" t="str">
        <f t="shared" si="14"/>
        <v>040137202205</v>
      </c>
      <c r="U205">
        <f t="shared" si="15"/>
        <v>0.48813148000000001</v>
      </c>
    </row>
    <row r="206" spans="1:21" x14ac:dyDescent="0.35">
      <c r="A206" t="str">
        <f t="shared" si="12"/>
        <v>2022</v>
      </c>
      <c r="B206" t="str">
        <f t="shared" si="13"/>
        <v>05</v>
      </c>
      <c r="C206" t="s">
        <v>80</v>
      </c>
      <c r="D206">
        <v>202205</v>
      </c>
      <c r="E206" s="11" t="s">
        <v>44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T206" t="str">
        <f t="shared" si="14"/>
        <v>040138202205</v>
      </c>
      <c r="U206">
        <f t="shared" si="15"/>
        <v>0</v>
      </c>
    </row>
    <row r="207" spans="1:21" x14ac:dyDescent="0.35">
      <c r="A207" t="str">
        <f t="shared" si="12"/>
        <v>2022</v>
      </c>
      <c r="B207" t="str">
        <f t="shared" si="13"/>
        <v>05</v>
      </c>
      <c r="C207" t="s">
        <v>80</v>
      </c>
      <c r="D207">
        <v>202205</v>
      </c>
      <c r="E207" s="11" t="s">
        <v>45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T207" t="str">
        <f t="shared" si="14"/>
        <v>040139202205</v>
      </c>
      <c r="U207">
        <f t="shared" si="15"/>
        <v>0</v>
      </c>
    </row>
    <row r="208" spans="1:21" x14ac:dyDescent="0.35">
      <c r="A208" t="str">
        <f t="shared" si="12"/>
        <v>2022</v>
      </c>
      <c r="B208" t="str">
        <f t="shared" si="13"/>
        <v>05</v>
      </c>
      <c r="C208" t="s">
        <v>80</v>
      </c>
      <c r="D208">
        <v>202205</v>
      </c>
      <c r="E208" s="11" t="s">
        <v>46</v>
      </c>
      <c r="F208">
        <v>0</v>
      </c>
      <c r="G208">
        <v>0</v>
      </c>
      <c r="H208">
        <v>0</v>
      </c>
      <c r="I208">
        <v>29.347746999999998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T208" t="str">
        <f t="shared" si="14"/>
        <v>040140202205</v>
      </c>
      <c r="U208">
        <f t="shared" si="15"/>
        <v>29.347746999999998</v>
      </c>
    </row>
    <row r="209" spans="1:21" x14ac:dyDescent="0.35">
      <c r="A209" t="str">
        <f t="shared" si="12"/>
        <v>2022</v>
      </c>
      <c r="B209" t="str">
        <f t="shared" si="13"/>
        <v>05</v>
      </c>
      <c r="C209" t="s">
        <v>80</v>
      </c>
      <c r="D209">
        <v>202205</v>
      </c>
      <c r="E209" s="11" t="s">
        <v>47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T209" t="str">
        <f t="shared" si="14"/>
        <v>040141202205</v>
      </c>
      <c r="U209">
        <f t="shared" si="15"/>
        <v>0</v>
      </c>
    </row>
    <row r="210" spans="1:21" x14ac:dyDescent="0.35">
      <c r="A210" t="str">
        <f t="shared" si="12"/>
        <v>2022</v>
      </c>
      <c r="B210" t="str">
        <f t="shared" si="13"/>
        <v>05</v>
      </c>
      <c r="C210" t="s">
        <v>80</v>
      </c>
      <c r="D210">
        <v>202205</v>
      </c>
      <c r="E210" s="11" t="s">
        <v>48</v>
      </c>
      <c r="F210">
        <v>1.93821577</v>
      </c>
      <c r="G210">
        <v>1.4562515700000001</v>
      </c>
      <c r="H210">
        <v>0.48196420000000001</v>
      </c>
      <c r="I210">
        <v>2.3143215399999999</v>
      </c>
      <c r="J210">
        <v>6.0264519999999995E-2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11.528924050000001</v>
      </c>
      <c r="Q210">
        <v>0.34890928999999998</v>
      </c>
      <c r="R210">
        <v>0</v>
      </c>
      <c r="T210" t="str">
        <f t="shared" si="14"/>
        <v>040143202205</v>
      </c>
      <c r="U210">
        <f t="shared" si="15"/>
        <v>4.3128018299999997</v>
      </c>
    </row>
    <row r="211" spans="1:21" x14ac:dyDescent="0.35">
      <c r="A211" t="str">
        <f t="shared" si="12"/>
        <v>2022</v>
      </c>
      <c r="B211" t="str">
        <f t="shared" si="13"/>
        <v>05</v>
      </c>
      <c r="C211" t="s">
        <v>80</v>
      </c>
      <c r="D211">
        <v>202205</v>
      </c>
      <c r="E211" s="11" t="s">
        <v>49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T211" t="str">
        <f t="shared" si="14"/>
        <v>040145202205</v>
      </c>
      <c r="U211">
        <f t="shared" si="15"/>
        <v>0</v>
      </c>
    </row>
    <row r="212" spans="1:21" x14ac:dyDescent="0.35">
      <c r="A212" t="str">
        <f t="shared" si="12"/>
        <v>2022</v>
      </c>
      <c r="B212" t="str">
        <f t="shared" si="13"/>
        <v>05</v>
      </c>
      <c r="C212" t="s">
        <v>80</v>
      </c>
      <c r="D212">
        <v>202205</v>
      </c>
      <c r="E212" s="11" t="s">
        <v>50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T212" t="str">
        <f t="shared" si="14"/>
        <v>040147202205</v>
      </c>
      <c r="U212">
        <f t="shared" si="15"/>
        <v>0</v>
      </c>
    </row>
    <row r="213" spans="1:21" x14ac:dyDescent="0.35">
      <c r="A213" t="str">
        <f t="shared" si="12"/>
        <v>2022</v>
      </c>
      <c r="B213" t="str">
        <f t="shared" si="13"/>
        <v>05</v>
      </c>
      <c r="C213" t="s">
        <v>80</v>
      </c>
      <c r="D213">
        <v>202205</v>
      </c>
      <c r="E213" s="11" t="s">
        <v>51</v>
      </c>
      <c r="F213">
        <v>0</v>
      </c>
      <c r="G213">
        <v>0</v>
      </c>
      <c r="H213">
        <v>0</v>
      </c>
      <c r="I213">
        <v>20.323989999999998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0.28941299999999998</v>
      </c>
      <c r="Q213">
        <v>0</v>
      </c>
      <c r="R213">
        <v>0</v>
      </c>
      <c r="T213" t="str">
        <f t="shared" si="14"/>
        <v>040149202205</v>
      </c>
      <c r="U213">
        <f t="shared" si="15"/>
        <v>20.323989999999998</v>
      </c>
    </row>
    <row r="214" spans="1:21" x14ac:dyDescent="0.35">
      <c r="A214" t="str">
        <f t="shared" si="12"/>
        <v>2022</v>
      </c>
      <c r="B214" t="str">
        <f t="shared" si="13"/>
        <v>05</v>
      </c>
      <c r="C214" t="s">
        <v>80</v>
      </c>
      <c r="D214">
        <v>202205</v>
      </c>
      <c r="E214" s="11" t="s">
        <v>52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T214" t="str">
        <f t="shared" si="14"/>
        <v>040150202205</v>
      </c>
      <c r="U214">
        <f t="shared" si="15"/>
        <v>0</v>
      </c>
    </row>
    <row r="215" spans="1:21" x14ac:dyDescent="0.35">
      <c r="A215" t="str">
        <f t="shared" si="12"/>
        <v>2022</v>
      </c>
      <c r="B215" t="str">
        <f t="shared" si="13"/>
        <v>05</v>
      </c>
      <c r="C215" t="s">
        <v>80</v>
      </c>
      <c r="D215">
        <v>202205</v>
      </c>
      <c r="E215" s="11" t="s">
        <v>53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T215" t="str">
        <f t="shared" si="14"/>
        <v>040151202205</v>
      </c>
      <c r="U215">
        <f t="shared" si="15"/>
        <v>0</v>
      </c>
    </row>
    <row r="216" spans="1:21" x14ac:dyDescent="0.35">
      <c r="A216" t="str">
        <f t="shared" si="12"/>
        <v>2022</v>
      </c>
      <c r="B216" t="str">
        <f t="shared" si="13"/>
        <v>05</v>
      </c>
      <c r="C216" t="s">
        <v>80</v>
      </c>
      <c r="D216">
        <v>202205</v>
      </c>
      <c r="E216" s="11" t="s">
        <v>55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 t="str">
        <f t="shared" si="14"/>
        <v>040154202205</v>
      </c>
      <c r="U216">
        <f t="shared" si="15"/>
        <v>0</v>
      </c>
    </row>
    <row r="217" spans="1:21" x14ac:dyDescent="0.35">
      <c r="A217" t="str">
        <f t="shared" si="12"/>
        <v>2022</v>
      </c>
      <c r="B217" t="str">
        <f t="shared" si="13"/>
        <v>05</v>
      </c>
      <c r="C217" t="s">
        <v>80</v>
      </c>
      <c r="D217">
        <v>202205</v>
      </c>
      <c r="E217" s="11" t="s">
        <v>56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 t="str">
        <f t="shared" si="14"/>
        <v>040155202205</v>
      </c>
      <c r="U217">
        <f t="shared" si="15"/>
        <v>0</v>
      </c>
    </row>
    <row r="218" spans="1:21" x14ac:dyDescent="0.35">
      <c r="A218" t="str">
        <f t="shared" si="12"/>
        <v>2022</v>
      </c>
      <c r="B218" t="str">
        <f t="shared" si="13"/>
        <v>05</v>
      </c>
      <c r="C218" t="s">
        <v>80</v>
      </c>
      <c r="D218">
        <v>202205</v>
      </c>
      <c r="E218" s="11" t="s">
        <v>57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1.1779E-2</v>
      </c>
      <c r="M218">
        <v>1.1779E-2</v>
      </c>
      <c r="N218">
        <v>0</v>
      </c>
      <c r="O218">
        <v>0</v>
      </c>
      <c r="P218">
        <v>0</v>
      </c>
      <c r="Q218">
        <v>0</v>
      </c>
      <c r="R218">
        <v>0</v>
      </c>
      <c r="T218" t="str">
        <f t="shared" si="14"/>
        <v>040156202205</v>
      </c>
      <c r="U218">
        <f t="shared" si="15"/>
        <v>0</v>
      </c>
    </row>
    <row r="219" spans="1:21" x14ac:dyDescent="0.35">
      <c r="A219" t="str">
        <f t="shared" si="12"/>
        <v>2022</v>
      </c>
      <c r="B219" t="str">
        <f t="shared" si="13"/>
        <v>05</v>
      </c>
      <c r="C219" t="s">
        <v>80</v>
      </c>
      <c r="D219">
        <v>202205</v>
      </c>
      <c r="E219" s="11" t="s">
        <v>58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T219" t="str">
        <f t="shared" si="14"/>
        <v>040157202205</v>
      </c>
      <c r="U219">
        <f t="shared" si="15"/>
        <v>0</v>
      </c>
    </row>
    <row r="220" spans="1:21" x14ac:dyDescent="0.35">
      <c r="A220" t="str">
        <f t="shared" si="12"/>
        <v>2022</v>
      </c>
      <c r="B220" t="str">
        <f t="shared" si="13"/>
        <v>05</v>
      </c>
      <c r="C220" t="s">
        <v>80</v>
      </c>
      <c r="D220">
        <v>202205</v>
      </c>
      <c r="E220" s="11" t="s">
        <v>59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T220" t="str">
        <f t="shared" si="14"/>
        <v>040158202205</v>
      </c>
      <c r="U220">
        <f t="shared" si="15"/>
        <v>0</v>
      </c>
    </row>
    <row r="221" spans="1:21" x14ac:dyDescent="0.35">
      <c r="A221" t="str">
        <f t="shared" si="12"/>
        <v>2022</v>
      </c>
      <c r="B221" t="str">
        <f t="shared" si="13"/>
        <v>05</v>
      </c>
      <c r="C221" t="s">
        <v>80</v>
      </c>
      <c r="D221">
        <v>202205</v>
      </c>
      <c r="E221" s="11" t="s">
        <v>60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 t="str">
        <f t="shared" si="14"/>
        <v>040159202205</v>
      </c>
      <c r="U221">
        <f t="shared" si="15"/>
        <v>0</v>
      </c>
    </row>
    <row r="222" spans="1:21" x14ac:dyDescent="0.35">
      <c r="A222" t="str">
        <f t="shared" si="12"/>
        <v>2022</v>
      </c>
      <c r="B222" t="str">
        <f t="shared" si="13"/>
        <v>05</v>
      </c>
      <c r="C222" t="s">
        <v>80</v>
      </c>
      <c r="D222">
        <v>202205</v>
      </c>
      <c r="E222" s="11" t="s">
        <v>61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T222" t="str">
        <f t="shared" si="14"/>
        <v>040162202205</v>
      </c>
      <c r="U222">
        <f t="shared" si="15"/>
        <v>0</v>
      </c>
    </row>
    <row r="223" spans="1:21" x14ac:dyDescent="0.35">
      <c r="A223" t="str">
        <f t="shared" si="12"/>
        <v>2022</v>
      </c>
      <c r="B223" t="str">
        <f t="shared" si="13"/>
        <v>06</v>
      </c>
      <c r="C223" t="s">
        <v>81</v>
      </c>
      <c r="D223">
        <v>202206</v>
      </c>
      <c r="E223" s="11">
        <v>5</v>
      </c>
      <c r="F223">
        <v>1171.4793923900002</v>
      </c>
      <c r="G223">
        <v>1170.8993956400002</v>
      </c>
      <c r="H223">
        <v>0.57917543000000005</v>
      </c>
      <c r="I223">
        <v>4967.5557194200001</v>
      </c>
      <c r="J223">
        <v>543.00817255999993</v>
      </c>
      <c r="K223">
        <v>30.183952999999999</v>
      </c>
      <c r="L223">
        <v>0.6274910600000001</v>
      </c>
      <c r="M223">
        <v>0.6274910600000001</v>
      </c>
      <c r="N223">
        <v>0</v>
      </c>
      <c r="O223">
        <v>0</v>
      </c>
      <c r="P223">
        <v>53.442389759999998</v>
      </c>
      <c r="Q223">
        <v>30.472636789999999</v>
      </c>
      <c r="R223">
        <v>132.66936226000001</v>
      </c>
      <c r="T223" t="str">
        <f t="shared" si="14"/>
        <v>5202206</v>
      </c>
      <c r="U223">
        <f t="shared" si="15"/>
        <v>6682.0432843700009</v>
      </c>
    </row>
    <row r="224" spans="1:21" x14ac:dyDescent="0.35">
      <c r="A224" t="str">
        <f t="shared" si="12"/>
        <v>2022</v>
      </c>
      <c r="B224" t="str">
        <f t="shared" si="13"/>
        <v>06</v>
      </c>
      <c r="C224" t="s">
        <v>81</v>
      </c>
      <c r="D224">
        <v>202206</v>
      </c>
      <c r="E224" s="11" t="s">
        <v>19</v>
      </c>
      <c r="F224">
        <v>50.83652</v>
      </c>
      <c r="G224">
        <v>50.83652</v>
      </c>
      <c r="H224">
        <v>0</v>
      </c>
      <c r="I224">
        <v>160.95223899999999</v>
      </c>
      <c r="J224">
        <v>140.628849</v>
      </c>
      <c r="K224">
        <v>30.183952999999999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T224" t="str">
        <f t="shared" si="14"/>
        <v>040002202206</v>
      </c>
      <c r="U224">
        <f t="shared" si="15"/>
        <v>352.41760799999997</v>
      </c>
    </row>
    <row r="225" spans="1:21" x14ac:dyDescent="0.35">
      <c r="A225" t="str">
        <f t="shared" si="12"/>
        <v>2022</v>
      </c>
      <c r="B225" t="str">
        <f t="shared" si="13"/>
        <v>06</v>
      </c>
      <c r="C225" t="s">
        <v>81</v>
      </c>
      <c r="D225">
        <v>202206</v>
      </c>
      <c r="E225" s="11" t="s">
        <v>20</v>
      </c>
      <c r="F225">
        <v>148.29771728</v>
      </c>
      <c r="G225">
        <v>148.29771728</v>
      </c>
      <c r="H225">
        <v>0</v>
      </c>
      <c r="I225">
        <v>1953.84903418</v>
      </c>
      <c r="J225">
        <v>106.28216143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T225" t="str">
        <f t="shared" si="14"/>
        <v>040012202206</v>
      </c>
      <c r="U225">
        <f t="shared" si="15"/>
        <v>2208.42891289</v>
      </c>
    </row>
    <row r="226" spans="1:21" x14ac:dyDescent="0.35">
      <c r="A226" t="str">
        <f t="shared" si="12"/>
        <v>2022</v>
      </c>
      <c r="B226" t="str">
        <f t="shared" si="13"/>
        <v>06</v>
      </c>
      <c r="C226" t="s">
        <v>81</v>
      </c>
      <c r="D226">
        <v>202206</v>
      </c>
      <c r="E226" s="11" t="s">
        <v>21</v>
      </c>
      <c r="F226">
        <v>356.73019399999998</v>
      </c>
      <c r="G226">
        <v>356.73019399999998</v>
      </c>
      <c r="H226">
        <v>0</v>
      </c>
      <c r="I226">
        <v>203.77269999999999</v>
      </c>
      <c r="J226">
        <v>148.168949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T226" t="str">
        <f t="shared" si="14"/>
        <v>040014202206</v>
      </c>
      <c r="U226">
        <f t="shared" si="15"/>
        <v>708.67184299999997</v>
      </c>
    </row>
    <row r="227" spans="1:21" x14ac:dyDescent="0.35">
      <c r="A227" t="str">
        <f t="shared" si="12"/>
        <v>2022</v>
      </c>
      <c r="B227" t="str">
        <f t="shared" si="13"/>
        <v>06</v>
      </c>
      <c r="C227" t="s">
        <v>81</v>
      </c>
      <c r="D227">
        <v>202206</v>
      </c>
      <c r="E227" s="11" t="s">
        <v>22</v>
      </c>
      <c r="F227">
        <v>81.941416000000004</v>
      </c>
      <c r="G227">
        <v>81.941416000000004</v>
      </c>
      <c r="H227">
        <v>0</v>
      </c>
      <c r="I227">
        <v>781.943622</v>
      </c>
      <c r="J227">
        <v>6.4830259999999997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23.995514</v>
      </c>
      <c r="Q227">
        <v>8.7536699999999996</v>
      </c>
      <c r="R227">
        <v>0</v>
      </c>
      <c r="T227" t="str">
        <f t="shared" si="14"/>
        <v>040021202206</v>
      </c>
      <c r="U227">
        <f t="shared" si="15"/>
        <v>870.368064</v>
      </c>
    </row>
    <row r="228" spans="1:21" x14ac:dyDescent="0.35">
      <c r="A228" t="str">
        <f t="shared" si="12"/>
        <v>2022</v>
      </c>
      <c r="B228" t="str">
        <f t="shared" si="13"/>
        <v>06</v>
      </c>
      <c r="C228" t="s">
        <v>81</v>
      </c>
      <c r="D228">
        <v>202206</v>
      </c>
      <c r="E228" s="11" t="s">
        <v>23</v>
      </c>
      <c r="F228">
        <v>189.56376019000001</v>
      </c>
      <c r="G228">
        <v>189.56376019000001</v>
      </c>
      <c r="H228">
        <v>0</v>
      </c>
      <c r="I228">
        <v>19.56703469</v>
      </c>
      <c r="J228">
        <v>2.6801704500000003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0.54075171</v>
      </c>
      <c r="R228">
        <v>0</v>
      </c>
      <c r="T228" t="str">
        <f t="shared" si="14"/>
        <v>040030202206</v>
      </c>
      <c r="U228">
        <f t="shared" si="15"/>
        <v>211.81096532999999</v>
      </c>
    </row>
    <row r="229" spans="1:21" x14ac:dyDescent="0.35">
      <c r="A229" t="str">
        <f t="shared" si="12"/>
        <v>2022</v>
      </c>
      <c r="B229" t="str">
        <f t="shared" si="13"/>
        <v>06</v>
      </c>
      <c r="C229" t="s">
        <v>81</v>
      </c>
      <c r="D229">
        <v>202206</v>
      </c>
      <c r="E229" s="11" t="s">
        <v>24</v>
      </c>
      <c r="F229">
        <v>0</v>
      </c>
      <c r="G229">
        <v>0</v>
      </c>
      <c r="H229">
        <v>0</v>
      </c>
      <c r="I229">
        <v>5.8857340000000002</v>
      </c>
      <c r="J229">
        <v>0.14554300000000001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T229" t="str">
        <f t="shared" si="14"/>
        <v>040036202206</v>
      </c>
      <c r="U229">
        <f t="shared" si="15"/>
        <v>6.0312770000000002</v>
      </c>
    </row>
    <row r="230" spans="1:21" x14ac:dyDescent="0.35">
      <c r="A230" t="str">
        <f t="shared" si="12"/>
        <v>2022</v>
      </c>
      <c r="B230" t="str">
        <f t="shared" si="13"/>
        <v>06</v>
      </c>
      <c r="C230" t="s">
        <v>81</v>
      </c>
      <c r="D230">
        <v>202206</v>
      </c>
      <c r="E230" s="11" t="s">
        <v>25</v>
      </c>
      <c r="F230">
        <v>35.288550000000001</v>
      </c>
      <c r="G230">
        <v>35.288550000000001</v>
      </c>
      <c r="H230">
        <v>0</v>
      </c>
      <c r="I230">
        <v>0.31376100000000001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T230" t="str">
        <f t="shared" si="14"/>
        <v>040042202206</v>
      </c>
      <c r="U230">
        <f t="shared" si="15"/>
        <v>35.602311</v>
      </c>
    </row>
    <row r="231" spans="1:21" x14ac:dyDescent="0.35">
      <c r="A231" t="str">
        <f t="shared" si="12"/>
        <v>2022</v>
      </c>
      <c r="B231" t="str">
        <f t="shared" si="13"/>
        <v>06</v>
      </c>
      <c r="C231" t="s">
        <v>81</v>
      </c>
      <c r="D231">
        <v>202206</v>
      </c>
      <c r="E231" s="11" t="s">
        <v>26</v>
      </c>
      <c r="F231">
        <v>1.809299</v>
      </c>
      <c r="G231">
        <v>1.809299</v>
      </c>
      <c r="H231">
        <v>0</v>
      </c>
      <c r="I231">
        <v>129.99734699999999</v>
      </c>
      <c r="J231">
        <v>0</v>
      </c>
      <c r="K231">
        <v>0</v>
      </c>
      <c r="L231">
        <v>0.57960100000000003</v>
      </c>
      <c r="M231">
        <v>0.57960100000000003</v>
      </c>
      <c r="N231">
        <v>0</v>
      </c>
      <c r="O231">
        <v>0</v>
      </c>
      <c r="P231">
        <v>16.632116</v>
      </c>
      <c r="Q231">
        <v>20.625682000000001</v>
      </c>
      <c r="R231">
        <v>0</v>
      </c>
      <c r="T231" t="str">
        <f t="shared" si="14"/>
        <v>040044202206</v>
      </c>
      <c r="U231">
        <f t="shared" si="15"/>
        <v>131.806646</v>
      </c>
    </row>
    <row r="232" spans="1:21" x14ac:dyDescent="0.35">
      <c r="A232" t="str">
        <f t="shared" si="12"/>
        <v>2022</v>
      </c>
      <c r="B232" t="str">
        <f t="shared" si="13"/>
        <v>06</v>
      </c>
      <c r="C232" t="s">
        <v>81</v>
      </c>
      <c r="D232">
        <v>202206</v>
      </c>
      <c r="E232" s="11" t="s">
        <v>27</v>
      </c>
      <c r="F232">
        <v>147.04925399999999</v>
      </c>
      <c r="G232">
        <v>147.04925399999999</v>
      </c>
      <c r="H232">
        <v>0</v>
      </c>
      <c r="I232">
        <v>14.553468000000001</v>
      </c>
      <c r="J232">
        <v>0.81656399999999996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T232" t="str">
        <f t="shared" si="14"/>
        <v>040058202206</v>
      </c>
      <c r="U232">
        <f t="shared" si="15"/>
        <v>162.419286</v>
      </c>
    </row>
    <row r="233" spans="1:21" x14ac:dyDescent="0.35">
      <c r="A233" t="str">
        <f t="shared" si="12"/>
        <v>2022</v>
      </c>
      <c r="B233" t="str">
        <f t="shared" si="13"/>
        <v>06</v>
      </c>
      <c r="C233" t="s">
        <v>81</v>
      </c>
      <c r="D233">
        <v>202206</v>
      </c>
      <c r="E233" s="11" t="s">
        <v>28</v>
      </c>
      <c r="F233">
        <v>0</v>
      </c>
      <c r="G233">
        <v>0</v>
      </c>
      <c r="H233">
        <v>0</v>
      </c>
      <c r="I233">
        <v>32.178795999999998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T233" t="str">
        <f t="shared" si="14"/>
        <v>040059202206</v>
      </c>
      <c r="U233">
        <f t="shared" si="15"/>
        <v>32.178795999999998</v>
      </c>
    </row>
    <row r="234" spans="1:21" x14ac:dyDescent="0.35">
      <c r="A234" t="str">
        <f t="shared" si="12"/>
        <v>2022</v>
      </c>
      <c r="B234" t="str">
        <f t="shared" si="13"/>
        <v>06</v>
      </c>
      <c r="C234" t="s">
        <v>81</v>
      </c>
      <c r="D234">
        <v>202206</v>
      </c>
      <c r="E234" s="11" t="s">
        <v>62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T234" t="str">
        <f t="shared" si="14"/>
        <v>040060202206</v>
      </c>
      <c r="U234">
        <f t="shared" si="15"/>
        <v>0</v>
      </c>
    </row>
    <row r="235" spans="1:21" x14ac:dyDescent="0.35">
      <c r="A235" t="str">
        <f t="shared" si="12"/>
        <v>2022</v>
      </c>
      <c r="B235" t="str">
        <f t="shared" si="13"/>
        <v>06</v>
      </c>
      <c r="C235" t="s">
        <v>81</v>
      </c>
      <c r="D235">
        <v>202206</v>
      </c>
      <c r="E235" s="11" t="s">
        <v>29</v>
      </c>
      <c r="F235">
        <v>2.1329000000000001E-2</v>
      </c>
      <c r="G235">
        <v>2.1329000000000001E-2</v>
      </c>
      <c r="H235">
        <v>0</v>
      </c>
      <c r="I235">
        <v>46.444288</v>
      </c>
      <c r="J235">
        <v>1.7187999999999998E-2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T235" t="str">
        <f t="shared" si="14"/>
        <v>040062202206</v>
      </c>
      <c r="U235">
        <f t="shared" si="15"/>
        <v>46.482804999999999</v>
      </c>
    </row>
    <row r="236" spans="1:21" x14ac:dyDescent="0.35">
      <c r="A236" t="str">
        <f t="shared" si="12"/>
        <v>2022</v>
      </c>
      <c r="B236" t="str">
        <f t="shared" si="13"/>
        <v>06</v>
      </c>
      <c r="C236" t="s">
        <v>81</v>
      </c>
      <c r="D236">
        <v>202206</v>
      </c>
      <c r="E236" s="11" t="s">
        <v>30</v>
      </c>
      <c r="F236">
        <v>64.111251600000003</v>
      </c>
      <c r="G236">
        <v>64.110430280000003</v>
      </c>
      <c r="H236">
        <v>0</v>
      </c>
      <c r="I236">
        <v>730.16856703999997</v>
      </c>
      <c r="J236">
        <v>137.70846054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T236" t="str">
        <f t="shared" si="14"/>
        <v>040072202206</v>
      </c>
      <c r="U236">
        <f t="shared" si="15"/>
        <v>931.98827918000006</v>
      </c>
    </row>
    <row r="237" spans="1:21" x14ac:dyDescent="0.35">
      <c r="A237" t="str">
        <f t="shared" si="12"/>
        <v>2022</v>
      </c>
      <c r="B237" t="str">
        <f t="shared" si="13"/>
        <v>06</v>
      </c>
      <c r="C237" t="s">
        <v>81</v>
      </c>
      <c r="D237">
        <v>202206</v>
      </c>
      <c r="E237" s="11" t="s">
        <v>31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T237" t="str">
        <f t="shared" si="14"/>
        <v>040106202206</v>
      </c>
      <c r="U237">
        <f t="shared" si="15"/>
        <v>0</v>
      </c>
    </row>
    <row r="238" spans="1:21" x14ac:dyDescent="0.35">
      <c r="A238" t="str">
        <f t="shared" si="12"/>
        <v>2022</v>
      </c>
      <c r="B238" t="str">
        <f t="shared" si="13"/>
        <v>06</v>
      </c>
      <c r="C238" t="s">
        <v>81</v>
      </c>
      <c r="D238">
        <v>202206</v>
      </c>
      <c r="E238" s="11" t="s">
        <v>32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T238" t="str">
        <f t="shared" si="14"/>
        <v>040108202206</v>
      </c>
      <c r="U238">
        <f t="shared" si="15"/>
        <v>0</v>
      </c>
    </row>
    <row r="239" spans="1:21" x14ac:dyDescent="0.35">
      <c r="A239" t="str">
        <f t="shared" si="12"/>
        <v>2022</v>
      </c>
      <c r="B239" t="str">
        <f t="shared" si="13"/>
        <v>06</v>
      </c>
      <c r="C239" t="s">
        <v>81</v>
      </c>
      <c r="D239">
        <v>202206</v>
      </c>
      <c r="E239" s="11" t="s">
        <v>33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T239" t="str">
        <f t="shared" si="14"/>
        <v>040110202206</v>
      </c>
      <c r="U239">
        <f t="shared" si="15"/>
        <v>0</v>
      </c>
    </row>
    <row r="240" spans="1:21" x14ac:dyDescent="0.35">
      <c r="A240" t="str">
        <f t="shared" si="12"/>
        <v>2022</v>
      </c>
      <c r="B240" t="str">
        <f t="shared" si="13"/>
        <v>06</v>
      </c>
      <c r="C240" t="s">
        <v>81</v>
      </c>
      <c r="D240">
        <v>202206</v>
      </c>
      <c r="E240" s="11" t="s">
        <v>34</v>
      </c>
      <c r="F240">
        <v>0.40927292999999998</v>
      </c>
      <c r="G240">
        <v>0.40927292999999998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T240" t="str">
        <f t="shared" si="14"/>
        <v>040112202206</v>
      </c>
      <c r="U240">
        <f t="shared" si="15"/>
        <v>0.40927292999999998</v>
      </c>
    </row>
    <row r="241" spans="1:21" x14ac:dyDescent="0.35">
      <c r="A241" t="str">
        <f t="shared" si="12"/>
        <v>2022</v>
      </c>
      <c r="B241" t="str">
        <f t="shared" si="13"/>
        <v>06</v>
      </c>
      <c r="C241" t="s">
        <v>81</v>
      </c>
      <c r="D241">
        <v>202206</v>
      </c>
      <c r="E241" s="11" t="s">
        <v>35</v>
      </c>
      <c r="F241">
        <v>63.004564000000002</v>
      </c>
      <c r="G241">
        <v>63.004564000000002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T241" t="str">
        <f t="shared" si="14"/>
        <v>040113202206</v>
      </c>
      <c r="U241">
        <f t="shared" si="15"/>
        <v>63.004564000000002</v>
      </c>
    </row>
    <row r="242" spans="1:21" x14ac:dyDescent="0.35">
      <c r="A242" t="str">
        <f t="shared" si="12"/>
        <v>2022</v>
      </c>
      <c r="B242" t="str">
        <f t="shared" si="13"/>
        <v>06</v>
      </c>
      <c r="C242" t="s">
        <v>81</v>
      </c>
      <c r="D242">
        <v>202206</v>
      </c>
      <c r="E242" s="11" t="s">
        <v>36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T242" t="str">
        <f t="shared" si="14"/>
        <v>040126202206</v>
      </c>
      <c r="U242">
        <f t="shared" si="15"/>
        <v>0</v>
      </c>
    </row>
    <row r="243" spans="1:21" x14ac:dyDescent="0.35">
      <c r="A243" t="str">
        <f t="shared" si="12"/>
        <v>2022</v>
      </c>
      <c r="B243" t="str">
        <f t="shared" si="13"/>
        <v>06</v>
      </c>
      <c r="C243" t="s">
        <v>81</v>
      </c>
      <c r="D243">
        <v>202206</v>
      </c>
      <c r="E243" s="11" t="s">
        <v>37</v>
      </c>
      <c r="F243">
        <v>0</v>
      </c>
      <c r="G243">
        <v>0</v>
      </c>
      <c r="H243">
        <v>0</v>
      </c>
      <c r="I243">
        <v>662.33823126000004</v>
      </c>
      <c r="J243">
        <v>4.3648300000000001E-3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T243" t="str">
        <f t="shared" si="14"/>
        <v>040127202206</v>
      </c>
      <c r="U243">
        <f t="shared" si="15"/>
        <v>662.34259609000003</v>
      </c>
    </row>
    <row r="244" spans="1:21" x14ac:dyDescent="0.35">
      <c r="A244" t="str">
        <f t="shared" si="12"/>
        <v>2022</v>
      </c>
      <c r="B244" t="str">
        <f t="shared" si="13"/>
        <v>06</v>
      </c>
      <c r="C244" t="s">
        <v>81</v>
      </c>
      <c r="D244">
        <v>202206</v>
      </c>
      <c r="E244" s="11" t="s">
        <v>38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T244" t="str">
        <f t="shared" si="14"/>
        <v>040128202206</v>
      </c>
      <c r="U244">
        <f t="shared" si="15"/>
        <v>0</v>
      </c>
    </row>
    <row r="245" spans="1:21" x14ac:dyDescent="0.35">
      <c r="A245" t="str">
        <f t="shared" si="12"/>
        <v>2022</v>
      </c>
      <c r="B245" t="str">
        <f t="shared" si="13"/>
        <v>06</v>
      </c>
      <c r="C245" t="s">
        <v>81</v>
      </c>
      <c r="D245">
        <v>202206</v>
      </c>
      <c r="E245" s="11" t="s">
        <v>39</v>
      </c>
      <c r="F245">
        <v>0</v>
      </c>
      <c r="G245">
        <v>0</v>
      </c>
      <c r="H245">
        <v>0</v>
      </c>
      <c r="I245">
        <v>172.85685799999999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1.535949</v>
      </c>
      <c r="Q245">
        <v>0</v>
      </c>
      <c r="R245">
        <v>0</v>
      </c>
      <c r="T245" t="str">
        <f t="shared" si="14"/>
        <v>040130202206</v>
      </c>
      <c r="U245">
        <f t="shared" si="15"/>
        <v>172.85685799999999</v>
      </c>
    </row>
    <row r="246" spans="1:21" x14ac:dyDescent="0.35">
      <c r="A246" t="str">
        <f t="shared" si="12"/>
        <v>2022</v>
      </c>
      <c r="B246" t="str">
        <f t="shared" si="13"/>
        <v>06</v>
      </c>
      <c r="C246" t="s">
        <v>81</v>
      </c>
      <c r="D246">
        <v>202206</v>
      </c>
      <c r="E246" s="11" t="s">
        <v>40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T246" t="str">
        <f t="shared" si="14"/>
        <v>040132202206</v>
      </c>
      <c r="U246">
        <f t="shared" si="15"/>
        <v>0</v>
      </c>
    </row>
    <row r="247" spans="1:21" x14ac:dyDescent="0.35">
      <c r="A247" t="str">
        <f t="shared" si="12"/>
        <v>2022</v>
      </c>
      <c r="B247" t="str">
        <f t="shared" si="13"/>
        <v>06</v>
      </c>
      <c r="C247" t="s">
        <v>81</v>
      </c>
      <c r="D247">
        <v>202206</v>
      </c>
      <c r="E247" s="11" t="s">
        <v>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T247" t="str">
        <f t="shared" si="14"/>
        <v>040133202206</v>
      </c>
      <c r="U247">
        <f t="shared" si="15"/>
        <v>0</v>
      </c>
    </row>
    <row r="248" spans="1:21" x14ac:dyDescent="0.35">
      <c r="A248" t="str">
        <f t="shared" si="12"/>
        <v>2022</v>
      </c>
      <c r="B248" t="str">
        <f t="shared" si="13"/>
        <v>06</v>
      </c>
      <c r="C248" t="s">
        <v>81</v>
      </c>
      <c r="D248">
        <v>202206</v>
      </c>
      <c r="E248" s="11" t="s">
        <v>42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T248" t="str">
        <f t="shared" si="14"/>
        <v>040136202206</v>
      </c>
      <c r="U248">
        <f t="shared" si="15"/>
        <v>0</v>
      </c>
    </row>
    <row r="249" spans="1:21" x14ac:dyDescent="0.35">
      <c r="A249" t="str">
        <f t="shared" si="12"/>
        <v>2022</v>
      </c>
      <c r="B249" t="str">
        <f t="shared" si="13"/>
        <v>06</v>
      </c>
      <c r="C249" t="s">
        <v>81</v>
      </c>
      <c r="D249">
        <v>202206</v>
      </c>
      <c r="E249" s="11" t="s">
        <v>43</v>
      </c>
      <c r="F249">
        <v>0</v>
      </c>
      <c r="G249">
        <v>0</v>
      </c>
      <c r="H249">
        <v>0</v>
      </c>
      <c r="I249">
        <v>0.20659917999999999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T249" t="str">
        <f t="shared" si="14"/>
        <v>040137202206</v>
      </c>
      <c r="U249">
        <f t="shared" si="15"/>
        <v>0.20659917999999999</v>
      </c>
    </row>
    <row r="250" spans="1:21" x14ac:dyDescent="0.35">
      <c r="A250" t="str">
        <f t="shared" si="12"/>
        <v>2022</v>
      </c>
      <c r="B250" t="str">
        <f t="shared" si="13"/>
        <v>06</v>
      </c>
      <c r="C250" t="s">
        <v>81</v>
      </c>
      <c r="D250">
        <v>202206</v>
      </c>
      <c r="E250" s="11" t="s">
        <v>44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T250" t="str">
        <f t="shared" si="14"/>
        <v>040138202206</v>
      </c>
      <c r="U250">
        <f t="shared" si="15"/>
        <v>0</v>
      </c>
    </row>
    <row r="251" spans="1:21" x14ac:dyDescent="0.35">
      <c r="A251" t="str">
        <f t="shared" si="12"/>
        <v>2022</v>
      </c>
      <c r="B251" t="str">
        <f t="shared" si="13"/>
        <v>06</v>
      </c>
      <c r="C251" t="s">
        <v>81</v>
      </c>
      <c r="D251">
        <v>202206</v>
      </c>
      <c r="E251" s="11" t="s">
        <v>45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T251" t="str">
        <f t="shared" si="14"/>
        <v>040139202206</v>
      </c>
      <c r="U251">
        <f t="shared" si="15"/>
        <v>0</v>
      </c>
    </row>
    <row r="252" spans="1:21" x14ac:dyDescent="0.35">
      <c r="A252" t="str">
        <f t="shared" si="12"/>
        <v>2022</v>
      </c>
      <c r="B252" t="str">
        <f t="shared" si="13"/>
        <v>06</v>
      </c>
      <c r="C252" t="s">
        <v>81</v>
      </c>
      <c r="D252">
        <v>202206</v>
      </c>
      <c r="E252" s="11" t="s">
        <v>46</v>
      </c>
      <c r="F252">
        <v>0</v>
      </c>
      <c r="G252">
        <v>0</v>
      </c>
      <c r="H252">
        <v>0</v>
      </c>
      <c r="I252">
        <v>14.285417000000001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T252" t="str">
        <f t="shared" si="14"/>
        <v>040140202206</v>
      </c>
      <c r="U252">
        <f t="shared" si="15"/>
        <v>14.285417000000001</v>
      </c>
    </row>
    <row r="253" spans="1:21" x14ac:dyDescent="0.35">
      <c r="A253" t="str">
        <f t="shared" si="12"/>
        <v>2022</v>
      </c>
      <c r="B253" t="str">
        <f t="shared" si="13"/>
        <v>06</v>
      </c>
      <c r="C253" t="s">
        <v>81</v>
      </c>
      <c r="D253">
        <v>202206</v>
      </c>
      <c r="E253" s="11" t="s">
        <v>47</v>
      </c>
      <c r="F253">
        <v>0</v>
      </c>
      <c r="G253">
        <v>0</v>
      </c>
      <c r="H253">
        <v>0</v>
      </c>
      <c r="I253">
        <v>13.519170000000001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T253" t="str">
        <f t="shared" si="14"/>
        <v>040141202206</v>
      </c>
      <c r="U253">
        <f t="shared" si="15"/>
        <v>13.519170000000001</v>
      </c>
    </row>
    <row r="254" spans="1:21" x14ac:dyDescent="0.35">
      <c r="A254" t="str">
        <f t="shared" si="12"/>
        <v>2022</v>
      </c>
      <c r="B254" t="str">
        <f t="shared" si="13"/>
        <v>06</v>
      </c>
      <c r="C254" t="s">
        <v>81</v>
      </c>
      <c r="D254">
        <v>202206</v>
      </c>
      <c r="E254" s="11" t="s">
        <v>48</v>
      </c>
      <c r="F254">
        <v>1.5319413899999998</v>
      </c>
      <c r="G254">
        <v>0.95276595999999991</v>
      </c>
      <c r="H254">
        <v>0.57917543000000005</v>
      </c>
      <c r="I254">
        <v>8.715977070000001</v>
      </c>
      <c r="J254">
        <v>7.2896309999999992E-2</v>
      </c>
      <c r="K254">
        <v>0</v>
      </c>
      <c r="L254">
        <v>4.7890059999999998E-2</v>
      </c>
      <c r="M254">
        <v>4.7890059999999998E-2</v>
      </c>
      <c r="N254">
        <v>0</v>
      </c>
      <c r="O254">
        <v>0</v>
      </c>
      <c r="P254">
        <v>11.138289759999999</v>
      </c>
      <c r="Q254">
        <v>0.55253308000000001</v>
      </c>
      <c r="R254">
        <v>0</v>
      </c>
      <c r="T254" t="str">
        <f t="shared" si="14"/>
        <v>040143202206</v>
      </c>
      <c r="U254">
        <f t="shared" si="15"/>
        <v>10.320814770000002</v>
      </c>
    </row>
    <row r="255" spans="1:21" x14ac:dyDescent="0.35">
      <c r="A255" t="str">
        <f t="shared" si="12"/>
        <v>2022</v>
      </c>
      <c r="B255" t="str">
        <f t="shared" si="13"/>
        <v>06</v>
      </c>
      <c r="C255" t="s">
        <v>81</v>
      </c>
      <c r="D255">
        <v>202206</v>
      </c>
      <c r="E255" s="11" t="s">
        <v>49</v>
      </c>
      <c r="F255">
        <v>30.884322999999998</v>
      </c>
      <c r="G255">
        <v>30.884322999999998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T255" t="str">
        <f t="shared" si="14"/>
        <v>040145202206</v>
      </c>
      <c r="U255">
        <f t="shared" si="15"/>
        <v>30.884322999999998</v>
      </c>
    </row>
    <row r="256" spans="1:21" x14ac:dyDescent="0.35">
      <c r="A256" t="str">
        <f t="shared" si="12"/>
        <v>2022</v>
      </c>
      <c r="B256" t="str">
        <f t="shared" si="13"/>
        <v>06</v>
      </c>
      <c r="C256" t="s">
        <v>81</v>
      </c>
      <c r="D256">
        <v>202206</v>
      </c>
      <c r="E256" s="11" t="s">
        <v>50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T256" t="str">
        <f t="shared" si="14"/>
        <v>040147202206</v>
      </c>
      <c r="U256">
        <f t="shared" si="15"/>
        <v>0</v>
      </c>
    </row>
    <row r="257" spans="1:21" x14ac:dyDescent="0.35">
      <c r="A257" t="str">
        <f t="shared" si="12"/>
        <v>2022</v>
      </c>
      <c r="B257" t="str">
        <f t="shared" si="13"/>
        <v>06</v>
      </c>
      <c r="C257" t="s">
        <v>81</v>
      </c>
      <c r="D257">
        <v>202206</v>
      </c>
      <c r="E257" s="11" t="s">
        <v>51</v>
      </c>
      <c r="F257">
        <v>0</v>
      </c>
      <c r="G257">
        <v>0</v>
      </c>
      <c r="H257">
        <v>0</v>
      </c>
      <c r="I257">
        <v>16.006875999999998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0.14052100000000001</v>
      </c>
      <c r="Q257">
        <v>0</v>
      </c>
      <c r="R257">
        <v>0</v>
      </c>
      <c r="T257" t="str">
        <f t="shared" si="14"/>
        <v>040149202206</v>
      </c>
      <c r="U257">
        <f t="shared" si="15"/>
        <v>16.006875999999998</v>
      </c>
    </row>
    <row r="258" spans="1:21" x14ac:dyDescent="0.35">
      <c r="A258" t="str">
        <f t="shared" si="12"/>
        <v>2022</v>
      </c>
      <c r="B258" t="str">
        <f t="shared" si="13"/>
        <v>06</v>
      </c>
      <c r="C258" t="s">
        <v>81</v>
      </c>
      <c r="D258">
        <v>202206</v>
      </c>
      <c r="E258" s="11" t="s">
        <v>52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T258" t="str">
        <f t="shared" si="14"/>
        <v>040150202206</v>
      </c>
      <c r="U258">
        <f t="shared" si="15"/>
        <v>0</v>
      </c>
    </row>
    <row r="259" spans="1:21" x14ac:dyDescent="0.35">
      <c r="A259" t="str">
        <f t="shared" ref="A259:A322" si="16">LEFT(D259,4)</f>
        <v>2022</v>
      </c>
      <c r="B259" t="str">
        <f t="shared" ref="B259:B322" si="17">RIGHT(D259,2)</f>
        <v>06</v>
      </c>
      <c r="C259" t="s">
        <v>81</v>
      </c>
      <c r="D259">
        <v>202206</v>
      </c>
      <c r="E259" s="11" t="s">
        <v>53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T259" t="str">
        <f t="shared" ref="T259:T322" si="18">+E259&amp;D259</f>
        <v>040151202206</v>
      </c>
      <c r="U259">
        <f t="shared" ref="U259:U322" si="19">+F259+I259+J259</f>
        <v>0</v>
      </c>
    </row>
    <row r="260" spans="1:21" x14ac:dyDescent="0.35">
      <c r="A260" t="str">
        <f t="shared" si="16"/>
        <v>2022</v>
      </c>
      <c r="B260" t="str">
        <f t="shared" si="17"/>
        <v>06</v>
      </c>
      <c r="C260" t="s">
        <v>81</v>
      </c>
      <c r="D260">
        <v>202206</v>
      </c>
      <c r="E260" s="11" t="s">
        <v>54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T260" t="str">
        <f t="shared" si="18"/>
        <v>040152202206</v>
      </c>
      <c r="U260">
        <f t="shared" si="19"/>
        <v>0</v>
      </c>
    </row>
    <row r="261" spans="1:21" x14ac:dyDescent="0.35">
      <c r="A261" t="str">
        <f t="shared" si="16"/>
        <v>2022</v>
      </c>
      <c r="B261" t="str">
        <f t="shared" si="17"/>
        <v>06</v>
      </c>
      <c r="C261" t="s">
        <v>81</v>
      </c>
      <c r="D261">
        <v>202206</v>
      </c>
      <c r="E261" s="11" t="s">
        <v>55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132.66936226000001</v>
      </c>
      <c r="T261" t="str">
        <f t="shared" si="18"/>
        <v>040154202206</v>
      </c>
      <c r="U261">
        <f t="shared" si="19"/>
        <v>0</v>
      </c>
    </row>
    <row r="262" spans="1:21" x14ac:dyDescent="0.35">
      <c r="A262" t="str">
        <f t="shared" si="16"/>
        <v>2022</v>
      </c>
      <c r="B262" t="str">
        <f t="shared" si="17"/>
        <v>06</v>
      </c>
      <c r="C262" t="s">
        <v>81</v>
      </c>
      <c r="D262">
        <v>202206</v>
      </c>
      <c r="E262" s="11" t="s">
        <v>56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T262" t="str">
        <f t="shared" si="18"/>
        <v>040155202206</v>
      </c>
      <c r="U262">
        <f t="shared" si="19"/>
        <v>0</v>
      </c>
    </row>
    <row r="263" spans="1:21" x14ac:dyDescent="0.35">
      <c r="A263" t="str">
        <f t="shared" si="16"/>
        <v>2022</v>
      </c>
      <c r="B263" t="str">
        <f t="shared" si="17"/>
        <v>06</v>
      </c>
      <c r="C263" t="s">
        <v>81</v>
      </c>
      <c r="D263">
        <v>202206</v>
      </c>
      <c r="E263" s="11" t="s">
        <v>57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T263" t="str">
        <f t="shared" si="18"/>
        <v>040156202206</v>
      </c>
      <c r="U263">
        <f t="shared" si="19"/>
        <v>0</v>
      </c>
    </row>
    <row r="264" spans="1:21" x14ac:dyDescent="0.35">
      <c r="A264" t="str">
        <f t="shared" si="16"/>
        <v>2022</v>
      </c>
      <c r="B264" t="str">
        <f t="shared" si="17"/>
        <v>06</v>
      </c>
      <c r="C264" t="s">
        <v>81</v>
      </c>
      <c r="D264">
        <v>202206</v>
      </c>
      <c r="E264" s="11" t="s">
        <v>58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T264" t="str">
        <f t="shared" si="18"/>
        <v>040157202206</v>
      </c>
      <c r="U264">
        <f t="shared" si="19"/>
        <v>0</v>
      </c>
    </row>
    <row r="265" spans="1:21" x14ac:dyDescent="0.35">
      <c r="A265" t="str">
        <f t="shared" si="16"/>
        <v>2022</v>
      </c>
      <c r="B265" t="str">
        <f t="shared" si="17"/>
        <v>06</v>
      </c>
      <c r="C265" t="s">
        <v>81</v>
      </c>
      <c r="D265">
        <v>202206</v>
      </c>
      <c r="E265" s="11" t="s">
        <v>59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T265" t="str">
        <f t="shared" si="18"/>
        <v>040158202206</v>
      </c>
      <c r="U265">
        <f t="shared" si="19"/>
        <v>0</v>
      </c>
    </row>
    <row r="266" spans="1:21" x14ac:dyDescent="0.35">
      <c r="A266" t="str">
        <f t="shared" si="16"/>
        <v>2022</v>
      </c>
      <c r="B266" t="str">
        <f t="shared" si="17"/>
        <v>06</v>
      </c>
      <c r="C266" t="s">
        <v>81</v>
      </c>
      <c r="D266">
        <v>202206</v>
      </c>
      <c r="E266" s="11" t="s">
        <v>60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T266" t="str">
        <f t="shared" si="18"/>
        <v>040159202206</v>
      </c>
      <c r="U266">
        <f t="shared" si="19"/>
        <v>0</v>
      </c>
    </row>
    <row r="267" spans="1:21" x14ac:dyDescent="0.35">
      <c r="A267" t="str">
        <f t="shared" si="16"/>
        <v>2022</v>
      </c>
      <c r="B267" t="str">
        <f t="shared" si="17"/>
        <v>06</v>
      </c>
      <c r="C267" t="s">
        <v>81</v>
      </c>
      <c r="D267">
        <v>202206</v>
      </c>
      <c r="E267" s="11" t="s">
        <v>61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T267" t="str">
        <f t="shared" si="18"/>
        <v>040162202206</v>
      </c>
      <c r="U267">
        <f t="shared" si="19"/>
        <v>0</v>
      </c>
    </row>
    <row r="268" spans="1:21" x14ac:dyDescent="0.35">
      <c r="A268" t="str">
        <f t="shared" si="16"/>
        <v>2022</v>
      </c>
      <c r="B268" t="str">
        <f t="shared" si="17"/>
        <v>07</v>
      </c>
      <c r="C268" t="s">
        <v>82</v>
      </c>
      <c r="D268">
        <v>202207</v>
      </c>
      <c r="E268" s="11">
        <v>5</v>
      </c>
      <c r="F268">
        <v>2126.98142904</v>
      </c>
      <c r="G268">
        <v>2126.0230621800001</v>
      </c>
      <c r="H268">
        <v>0.95820864000000006</v>
      </c>
      <c r="I268">
        <v>5011.1759455600004</v>
      </c>
      <c r="J268">
        <v>664.63784630999999</v>
      </c>
      <c r="K268">
        <v>30.183952999999999</v>
      </c>
      <c r="L268">
        <v>0.38517600000000002</v>
      </c>
      <c r="M268">
        <v>0.38517600000000002</v>
      </c>
      <c r="N268">
        <v>0</v>
      </c>
      <c r="O268">
        <v>0</v>
      </c>
      <c r="P268">
        <v>45.462923409999995</v>
      </c>
      <c r="Q268">
        <v>37.24259215</v>
      </c>
      <c r="R268">
        <v>0</v>
      </c>
      <c r="T268" t="str">
        <f t="shared" si="18"/>
        <v>5202207</v>
      </c>
      <c r="U268">
        <f t="shared" si="19"/>
        <v>7802.7952209100004</v>
      </c>
    </row>
    <row r="269" spans="1:21" x14ac:dyDescent="0.35">
      <c r="A269" t="str">
        <f t="shared" si="16"/>
        <v>2022</v>
      </c>
      <c r="B269" t="str">
        <f t="shared" si="17"/>
        <v>07</v>
      </c>
      <c r="C269" t="s">
        <v>82</v>
      </c>
      <c r="D269">
        <v>202207</v>
      </c>
      <c r="E269" s="11" t="s">
        <v>19</v>
      </c>
      <c r="F269">
        <v>50.83652</v>
      </c>
      <c r="G269">
        <v>50.83652</v>
      </c>
      <c r="H269">
        <v>0</v>
      </c>
      <c r="I269">
        <v>160.95223899999999</v>
      </c>
      <c r="J269">
        <v>140.628849</v>
      </c>
      <c r="K269">
        <v>30.183952999999999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T269" t="str">
        <f t="shared" si="18"/>
        <v>040002202207</v>
      </c>
      <c r="U269">
        <f t="shared" si="19"/>
        <v>352.41760799999997</v>
      </c>
    </row>
    <row r="270" spans="1:21" x14ac:dyDescent="0.35">
      <c r="A270" t="str">
        <f t="shared" si="16"/>
        <v>2022</v>
      </c>
      <c r="B270" t="str">
        <f t="shared" si="17"/>
        <v>07</v>
      </c>
      <c r="C270" t="s">
        <v>82</v>
      </c>
      <c r="D270">
        <v>202207</v>
      </c>
      <c r="E270" s="11" t="s">
        <v>20</v>
      </c>
      <c r="F270">
        <v>536.69926592000002</v>
      </c>
      <c r="G270">
        <v>536.69926592000002</v>
      </c>
      <c r="H270">
        <v>0</v>
      </c>
      <c r="I270">
        <v>2056.7979290499998</v>
      </c>
      <c r="J270">
        <v>196.64730327999999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T270" t="str">
        <f t="shared" si="18"/>
        <v>040012202207</v>
      </c>
      <c r="U270">
        <f t="shared" si="19"/>
        <v>2790.1444982499997</v>
      </c>
    </row>
    <row r="271" spans="1:21" x14ac:dyDescent="0.35">
      <c r="A271" t="str">
        <f t="shared" si="16"/>
        <v>2022</v>
      </c>
      <c r="B271" t="str">
        <f t="shared" si="17"/>
        <v>07</v>
      </c>
      <c r="C271" t="s">
        <v>82</v>
      </c>
      <c r="D271">
        <v>202207</v>
      </c>
      <c r="E271" s="11" t="s">
        <v>21</v>
      </c>
      <c r="F271">
        <v>432.084157</v>
      </c>
      <c r="G271">
        <v>432.084157</v>
      </c>
      <c r="H271">
        <v>0</v>
      </c>
      <c r="I271">
        <v>315.42542800000001</v>
      </c>
      <c r="J271">
        <v>134.68585300000001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T271" t="str">
        <f t="shared" si="18"/>
        <v>040014202207</v>
      </c>
      <c r="U271">
        <f t="shared" si="19"/>
        <v>882.19543799999997</v>
      </c>
    </row>
    <row r="272" spans="1:21" x14ac:dyDescent="0.35">
      <c r="A272" t="str">
        <f t="shared" si="16"/>
        <v>2022</v>
      </c>
      <c r="B272" t="str">
        <f t="shared" si="17"/>
        <v>07</v>
      </c>
      <c r="C272" t="s">
        <v>82</v>
      </c>
      <c r="D272">
        <v>202207</v>
      </c>
      <c r="E272" s="11" t="s">
        <v>22</v>
      </c>
      <c r="F272">
        <v>705.92013599999996</v>
      </c>
      <c r="G272">
        <v>705.92013599999996</v>
      </c>
      <c r="H272">
        <v>0</v>
      </c>
      <c r="I272">
        <v>612.09703100000002</v>
      </c>
      <c r="J272">
        <v>24.326698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19.718271999999999</v>
      </c>
      <c r="Q272">
        <v>14.079814000000001</v>
      </c>
      <c r="R272">
        <v>0</v>
      </c>
      <c r="T272" t="str">
        <f t="shared" si="18"/>
        <v>040021202207</v>
      </c>
      <c r="U272">
        <f t="shared" si="19"/>
        <v>1342.3438650000001</v>
      </c>
    </row>
    <row r="273" spans="1:21" x14ac:dyDescent="0.35">
      <c r="A273" t="str">
        <f t="shared" si="16"/>
        <v>2022</v>
      </c>
      <c r="B273" t="str">
        <f t="shared" si="17"/>
        <v>07</v>
      </c>
      <c r="C273" t="s">
        <v>82</v>
      </c>
      <c r="D273">
        <v>202207</v>
      </c>
      <c r="E273" s="11" t="s">
        <v>23</v>
      </c>
      <c r="F273">
        <v>22.022560010000003</v>
      </c>
      <c r="G273">
        <v>22.022560010000003</v>
      </c>
      <c r="H273">
        <v>0</v>
      </c>
      <c r="I273">
        <v>23.389314129999999</v>
      </c>
      <c r="J273">
        <v>0.6019002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0.52476743999999997</v>
      </c>
      <c r="R273">
        <v>0</v>
      </c>
      <c r="T273" t="str">
        <f t="shared" si="18"/>
        <v>040030202207</v>
      </c>
      <c r="U273">
        <f t="shared" si="19"/>
        <v>46.013774340000005</v>
      </c>
    </row>
    <row r="274" spans="1:21" x14ac:dyDescent="0.35">
      <c r="A274" t="str">
        <f t="shared" si="16"/>
        <v>2022</v>
      </c>
      <c r="B274" t="str">
        <f t="shared" si="17"/>
        <v>07</v>
      </c>
      <c r="C274" t="s">
        <v>82</v>
      </c>
      <c r="D274">
        <v>202207</v>
      </c>
      <c r="E274" s="11" t="s">
        <v>24</v>
      </c>
      <c r="F274">
        <v>0</v>
      </c>
      <c r="G274">
        <v>0</v>
      </c>
      <c r="H274">
        <v>0</v>
      </c>
      <c r="I274">
        <v>25.808126000000001</v>
      </c>
      <c r="J274">
        <v>1.9559999999999998E-3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T274" t="str">
        <f t="shared" si="18"/>
        <v>040036202207</v>
      </c>
      <c r="U274">
        <f t="shared" si="19"/>
        <v>25.810082000000001</v>
      </c>
    </row>
    <row r="275" spans="1:21" x14ac:dyDescent="0.35">
      <c r="A275" t="str">
        <f t="shared" si="16"/>
        <v>2022</v>
      </c>
      <c r="B275" t="str">
        <f t="shared" si="17"/>
        <v>07</v>
      </c>
      <c r="C275" t="s">
        <v>82</v>
      </c>
      <c r="D275">
        <v>202207</v>
      </c>
      <c r="E275" s="11" t="s">
        <v>25</v>
      </c>
      <c r="F275">
        <v>5.8255610000000004</v>
      </c>
      <c r="G275">
        <v>5.8255610000000004</v>
      </c>
      <c r="H275">
        <v>0</v>
      </c>
      <c r="I275">
        <v>0.54735599999999995</v>
      </c>
      <c r="J275">
        <v>0.16770199999999999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T275" t="str">
        <f t="shared" si="18"/>
        <v>040042202207</v>
      </c>
      <c r="U275">
        <f t="shared" si="19"/>
        <v>6.5406190000000004</v>
      </c>
    </row>
    <row r="276" spans="1:21" x14ac:dyDescent="0.35">
      <c r="A276" t="str">
        <f t="shared" si="16"/>
        <v>2022</v>
      </c>
      <c r="B276" t="str">
        <f t="shared" si="17"/>
        <v>07</v>
      </c>
      <c r="C276" t="s">
        <v>82</v>
      </c>
      <c r="D276">
        <v>202207</v>
      </c>
      <c r="E276" s="11" t="s">
        <v>26</v>
      </c>
      <c r="F276">
        <v>3.6658010000000001</v>
      </c>
      <c r="G276">
        <v>3.6658010000000001</v>
      </c>
      <c r="H276">
        <v>0</v>
      </c>
      <c r="I276">
        <v>136.196234</v>
      </c>
      <c r="J276">
        <v>8.9309999999999997E-3</v>
      </c>
      <c r="K276">
        <v>0</v>
      </c>
      <c r="L276">
        <v>4.9040000000000004E-3</v>
      </c>
      <c r="M276">
        <v>4.9040000000000004E-3</v>
      </c>
      <c r="N276">
        <v>0</v>
      </c>
      <c r="O276">
        <v>0</v>
      </c>
      <c r="P276">
        <v>9.3609419999999997</v>
      </c>
      <c r="Q276">
        <v>20.568625999999998</v>
      </c>
      <c r="R276">
        <v>0</v>
      </c>
      <c r="T276" t="str">
        <f t="shared" si="18"/>
        <v>040044202207</v>
      </c>
      <c r="U276">
        <f t="shared" si="19"/>
        <v>139.87096599999998</v>
      </c>
    </row>
    <row r="277" spans="1:21" x14ac:dyDescent="0.35">
      <c r="A277" t="str">
        <f t="shared" si="16"/>
        <v>2022</v>
      </c>
      <c r="B277" t="str">
        <f t="shared" si="17"/>
        <v>07</v>
      </c>
      <c r="C277" t="s">
        <v>82</v>
      </c>
      <c r="D277">
        <v>202207</v>
      </c>
      <c r="E277" s="11" t="s">
        <v>27</v>
      </c>
      <c r="F277">
        <v>22.653679</v>
      </c>
      <c r="G277">
        <v>22.653679</v>
      </c>
      <c r="H277">
        <v>0</v>
      </c>
      <c r="I277">
        <v>14.174401</v>
      </c>
      <c r="J277">
        <v>0.47081499999999998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T277" t="str">
        <f t="shared" si="18"/>
        <v>040058202207</v>
      </c>
      <c r="U277">
        <f t="shared" si="19"/>
        <v>37.298895000000002</v>
      </c>
    </row>
    <row r="278" spans="1:21" x14ac:dyDescent="0.35">
      <c r="A278" t="str">
        <f t="shared" si="16"/>
        <v>2022</v>
      </c>
      <c r="B278" t="str">
        <f t="shared" si="17"/>
        <v>07</v>
      </c>
      <c r="C278" t="s">
        <v>82</v>
      </c>
      <c r="D278">
        <v>202207</v>
      </c>
      <c r="E278" s="11" t="s">
        <v>28</v>
      </c>
      <c r="F278">
        <v>0</v>
      </c>
      <c r="G278">
        <v>0</v>
      </c>
      <c r="H278">
        <v>0</v>
      </c>
      <c r="I278">
        <v>31.797671999999999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T278" t="str">
        <f t="shared" si="18"/>
        <v>040059202207</v>
      </c>
      <c r="U278">
        <f t="shared" si="19"/>
        <v>31.797671999999999</v>
      </c>
    </row>
    <row r="279" spans="1:21" x14ac:dyDescent="0.35">
      <c r="A279" t="str">
        <f t="shared" si="16"/>
        <v>2022</v>
      </c>
      <c r="B279" t="str">
        <f t="shared" si="17"/>
        <v>07</v>
      </c>
      <c r="C279" t="s">
        <v>82</v>
      </c>
      <c r="D279">
        <v>202207</v>
      </c>
      <c r="E279" s="11" t="s">
        <v>62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T279" t="str">
        <f t="shared" si="18"/>
        <v>040060202207</v>
      </c>
      <c r="U279">
        <f t="shared" si="19"/>
        <v>0</v>
      </c>
    </row>
    <row r="280" spans="1:21" x14ac:dyDescent="0.35">
      <c r="A280" t="str">
        <f t="shared" si="16"/>
        <v>2022</v>
      </c>
      <c r="B280" t="str">
        <f t="shared" si="17"/>
        <v>07</v>
      </c>
      <c r="C280" t="s">
        <v>82</v>
      </c>
      <c r="D280">
        <v>202207</v>
      </c>
      <c r="E280" s="11" t="s">
        <v>29</v>
      </c>
      <c r="F280">
        <v>0.174015</v>
      </c>
      <c r="G280">
        <v>0.174015</v>
      </c>
      <c r="H280">
        <v>0</v>
      </c>
      <c r="I280">
        <v>70.381963999999996</v>
      </c>
      <c r="J280">
        <v>5.9041999999999997E-2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T280" t="str">
        <f t="shared" si="18"/>
        <v>040062202207</v>
      </c>
      <c r="U280">
        <f t="shared" si="19"/>
        <v>70.615020999999999</v>
      </c>
    </row>
    <row r="281" spans="1:21" x14ac:dyDescent="0.35">
      <c r="A281" t="str">
        <f t="shared" si="16"/>
        <v>2022</v>
      </c>
      <c r="B281" t="str">
        <f t="shared" si="17"/>
        <v>07</v>
      </c>
      <c r="C281" t="s">
        <v>82</v>
      </c>
      <c r="D281">
        <v>202207</v>
      </c>
      <c r="E281" s="11" t="s">
        <v>30</v>
      </c>
      <c r="F281">
        <v>315.57492643</v>
      </c>
      <c r="G281">
        <v>315.57476821</v>
      </c>
      <c r="H281">
        <v>0</v>
      </c>
      <c r="I281">
        <v>865.41361890999997</v>
      </c>
      <c r="J281">
        <v>165.33906119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 t="str">
        <f t="shared" si="18"/>
        <v>040072202207</v>
      </c>
      <c r="U281">
        <f t="shared" si="19"/>
        <v>1346.3276065299999</v>
      </c>
    </row>
    <row r="282" spans="1:21" x14ac:dyDescent="0.35">
      <c r="A282" t="str">
        <f t="shared" si="16"/>
        <v>2022</v>
      </c>
      <c r="B282" t="str">
        <f t="shared" si="17"/>
        <v>07</v>
      </c>
      <c r="C282" t="s">
        <v>82</v>
      </c>
      <c r="D282">
        <v>202207</v>
      </c>
      <c r="E282" s="11" t="s">
        <v>31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T282" t="str">
        <f t="shared" si="18"/>
        <v>040106202207</v>
      </c>
      <c r="U282">
        <f t="shared" si="19"/>
        <v>0</v>
      </c>
    </row>
    <row r="283" spans="1:21" x14ac:dyDescent="0.35">
      <c r="A283" t="str">
        <f t="shared" si="16"/>
        <v>2022</v>
      </c>
      <c r="B283" t="str">
        <f t="shared" si="17"/>
        <v>07</v>
      </c>
      <c r="C283" t="s">
        <v>82</v>
      </c>
      <c r="D283">
        <v>202207</v>
      </c>
      <c r="E283" s="11" t="s">
        <v>32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T283" t="str">
        <f t="shared" si="18"/>
        <v>040108202207</v>
      </c>
      <c r="U283">
        <f t="shared" si="19"/>
        <v>0</v>
      </c>
    </row>
    <row r="284" spans="1:21" x14ac:dyDescent="0.35">
      <c r="A284" t="str">
        <f t="shared" si="16"/>
        <v>2022</v>
      </c>
      <c r="B284" t="str">
        <f t="shared" si="17"/>
        <v>07</v>
      </c>
      <c r="C284" t="s">
        <v>82</v>
      </c>
      <c r="D284">
        <v>202207</v>
      </c>
      <c r="E284" s="11" t="s">
        <v>33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T284" t="str">
        <f t="shared" si="18"/>
        <v>040110202207</v>
      </c>
      <c r="U284">
        <f t="shared" si="19"/>
        <v>0</v>
      </c>
    </row>
    <row r="285" spans="1:21" x14ac:dyDescent="0.35">
      <c r="A285" t="str">
        <f t="shared" si="16"/>
        <v>2022</v>
      </c>
      <c r="B285" t="str">
        <f t="shared" si="17"/>
        <v>07</v>
      </c>
      <c r="C285" t="s">
        <v>82</v>
      </c>
      <c r="D285">
        <v>202207</v>
      </c>
      <c r="E285" s="11" t="s">
        <v>34</v>
      </c>
      <c r="F285">
        <v>0.39460429999999996</v>
      </c>
      <c r="G285">
        <v>0.39460429999999996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T285" t="str">
        <f t="shared" si="18"/>
        <v>040112202207</v>
      </c>
      <c r="U285">
        <f t="shared" si="19"/>
        <v>0.39460429999999996</v>
      </c>
    </row>
    <row r="286" spans="1:21" x14ac:dyDescent="0.35">
      <c r="A286" t="str">
        <f t="shared" si="16"/>
        <v>2022</v>
      </c>
      <c r="B286" t="str">
        <f t="shared" si="17"/>
        <v>07</v>
      </c>
      <c r="C286" t="s">
        <v>82</v>
      </c>
      <c r="D286">
        <v>202207</v>
      </c>
      <c r="E286" s="11" t="s">
        <v>35</v>
      </c>
      <c r="F286">
        <v>26.364296</v>
      </c>
      <c r="G286">
        <v>26.364296</v>
      </c>
      <c r="H286">
        <v>0</v>
      </c>
      <c r="I286">
        <v>0</v>
      </c>
      <c r="J286">
        <v>0</v>
      </c>
      <c r="K286">
        <v>0</v>
      </c>
      <c r="L286">
        <v>0.35684500000000002</v>
      </c>
      <c r="M286">
        <v>0.35684500000000002</v>
      </c>
      <c r="N286">
        <v>0</v>
      </c>
      <c r="O286">
        <v>0</v>
      </c>
      <c r="P286">
        <v>0</v>
      </c>
      <c r="Q286">
        <v>1.938302</v>
      </c>
      <c r="R286">
        <v>0</v>
      </c>
      <c r="T286" t="str">
        <f t="shared" si="18"/>
        <v>040113202207</v>
      </c>
      <c r="U286">
        <f t="shared" si="19"/>
        <v>26.364296</v>
      </c>
    </row>
    <row r="287" spans="1:21" x14ac:dyDescent="0.35">
      <c r="A287" t="str">
        <f t="shared" si="16"/>
        <v>2022</v>
      </c>
      <c r="B287" t="str">
        <f t="shared" si="17"/>
        <v>07</v>
      </c>
      <c r="C287" t="s">
        <v>82</v>
      </c>
      <c r="D287">
        <v>202207</v>
      </c>
      <c r="E287" s="11" t="s">
        <v>36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T287" t="str">
        <f t="shared" si="18"/>
        <v>040126202207</v>
      </c>
      <c r="U287">
        <f t="shared" si="19"/>
        <v>0</v>
      </c>
    </row>
    <row r="288" spans="1:21" x14ac:dyDescent="0.35">
      <c r="A288" t="str">
        <f t="shared" si="16"/>
        <v>2022</v>
      </c>
      <c r="B288" t="str">
        <f t="shared" si="17"/>
        <v>07</v>
      </c>
      <c r="C288" t="s">
        <v>82</v>
      </c>
      <c r="D288">
        <v>202207</v>
      </c>
      <c r="E288" s="11" t="s">
        <v>37</v>
      </c>
      <c r="F288">
        <v>0</v>
      </c>
      <c r="G288">
        <v>0</v>
      </c>
      <c r="H288">
        <v>0</v>
      </c>
      <c r="I288">
        <v>511.75688167999999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T288" t="str">
        <f t="shared" si="18"/>
        <v>040127202207</v>
      </c>
      <c r="U288">
        <f t="shared" si="19"/>
        <v>511.75688167999999</v>
      </c>
    </row>
    <row r="289" spans="1:21" x14ac:dyDescent="0.35">
      <c r="A289" t="str">
        <f t="shared" si="16"/>
        <v>2022</v>
      </c>
      <c r="B289" t="str">
        <f t="shared" si="17"/>
        <v>07</v>
      </c>
      <c r="C289" t="s">
        <v>82</v>
      </c>
      <c r="D289">
        <v>202207</v>
      </c>
      <c r="E289" s="11" t="s">
        <v>38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T289" t="str">
        <f t="shared" si="18"/>
        <v>040128202207</v>
      </c>
      <c r="U289">
        <f t="shared" si="19"/>
        <v>0</v>
      </c>
    </row>
    <row r="290" spans="1:21" x14ac:dyDescent="0.35">
      <c r="A290" t="str">
        <f t="shared" si="16"/>
        <v>2022</v>
      </c>
      <c r="B290" t="str">
        <f t="shared" si="17"/>
        <v>07</v>
      </c>
      <c r="C290" t="s">
        <v>82</v>
      </c>
      <c r="D290">
        <v>202207</v>
      </c>
      <c r="E290" s="11" t="s">
        <v>39</v>
      </c>
      <c r="F290">
        <v>0</v>
      </c>
      <c r="G290">
        <v>0</v>
      </c>
      <c r="H290">
        <v>0</v>
      </c>
      <c r="I290">
        <v>148.209486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1.8843460000000001</v>
      </c>
      <c r="Q290">
        <v>0</v>
      </c>
      <c r="R290">
        <v>0</v>
      </c>
      <c r="T290" t="str">
        <f t="shared" si="18"/>
        <v>040130202207</v>
      </c>
      <c r="U290">
        <f t="shared" si="19"/>
        <v>148.209486</v>
      </c>
    </row>
    <row r="291" spans="1:21" x14ac:dyDescent="0.35">
      <c r="A291" t="str">
        <f t="shared" si="16"/>
        <v>2022</v>
      </c>
      <c r="B291" t="str">
        <f t="shared" si="17"/>
        <v>07</v>
      </c>
      <c r="C291" t="s">
        <v>82</v>
      </c>
      <c r="D291">
        <v>202207</v>
      </c>
      <c r="E291" s="11" t="s">
        <v>40</v>
      </c>
      <c r="F291">
        <v>2.0778000000000001E-2</v>
      </c>
      <c r="G291">
        <v>2.0778000000000001E-2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T291" t="str">
        <f t="shared" si="18"/>
        <v>040132202207</v>
      </c>
      <c r="U291">
        <f t="shared" si="19"/>
        <v>2.0778000000000001E-2</v>
      </c>
    </row>
    <row r="292" spans="1:21" x14ac:dyDescent="0.35">
      <c r="A292" t="str">
        <f t="shared" si="16"/>
        <v>2022</v>
      </c>
      <c r="B292" t="str">
        <f t="shared" si="17"/>
        <v>07</v>
      </c>
      <c r="C292" t="s">
        <v>82</v>
      </c>
      <c r="D292">
        <v>202207</v>
      </c>
      <c r="E292" s="11" t="s">
        <v>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T292" t="str">
        <f t="shared" si="18"/>
        <v>040133202207</v>
      </c>
      <c r="U292">
        <f t="shared" si="19"/>
        <v>0</v>
      </c>
    </row>
    <row r="293" spans="1:21" x14ac:dyDescent="0.35">
      <c r="A293" t="str">
        <f t="shared" si="16"/>
        <v>2022</v>
      </c>
      <c r="B293" t="str">
        <f t="shared" si="17"/>
        <v>07</v>
      </c>
      <c r="C293" t="s">
        <v>82</v>
      </c>
      <c r="D293">
        <v>202207</v>
      </c>
      <c r="E293" s="11" t="s">
        <v>42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T293" t="str">
        <f t="shared" si="18"/>
        <v>040136202207</v>
      </c>
      <c r="U293">
        <f t="shared" si="19"/>
        <v>0</v>
      </c>
    </row>
    <row r="294" spans="1:21" x14ac:dyDescent="0.35">
      <c r="A294" t="str">
        <f t="shared" si="16"/>
        <v>2022</v>
      </c>
      <c r="B294" t="str">
        <f t="shared" si="17"/>
        <v>07</v>
      </c>
      <c r="C294" t="s">
        <v>82</v>
      </c>
      <c r="D294">
        <v>202207</v>
      </c>
      <c r="E294" s="11" t="s">
        <v>43</v>
      </c>
      <c r="F294">
        <v>0</v>
      </c>
      <c r="G294">
        <v>0</v>
      </c>
      <c r="H294">
        <v>0</v>
      </c>
      <c r="I294">
        <v>0.16201978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T294" t="str">
        <f t="shared" si="18"/>
        <v>040137202207</v>
      </c>
      <c r="U294">
        <f t="shared" si="19"/>
        <v>0.16201978</v>
      </c>
    </row>
    <row r="295" spans="1:21" x14ac:dyDescent="0.35">
      <c r="A295" t="str">
        <f t="shared" si="16"/>
        <v>2022</v>
      </c>
      <c r="B295" t="str">
        <f t="shared" si="17"/>
        <v>07</v>
      </c>
      <c r="C295" t="s">
        <v>82</v>
      </c>
      <c r="D295">
        <v>202207</v>
      </c>
      <c r="E295" s="11" t="s">
        <v>44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T295" t="str">
        <f t="shared" si="18"/>
        <v>040138202207</v>
      </c>
      <c r="U295">
        <f t="shared" si="19"/>
        <v>0</v>
      </c>
    </row>
    <row r="296" spans="1:21" x14ac:dyDescent="0.35">
      <c r="A296" t="str">
        <f t="shared" si="16"/>
        <v>2022</v>
      </c>
      <c r="B296" t="str">
        <f t="shared" si="17"/>
        <v>07</v>
      </c>
      <c r="C296" t="s">
        <v>82</v>
      </c>
      <c r="D296">
        <v>202207</v>
      </c>
      <c r="E296" s="11" t="s">
        <v>45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T296" t="str">
        <f t="shared" si="18"/>
        <v>040139202207</v>
      </c>
      <c r="U296">
        <f t="shared" si="19"/>
        <v>0</v>
      </c>
    </row>
    <row r="297" spans="1:21" x14ac:dyDescent="0.35">
      <c r="A297" t="str">
        <f t="shared" si="16"/>
        <v>2022</v>
      </c>
      <c r="B297" t="str">
        <f t="shared" si="17"/>
        <v>07</v>
      </c>
      <c r="C297" t="s">
        <v>82</v>
      </c>
      <c r="D297">
        <v>202207</v>
      </c>
      <c r="E297" s="11" t="s">
        <v>46</v>
      </c>
      <c r="F297">
        <v>0</v>
      </c>
      <c r="G297">
        <v>0</v>
      </c>
      <c r="H297">
        <v>0</v>
      </c>
      <c r="I297">
        <v>14.285417000000001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T297" t="str">
        <f t="shared" si="18"/>
        <v>040140202207</v>
      </c>
      <c r="U297">
        <f t="shared" si="19"/>
        <v>14.285417000000001</v>
      </c>
    </row>
    <row r="298" spans="1:21" x14ac:dyDescent="0.35">
      <c r="A298" t="str">
        <f t="shared" si="16"/>
        <v>2022</v>
      </c>
      <c r="B298" t="str">
        <f t="shared" si="17"/>
        <v>07</v>
      </c>
      <c r="C298" t="s">
        <v>82</v>
      </c>
      <c r="D298">
        <v>202207</v>
      </c>
      <c r="E298" s="11" t="s">
        <v>47</v>
      </c>
      <c r="F298">
        <v>0</v>
      </c>
      <c r="G298">
        <v>0</v>
      </c>
      <c r="H298">
        <v>0</v>
      </c>
      <c r="I298">
        <v>3.8757E-2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T298" t="str">
        <f t="shared" si="18"/>
        <v>040141202207</v>
      </c>
      <c r="U298">
        <f t="shared" si="19"/>
        <v>3.8757E-2</v>
      </c>
    </row>
    <row r="299" spans="1:21" x14ac:dyDescent="0.35">
      <c r="A299" t="str">
        <f t="shared" si="16"/>
        <v>2022</v>
      </c>
      <c r="B299" t="str">
        <f t="shared" si="17"/>
        <v>07</v>
      </c>
      <c r="C299" t="s">
        <v>82</v>
      </c>
      <c r="D299">
        <v>202207</v>
      </c>
      <c r="E299" s="11" t="s">
        <v>48</v>
      </c>
      <c r="F299">
        <v>2.3235094199999997</v>
      </c>
      <c r="G299">
        <v>1.3653007800000001</v>
      </c>
      <c r="H299">
        <v>0.95820864000000006</v>
      </c>
      <c r="I299">
        <v>7.1433980099999994</v>
      </c>
      <c r="J299">
        <v>2.0907639999999998E-2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14.34782541</v>
      </c>
      <c r="Q299">
        <v>0.13108270999999999</v>
      </c>
      <c r="R299">
        <v>0</v>
      </c>
      <c r="T299" t="str">
        <f t="shared" si="18"/>
        <v>040143202207</v>
      </c>
      <c r="U299">
        <f t="shared" si="19"/>
        <v>9.4878150699999999</v>
      </c>
    </row>
    <row r="300" spans="1:21" x14ac:dyDescent="0.35">
      <c r="A300" t="str">
        <f t="shared" si="16"/>
        <v>2022</v>
      </c>
      <c r="B300" t="str">
        <f t="shared" si="17"/>
        <v>07</v>
      </c>
      <c r="C300" t="s">
        <v>82</v>
      </c>
      <c r="D300">
        <v>202207</v>
      </c>
      <c r="E300" s="11" t="s">
        <v>49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T300" t="str">
        <f t="shared" si="18"/>
        <v>040145202207</v>
      </c>
      <c r="U300">
        <f t="shared" si="19"/>
        <v>0</v>
      </c>
    </row>
    <row r="301" spans="1:21" x14ac:dyDescent="0.35">
      <c r="A301" t="str">
        <f t="shared" si="16"/>
        <v>2022</v>
      </c>
      <c r="B301" t="str">
        <f t="shared" si="17"/>
        <v>07</v>
      </c>
      <c r="C301" t="s">
        <v>82</v>
      </c>
      <c r="D301">
        <v>202207</v>
      </c>
      <c r="E301" s="11" t="s">
        <v>50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T301" t="str">
        <f t="shared" si="18"/>
        <v>040147202207</v>
      </c>
      <c r="U301">
        <f t="shared" si="19"/>
        <v>0</v>
      </c>
    </row>
    <row r="302" spans="1:21" x14ac:dyDescent="0.35">
      <c r="A302" t="str">
        <f t="shared" si="16"/>
        <v>2022</v>
      </c>
      <c r="B302" t="str">
        <f t="shared" si="17"/>
        <v>07</v>
      </c>
      <c r="C302" t="s">
        <v>82</v>
      </c>
      <c r="D302">
        <v>202207</v>
      </c>
      <c r="E302" s="11" t="s">
        <v>51</v>
      </c>
      <c r="F302">
        <v>0</v>
      </c>
      <c r="G302">
        <v>0</v>
      </c>
      <c r="H302">
        <v>0</v>
      </c>
      <c r="I302">
        <v>16.598673000000002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0.15153800000000001</v>
      </c>
      <c r="Q302">
        <v>0</v>
      </c>
      <c r="R302">
        <v>0</v>
      </c>
      <c r="T302" t="str">
        <f t="shared" si="18"/>
        <v>040149202207</v>
      </c>
      <c r="U302">
        <f t="shared" si="19"/>
        <v>16.598673000000002</v>
      </c>
    </row>
    <row r="303" spans="1:21" x14ac:dyDescent="0.35">
      <c r="A303" t="str">
        <f t="shared" si="16"/>
        <v>2022</v>
      </c>
      <c r="B303" t="str">
        <f t="shared" si="17"/>
        <v>07</v>
      </c>
      <c r="C303" t="s">
        <v>82</v>
      </c>
      <c r="D303">
        <v>202207</v>
      </c>
      <c r="E303" s="11" t="s">
        <v>52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T303" t="str">
        <f t="shared" si="18"/>
        <v>040150202207</v>
      </c>
      <c r="U303">
        <f t="shared" si="19"/>
        <v>0</v>
      </c>
    </row>
    <row r="304" spans="1:21" x14ac:dyDescent="0.35">
      <c r="A304" t="str">
        <f t="shared" si="16"/>
        <v>2022</v>
      </c>
      <c r="B304" t="str">
        <f t="shared" si="17"/>
        <v>07</v>
      </c>
      <c r="C304" t="s">
        <v>82</v>
      </c>
      <c r="D304">
        <v>202207</v>
      </c>
      <c r="E304" s="11" t="s">
        <v>53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T304" t="str">
        <f t="shared" si="18"/>
        <v>040151202207</v>
      </c>
      <c r="U304">
        <f t="shared" si="19"/>
        <v>0</v>
      </c>
    </row>
    <row r="305" spans="1:21" x14ac:dyDescent="0.35">
      <c r="A305" t="str">
        <f t="shared" si="16"/>
        <v>2022</v>
      </c>
      <c r="B305" t="str">
        <f t="shared" si="17"/>
        <v>07</v>
      </c>
      <c r="C305" t="s">
        <v>82</v>
      </c>
      <c r="D305">
        <v>202207</v>
      </c>
      <c r="E305" s="11" t="s">
        <v>54</v>
      </c>
      <c r="F305">
        <v>2.4216199600000001</v>
      </c>
      <c r="G305">
        <v>2.4216199600000001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T305" t="str">
        <f t="shared" si="18"/>
        <v>040152202207</v>
      </c>
      <c r="U305">
        <f t="shared" si="19"/>
        <v>2.4216199600000001</v>
      </c>
    </row>
    <row r="306" spans="1:21" x14ac:dyDescent="0.35">
      <c r="A306" t="str">
        <f t="shared" si="16"/>
        <v>2022</v>
      </c>
      <c r="B306" t="str">
        <f t="shared" si="17"/>
        <v>07</v>
      </c>
      <c r="C306" t="s">
        <v>82</v>
      </c>
      <c r="D306">
        <v>202207</v>
      </c>
      <c r="E306" s="11" t="s">
        <v>55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T306" t="str">
        <f t="shared" si="18"/>
        <v>040154202207</v>
      </c>
      <c r="U306">
        <f t="shared" si="19"/>
        <v>0</v>
      </c>
    </row>
    <row r="307" spans="1:21" x14ac:dyDescent="0.35">
      <c r="A307" t="str">
        <f t="shared" si="16"/>
        <v>2022</v>
      </c>
      <c r="B307" t="str">
        <f t="shared" si="17"/>
        <v>07</v>
      </c>
      <c r="C307" t="s">
        <v>82</v>
      </c>
      <c r="D307">
        <v>202207</v>
      </c>
      <c r="E307" s="11" t="s">
        <v>56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T307" t="str">
        <f t="shared" si="18"/>
        <v>040155202207</v>
      </c>
      <c r="U307">
        <f t="shared" si="19"/>
        <v>0</v>
      </c>
    </row>
    <row r="308" spans="1:21" x14ac:dyDescent="0.35">
      <c r="A308" t="str">
        <f t="shared" si="16"/>
        <v>2022</v>
      </c>
      <c r="B308" t="str">
        <f t="shared" si="17"/>
        <v>07</v>
      </c>
      <c r="C308" t="s">
        <v>82</v>
      </c>
      <c r="D308">
        <v>202207</v>
      </c>
      <c r="E308" s="11" t="s">
        <v>57</v>
      </c>
      <c r="F308">
        <v>0</v>
      </c>
      <c r="G308">
        <v>0</v>
      </c>
      <c r="H308">
        <v>0</v>
      </c>
      <c r="I308">
        <v>0</v>
      </c>
      <c r="J308">
        <v>1.678828</v>
      </c>
      <c r="K308">
        <v>0</v>
      </c>
      <c r="L308">
        <v>2.3427E-2</v>
      </c>
      <c r="M308">
        <v>2.3427E-2</v>
      </c>
      <c r="N308">
        <v>0</v>
      </c>
      <c r="O308">
        <v>0</v>
      </c>
      <c r="P308">
        <v>0</v>
      </c>
      <c r="Q308">
        <v>0</v>
      </c>
      <c r="R308">
        <v>0</v>
      </c>
      <c r="T308" t="str">
        <f t="shared" si="18"/>
        <v>040156202207</v>
      </c>
      <c r="U308">
        <f t="shared" si="19"/>
        <v>1.678828</v>
      </c>
    </row>
    <row r="309" spans="1:21" x14ac:dyDescent="0.35">
      <c r="A309" t="str">
        <f t="shared" si="16"/>
        <v>2022</v>
      </c>
      <c r="B309" t="str">
        <f t="shared" si="17"/>
        <v>07</v>
      </c>
      <c r="C309" t="s">
        <v>82</v>
      </c>
      <c r="D309">
        <v>202207</v>
      </c>
      <c r="E309" s="11" t="s">
        <v>58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T309" t="str">
        <f t="shared" si="18"/>
        <v>040157202207</v>
      </c>
      <c r="U309">
        <f t="shared" si="19"/>
        <v>0</v>
      </c>
    </row>
    <row r="310" spans="1:21" x14ac:dyDescent="0.35">
      <c r="A310" t="str">
        <f t="shared" si="16"/>
        <v>2022</v>
      </c>
      <c r="B310" t="str">
        <f t="shared" si="17"/>
        <v>07</v>
      </c>
      <c r="C310" t="s">
        <v>82</v>
      </c>
      <c r="D310">
        <v>202207</v>
      </c>
      <c r="E310" s="11" t="s">
        <v>59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T310" t="str">
        <f t="shared" si="18"/>
        <v>040158202207</v>
      </c>
      <c r="U310">
        <f t="shared" si="19"/>
        <v>0</v>
      </c>
    </row>
    <row r="311" spans="1:21" x14ac:dyDescent="0.35">
      <c r="A311" t="str">
        <f t="shared" si="16"/>
        <v>2022</v>
      </c>
      <c r="B311" t="str">
        <f t="shared" si="17"/>
        <v>07</v>
      </c>
      <c r="C311" t="s">
        <v>82</v>
      </c>
      <c r="D311">
        <v>202207</v>
      </c>
      <c r="E311" s="11" t="s">
        <v>60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T311" t="str">
        <f t="shared" si="18"/>
        <v>040159202207</v>
      </c>
      <c r="U311">
        <f t="shared" si="19"/>
        <v>0</v>
      </c>
    </row>
    <row r="312" spans="1:21" x14ac:dyDescent="0.35">
      <c r="A312" t="str">
        <f t="shared" si="16"/>
        <v>2022</v>
      </c>
      <c r="B312" t="str">
        <f t="shared" si="17"/>
        <v>07</v>
      </c>
      <c r="C312" t="s">
        <v>82</v>
      </c>
      <c r="D312">
        <v>202207</v>
      </c>
      <c r="E312" s="11" t="s">
        <v>61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T312" t="str">
        <f t="shared" si="18"/>
        <v>040162202207</v>
      </c>
      <c r="U312">
        <f t="shared" si="19"/>
        <v>0</v>
      </c>
    </row>
    <row r="313" spans="1:21" x14ac:dyDescent="0.35">
      <c r="A313" t="str">
        <f t="shared" si="16"/>
        <v>2022</v>
      </c>
      <c r="B313" t="str">
        <f t="shared" si="17"/>
        <v>08</v>
      </c>
      <c r="C313" t="s">
        <v>83</v>
      </c>
      <c r="D313">
        <v>202208</v>
      </c>
      <c r="E313" s="11">
        <v>5</v>
      </c>
      <c r="F313">
        <v>1677.02233396</v>
      </c>
      <c r="G313">
        <v>1462.7292824200001</v>
      </c>
      <c r="H313">
        <v>214.29297640999999</v>
      </c>
      <c r="I313">
        <v>5662.4687786899995</v>
      </c>
      <c r="J313">
        <v>574.19209228</v>
      </c>
      <c r="K313">
        <v>10.693477</v>
      </c>
      <c r="L313">
        <v>55.865025659999993</v>
      </c>
      <c r="M313">
        <v>2.8266756600000003</v>
      </c>
      <c r="N313">
        <v>53.038350000000001</v>
      </c>
      <c r="O313">
        <v>0</v>
      </c>
      <c r="P313">
        <v>48.357168969999996</v>
      </c>
      <c r="Q313">
        <v>48.699921930000002</v>
      </c>
      <c r="R313">
        <v>0</v>
      </c>
      <c r="T313" t="str">
        <f t="shared" si="18"/>
        <v>5202208</v>
      </c>
      <c r="U313">
        <f t="shared" si="19"/>
        <v>7913.6832049299992</v>
      </c>
    </row>
    <row r="314" spans="1:21" x14ac:dyDescent="0.35">
      <c r="A314" t="str">
        <f t="shared" si="16"/>
        <v>2022</v>
      </c>
      <c r="B314" t="str">
        <f t="shared" si="17"/>
        <v>08</v>
      </c>
      <c r="C314" t="s">
        <v>83</v>
      </c>
      <c r="D314">
        <v>202208</v>
      </c>
      <c r="E314" s="11" t="s">
        <v>19</v>
      </c>
      <c r="F314">
        <v>68.139086000000006</v>
      </c>
      <c r="G314">
        <v>68.139086000000006</v>
      </c>
      <c r="H314">
        <v>0</v>
      </c>
      <c r="I314">
        <v>140.01356200000001</v>
      </c>
      <c r="J314">
        <v>154.86660499999999</v>
      </c>
      <c r="K314">
        <v>10.693477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T314" t="str">
        <f t="shared" si="18"/>
        <v>040002202208</v>
      </c>
      <c r="U314">
        <f t="shared" si="19"/>
        <v>363.01925299999999</v>
      </c>
    </row>
    <row r="315" spans="1:21" x14ac:dyDescent="0.35">
      <c r="A315" t="str">
        <f t="shared" si="16"/>
        <v>2022</v>
      </c>
      <c r="B315" t="str">
        <f t="shared" si="17"/>
        <v>08</v>
      </c>
      <c r="C315" t="s">
        <v>83</v>
      </c>
      <c r="D315">
        <v>202208</v>
      </c>
      <c r="E315" s="11" t="s">
        <v>20</v>
      </c>
      <c r="F315">
        <v>193.09698524000001</v>
      </c>
      <c r="G315">
        <v>193.09698524000001</v>
      </c>
      <c r="H315">
        <v>0</v>
      </c>
      <c r="I315">
        <v>2044.5732901400002</v>
      </c>
      <c r="J315">
        <v>123.92161435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T315" t="str">
        <f t="shared" si="18"/>
        <v>040012202208</v>
      </c>
      <c r="U315">
        <f t="shared" si="19"/>
        <v>2361.5918897299998</v>
      </c>
    </row>
    <row r="316" spans="1:21" x14ac:dyDescent="0.35">
      <c r="A316" t="str">
        <f t="shared" si="16"/>
        <v>2022</v>
      </c>
      <c r="B316" t="str">
        <f t="shared" si="17"/>
        <v>08</v>
      </c>
      <c r="C316" t="s">
        <v>83</v>
      </c>
      <c r="D316">
        <v>202208</v>
      </c>
      <c r="E316" s="11" t="s">
        <v>21</v>
      </c>
      <c r="F316">
        <v>421.50925999999998</v>
      </c>
      <c r="G316">
        <v>220.74858499999999</v>
      </c>
      <c r="H316">
        <v>200.76067499999999</v>
      </c>
      <c r="I316">
        <v>380.03004700000002</v>
      </c>
      <c r="J316">
        <v>135.02505500000001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T316" t="str">
        <f t="shared" si="18"/>
        <v>040014202208</v>
      </c>
      <c r="U316">
        <f t="shared" si="19"/>
        <v>936.56436200000007</v>
      </c>
    </row>
    <row r="317" spans="1:21" x14ac:dyDescent="0.35">
      <c r="A317" t="str">
        <f t="shared" si="16"/>
        <v>2022</v>
      </c>
      <c r="B317" t="str">
        <f t="shared" si="17"/>
        <v>08</v>
      </c>
      <c r="C317" t="s">
        <v>83</v>
      </c>
      <c r="D317">
        <v>202208</v>
      </c>
      <c r="E317" s="11" t="s">
        <v>22</v>
      </c>
      <c r="F317">
        <v>430.10296199999999</v>
      </c>
      <c r="G317">
        <v>430.10296199999999</v>
      </c>
      <c r="H317">
        <v>0</v>
      </c>
      <c r="I317">
        <v>594.25620300000003</v>
      </c>
      <c r="J317">
        <v>24.494636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21.684003000000001</v>
      </c>
      <c r="Q317">
        <v>28.272258999999998</v>
      </c>
      <c r="R317">
        <v>0</v>
      </c>
      <c r="T317" t="str">
        <f t="shared" si="18"/>
        <v>040021202208</v>
      </c>
      <c r="U317">
        <f t="shared" si="19"/>
        <v>1048.853801</v>
      </c>
    </row>
    <row r="318" spans="1:21" x14ac:dyDescent="0.35">
      <c r="A318" t="str">
        <f t="shared" si="16"/>
        <v>2022</v>
      </c>
      <c r="B318" t="str">
        <f t="shared" si="17"/>
        <v>08</v>
      </c>
      <c r="C318" t="s">
        <v>83</v>
      </c>
      <c r="D318">
        <v>202208</v>
      </c>
      <c r="E318" s="11" t="s">
        <v>23</v>
      </c>
      <c r="F318">
        <v>8.0675603000000002</v>
      </c>
      <c r="G318">
        <v>8.0675603000000002</v>
      </c>
      <c r="H318">
        <v>0</v>
      </c>
      <c r="I318">
        <v>20.112905140000002</v>
      </c>
      <c r="J318">
        <v>2.8220226099999999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0.59614583999999993</v>
      </c>
      <c r="R318">
        <v>0</v>
      </c>
      <c r="T318" t="str">
        <f t="shared" si="18"/>
        <v>040030202208</v>
      </c>
      <c r="U318">
        <f t="shared" si="19"/>
        <v>31.002488050000004</v>
      </c>
    </row>
    <row r="319" spans="1:21" x14ac:dyDescent="0.35">
      <c r="A319" t="str">
        <f t="shared" si="16"/>
        <v>2022</v>
      </c>
      <c r="B319" t="str">
        <f t="shared" si="17"/>
        <v>08</v>
      </c>
      <c r="C319" t="s">
        <v>83</v>
      </c>
      <c r="D319">
        <v>202208</v>
      </c>
      <c r="E319" s="11" t="s">
        <v>24</v>
      </c>
      <c r="F319">
        <v>0</v>
      </c>
      <c r="G319">
        <v>0</v>
      </c>
      <c r="H319">
        <v>0</v>
      </c>
      <c r="I319">
        <v>5.2435219999999996</v>
      </c>
      <c r="J319">
        <v>1.9696000000000002E-2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T319" t="str">
        <f t="shared" si="18"/>
        <v>040036202208</v>
      </c>
      <c r="U319">
        <f t="shared" si="19"/>
        <v>5.2632179999999993</v>
      </c>
    </row>
    <row r="320" spans="1:21" x14ac:dyDescent="0.35">
      <c r="A320" t="str">
        <f t="shared" si="16"/>
        <v>2022</v>
      </c>
      <c r="B320" t="str">
        <f t="shared" si="17"/>
        <v>08</v>
      </c>
      <c r="C320" t="s">
        <v>83</v>
      </c>
      <c r="D320">
        <v>202208</v>
      </c>
      <c r="E320" s="11" t="s">
        <v>25</v>
      </c>
      <c r="F320">
        <v>0</v>
      </c>
      <c r="G320">
        <v>0</v>
      </c>
      <c r="H320">
        <v>0</v>
      </c>
      <c r="I320">
        <v>1.9691909999999999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T320" t="str">
        <f t="shared" si="18"/>
        <v>040042202208</v>
      </c>
      <c r="U320">
        <f t="shared" si="19"/>
        <v>1.9691909999999999</v>
      </c>
    </row>
    <row r="321" spans="1:21" x14ac:dyDescent="0.35">
      <c r="A321" t="str">
        <f t="shared" si="16"/>
        <v>2022</v>
      </c>
      <c r="B321" t="str">
        <f t="shared" si="17"/>
        <v>08</v>
      </c>
      <c r="C321" t="s">
        <v>83</v>
      </c>
      <c r="D321">
        <v>202208</v>
      </c>
      <c r="E321" s="11" t="s">
        <v>26</v>
      </c>
      <c r="F321">
        <v>304.257766</v>
      </c>
      <c r="G321">
        <v>304.257766</v>
      </c>
      <c r="H321">
        <v>0</v>
      </c>
      <c r="I321">
        <v>170.36874700000001</v>
      </c>
      <c r="J321">
        <v>0</v>
      </c>
      <c r="K321">
        <v>0</v>
      </c>
      <c r="L321">
        <v>55.733832</v>
      </c>
      <c r="M321">
        <v>2.6954820000000002</v>
      </c>
      <c r="N321">
        <v>53.038350000000001</v>
      </c>
      <c r="O321">
        <v>0</v>
      </c>
      <c r="P321">
        <v>12.765401000000001</v>
      </c>
      <c r="Q321">
        <v>17.999451000000001</v>
      </c>
      <c r="R321">
        <v>0</v>
      </c>
      <c r="T321" t="str">
        <f t="shared" si="18"/>
        <v>040044202208</v>
      </c>
      <c r="U321">
        <f t="shared" si="19"/>
        <v>474.62651300000005</v>
      </c>
    </row>
    <row r="322" spans="1:21" x14ac:dyDescent="0.35">
      <c r="A322" t="str">
        <f t="shared" si="16"/>
        <v>2022</v>
      </c>
      <c r="B322" t="str">
        <f t="shared" si="17"/>
        <v>08</v>
      </c>
      <c r="C322" t="s">
        <v>83</v>
      </c>
      <c r="D322">
        <v>202208</v>
      </c>
      <c r="E322" s="11" t="s">
        <v>27</v>
      </c>
      <c r="F322">
        <v>38.466374000000002</v>
      </c>
      <c r="G322">
        <v>38.466374000000002</v>
      </c>
      <c r="H322">
        <v>0</v>
      </c>
      <c r="I322">
        <v>18.468387</v>
      </c>
      <c r="J322">
        <v>7.1908279999999998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T322" t="str">
        <f t="shared" si="18"/>
        <v>040058202208</v>
      </c>
      <c r="U322">
        <f t="shared" si="19"/>
        <v>64.125589000000005</v>
      </c>
    </row>
    <row r="323" spans="1:21" x14ac:dyDescent="0.35">
      <c r="A323" t="str">
        <f t="shared" ref="A323:A386" si="20">LEFT(D323,4)</f>
        <v>2022</v>
      </c>
      <c r="B323" t="str">
        <f t="shared" ref="B323:B386" si="21">RIGHT(D323,2)</f>
        <v>08</v>
      </c>
      <c r="C323" t="s">
        <v>83</v>
      </c>
      <c r="D323">
        <v>202208</v>
      </c>
      <c r="E323" s="11" t="s">
        <v>28</v>
      </c>
      <c r="F323">
        <v>0</v>
      </c>
      <c r="G323">
        <v>0</v>
      </c>
      <c r="H323">
        <v>0</v>
      </c>
      <c r="I323">
        <v>38.611407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T323" t="str">
        <f t="shared" ref="T323:T386" si="22">+E323&amp;D323</f>
        <v>040059202208</v>
      </c>
      <c r="U323">
        <f t="shared" ref="U323:U386" si="23">+F323+I323+J323</f>
        <v>38.611407</v>
      </c>
    </row>
    <row r="324" spans="1:21" x14ac:dyDescent="0.35">
      <c r="A324" t="str">
        <f t="shared" si="20"/>
        <v>2022</v>
      </c>
      <c r="B324" t="str">
        <f t="shared" si="21"/>
        <v>08</v>
      </c>
      <c r="C324" t="s">
        <v>83</v>
      </c>
      <c r="D324">
        <v>202208</v>
      </c>
      <c r="E324" s="11" t="s">
        <v>62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T324" t="str">
        <f t="shared" si="22"/>
        <v>040060202208</v>
      </c>
      <c r="U324">
        <f t="shared" si="23"/>
        <v>0</v>
      </c>
    </row>
    <row r="325" spans="1:21" x14ac:dyDescent="0.35">
      <c r="A325" t="str">
        <f t="shared" si="20"/>
        <v>2022</v>
      </c>
      <c r="B325" t="str">
        <f t="shared" si="21"/>
        <v>08</v>
      </c>
      <c r="C325" t="s">
        <v>83</v>
      </c>
      <c r="D325">
        <v>202208</v>
      </c>
      <c r="E325" s="11" t="s">
        <v>29</v>
      </c>
      <c r="F325">
        <v>3.5977000000000002E-2</v>
      </c>
      <c r="G325">
        <v>3.5977000000000002E-2</v>
      </c>
      <c r="H325">
        <v>0</v>
      </c>
      <c r="I325">
        <v>57.803291000000002</v>
      </c>
      <c r="J325">
        <v>4.1922000000000001E-2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T325" t="str">
        <f t="shared" si="22"/>
        <v>040062202208</v>
      </c>
      <c r="U325">
        <f t="shared" si="23"/>
        <v>57.881190000000004</v>
      </c>
    </row>
    <row r="326" spans="1:21" x14ac:dyDescent="0.35">
      <c r="A326" t="str">
        <f t="shared" si="20"/>
        <v>2022</v>
      </c>
      <c r="B326" t="str">
        <f t="shared" si="21"/>
        <v>08</v>
      </c>
      <c r="C326" t="s">
        <v>83</v>
      </c>
      <c r="D326">
        <v>202208</v>
      </c>
      <c r="E326" s="11" t="s">
        <v>30</v>
      </c>
      <c r="F326">
        <v>89.553545270000001</v>
      </c>
      <c r="G326">
        <v>89.553470140000002</v>
      </c>
      <c r="H326">
        <v>0</v>
      </c>
      <c r="I326">
        <v>920.46678569000005</v>
      </c>
      <c r="J326">
        <v>125.73309689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T326" t="str">
        <f t="shared" si="22"/>
        <v>040072202208</v>
      </c>
      <c r="U326">
        <f t="shared" si="23"/>
        <v>1135.75342785</v>
      </c>
    </row>
    <row r="327" spans="1:21" x14ac:dyDescent="0.35">
      <c r="A327" t="str">
        <f t="shared" si="20"/>
        <v>2022</v>
      </c>
      <c r="B327" t="str">
        <f t="shared" si="21"/>
        <v>08</v>
      </c>
      <c r="C327" t="s">
        <v>83</v>
      </c>
      <c r="D327">
        <v>202208</v>
      </c>
      <c r="E327" s="11" t="s">
        <v>31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T327" t="str">
        <f t="shared" si="22"/>
        <v>040106202208</v>
      </c>
      <c r="U327">
        <f t="shared" si="23"/>
        <v>0</v>
      </c>
    </row>
    <row r="328" spans="1:21" x14ac:dyDescent="0.35">
      <c r="A328" t="str">
        <f t="shared" si="20"/>
        <v>2022</v>
      </c>
      <c r="B328" t="str">
        <f t="shared" si="21"/>
        <v>08</v>
      </c>
      <c r="C328" t="s">
        <v>83</v>
      </c>
      <c r="D328">
        <v>202208</v>
      </c>
      <c r="E328" s="11" t="s">
        <v>32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T328" t="str">
        <f t="shared" si="22"/>
        <v>040108202208</v>
      </c>
      <c r="U328">
        <f t="shared" si="23"/>
        <v>0</v>
      </c>
    </row>
    <row r="329" spans="1:21" x14ac:dyDescent="0.35">
      <c r="A329" t="str">
        <f t="shared" si="20"/>
        <v>2022</v>
      </c>
      <c r="B329" t="str">
        <f t="shared" si="21"/>
        <v>08</v>
      </c>
      <c r="C329" t="s">
        <v>83</v>
      </c>
      <c r="D329">
        <v>202208</v>
      </c>
      <c r="E329" s="11" t="s">
        <v>33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T329" t="str">
        <f t="shared" si="22"/>
        <v>040110202208</v>
      </c>
      <c r="U329">
        <f t="shared" si="23"/>
        <v>0</v>
      </c>
    </row>
    <row r="330" spans="1:21" x14ac:dyDescent="0.35">
      <c r="A330" t="str">
        <f t="shared" si="20"/>
        <v>2022</v>
      </c>
      <c r="B330" t="str">
        <f t="shared" si="21"/>
        <v>08</v>
      </c>
      <c r="C330" t="s">
        <v>83</v>
      </c>
      <c r="D330">
        <v>202208</v>
      </c>
      <c r="E330" s="11" t="s">
        <v>34</v>
      </c>
      <c r="F330">
        <v>0.23302526000000001</v>
      </c>
      <c r="G330">
        <v>0.23302526000000001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T330" t="str">
        <f t="shared" si="22"/>
        <v>040112202208</v>
      </c>
      <c r="U330">
        <f t="shared" si="23"/>
        <v>0.23302526000000001</v>
      </c>
    </row>
    <row r="331" spans="1:21" x14ac:dyDescent="0.35">
      <c r="A331" t="str">
        <f t="shared" si="20"/>
        <v>2022</v>
      </c>
      <c r="B331" t="str">
        <f t="shared" si="21"/>
        <v>08</v>
      </c>
      <c r="C331" t="s">
        <v>83</v>
      </c>
      <c r="D331">
        <v>202208</v>
      </c>
      <c r="E331" s="11" t="s">
        <v>35</v>
      </c>
      <c r="F331">
        <v>26.124327000000001</v>
      </c>
      <c r="G331">
        <v>26.124327000000001</v>
      </c>
      <c r="H331">
        <v>0</v>
      </c>
      <c r="I331">
        <v>0</v>
      </c>
      <c r="J331">
        <v>0</v>
      </c>
      <c r="K331">
        <v>0</v>
      </c>
      <c r="L331">
        <v>6.9281999999999996E-2</v>
      </c>
      <c r="M331">
        <v>6.9281999999999996E-2</v>
      </c>
      <c r="N331">
        <v>0</v>
      </c>
      <c r="O331">
        <v>0</v>
      </c>
      <c r="P331">
        <v>0</v>
      </c>
      <c r="Q331">
        <v>1.7483550000000001</v>
      </c>
      <c r="R331">
        <v>0</v>
      </c>
      <c r="T331" t="str">
        <f t="shared" si="22"/>
        <v>040113202208</v>
      </c>
      <c r="U331">
        <f t="shared" si="23"/>
        <v>26.124327000000001</v>
      </c>
    </row>
    <row r="332" spans="1:21" x14ac:dyDescent="0.35">
      <c r="A332" t="str">
        <f t="shared" si="20"/>
        <v>2022</v>
      </c>
      <c r="B332" t="str">
        <f t="shared" si="21"/>
        <v>08</v>
      </c>
      <c r="C332" t="s">
        <v>83</v>
      </c>
      <c r="D332">
        <v>202208</v>
      </c>
      <c r="E332" s="11" t="s">
        <v>36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T332" t="str">
        <f t="shared" si="22"/>
        <v>040126202208</v>
      </c>
      <c r="U332">
        <f t="shared" si="23"/>
        <v>0</v>
      </c>
    </row>
    <row r="333" spans="1:21" x14ac:dyDescent="0.35">
      <c r="A333" t="str">
        <f t="shared" si="20"/>
        <v>2022</v>
      </c>
      <c r="B333" t="str">
        <f t="shared" si="21"/>
        <v>08</v>
      </c>
      <c r="C333" t="s">
        <v>83</v>
      </c>
      <c r="D333">
        <v>202208</v>
      </c>
      <c r="E333" s="11" t="s">
        <v>37</v>
      </c>
      <c r="F333">
        <v>0</v>
      </c>
      <c r="G333">
        <v>0</v>
      </c>
      <c r="H333">
        <v>0</v>
      </c>
      <c r="I333">
        <v>1056.8387249500001</v>
      </c>
      <c r="J333">
        <v>3.3916700000000003E-3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T333" t="str">
        <f t="shared" si="22"/>
        <v>040127202208</v>
      </c>
      <c r="U333">
        <f t="shared" si="23"/>
        <v>1056.8421166200001</v>
      </c>
    </row>
    <row r="334" spans="1:21" x14ac:dyDescent="0.35">
      <c r="A334" t="str">
        <f t="shared" si="20"/>
        <v>2022</v>
      </c>
      <c r="B334" t="str">
        <f t="shared" si="21"/>
        <v>08</v>
      </c>
      <c r="C334" t="s">
        <v>83</v>
      </c>
      <c r="D334">
        <v>202208</v>
      </c>
      <c r="E334" s="11" t="s">
        <v>38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T334" t="str">
        <f t="shared" si="22"/>
        <v>040128202208</v>
      </c>
      <c r="U334">
        <f t="shared" si="23"/>
        <v>0</v>
      </c>
    </row>
    <row r="335" spans="1:21" x14ac:dyDescent="0.35">
      <c r="A335" t="str">
        <f t="shared" si="20"/>
        <v>2022</v>
      </c>
      <c r="B335" t="str">
        <f t="shared" si="21"/>
        <v>08</v>
      </c>
      <c r="C335" t="s">
        <v>83</v>
      </c>
      <c r="D335">
        <v>202208</v>
      </c>
      <c r="E335" s="11" t="s">
        <v>39</v>
      </c>
      <c r="F335">
        <v>0</v>
      </c>
      <c r="G335">
        <v>0</v>
      </c>
      <c r="H335">
        <v>0</v>
      </c>
      <c r="I335">
        <v>155.84128200000001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2.0435219999999998</v>
      </c>
      <c r="Q335">
        <v>0</v>
      </c>
      <c r="R335">
        <v>0</v>
      </c>
      <c r="T335" t="str">
        <f t="shared" si="22"/>
        <v>040130202208</v>
      </c>
      <c r="U335">
        <f t="shared" si="23"/>
        <v>155.84128200000001</v>
      </c>
    </row>
    <row r="336" spans="1:21" x14ac:dyDescent="0.35">
      <c r="A336" t="str">
        <f t="shared" si="20"/>
        <v>2022</v>
      </c>
      <c r="B336" t="str">
        <f t="shared" si="21"/>
        <v>08</v>
      </c>
      <c r="C336" t="s">
        <v>83</v>
      </c>
      <c r="D336">
        <v>202208</v>
      </c>
      <c r="E336" s="11" t="s">
        <v>40</v>
      </c>
      <c r="F336">
        <v>81.390541999999996</v>
      </c>
      <c r="G336">
        <v>81.390541999999996</v>
      </c>
      <c r="H336">
        <v>0</v>
      </c>
      <c r="I336">
        <v>0.39270300000000002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T336" t="str">
        <f t="shared" si="22"/>
        <v>040132202208</v>
      </c>
      <c r="U336">
        <f t="shared" si="23"/>
        <v>81.783244999999994</v>
      </c>
    </row>
    <row r="337" spans="1:21" x14ac:dyDescent="0.35">
      <c r="A337" t="str">
        <f t="shared" si="20"/>
        <v>2022</v>
      </c>
      <c r="B337" t="str">
        <f t="shared" si="21"/>
        <v>08</v>
      </c>
      <c r="C337" t="s">
        <v>83</v>
      </c>
      <c r="D337">
        <v>202208</v>
      </c>
      <c r="E337" s="11" t="s">
        <v>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T337" t="str">
        <f t="shared" si="22"/>
        <v>040133202208</v>
      </c>
      <c r="U337">
        <f t="shared" si="23"/>
        <v>0</v>
      </c>
    </row>
    <row r="338" spans="1:21" x14ac:dyDescent="0.35">
      <c r="A338" t="str">
        <f t="shared" si="20"/>
        <v>2022</v>
      </c>
      <c r="B338" t="str">
        <f t="shared" si="21"/>
        <v>08</v>
      </c>
      <c r="C338" t="s">
        <v>83</v>
      </c>
      <c r="D338">
        <v>202208</v>
      </c>
      <c r="E338" s="11" t="s">
        <v>42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T338" t="str">
        <f t="shared" si="22"/>
        <v>040136202208</v>
      </c>
      <c r="U338">
        <f t="shared" si="23"/>
        <v>0</v>
      </c>
    </row>
    <row r="339" spans="1:21" x14ac:dyDescent="0.35">
      <c r="A339" t="str">
        <f t="shared" si="20"/>
        <v>2022</v>
      </c>
      <c r="B339" t="str">
        <f t="shared" si="21"/>
        <v>08</v>
      </c>
      <c r="C339" t="s">
        <v>83</v>
      </c>
      <c r="D339">
        <v>202208</v>
      </c>
      <c r="E339" s="11" t="s">
        <v>43</v>
      </c>
      <c r="F339">
        <v>0</v>
      </c>
      <c r="G339">
        <v>0</v>
      </c>
      <c r="H339">
        <v>0</v>
      </c>
      <c r="I339">
        <v>0.28457921000000003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T339" t="str">
        <f t="shared" si="22"/>
        <v>040137202208</v>
      </c>
      <c r="U339">
        <f t="shared" si="23"/>
        <v>0.28457921000000003</v>
      </c>
    </row>
    <row r="340" spans="1:21" x14ac:dyDescent="0.35">
      <c r="A340" t="str">
        <f t="shared" si="20"/>
        <v>2022</v>
      </c>
      <c r="B340" t="str">
        <f t="shared" si="21"/>
        <v>08</v>
      </c>
      <c r="C340" t="s">
        <v>83</v>
      </c>
      <c r="D340">
        <v>202208</v>
      </c>
      <c r="E340" s="11" t="s">
        <v>44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T340" t="str">
        <f t="shared" si="22"/>
        <v>040138202208</v>
      </c>
      <c r="U340">
        <f t="shared" si="23"/>
        <v>0</v>
      </c>
    </row>
    <row r="341" spans="1:21" x14ac:dyDescent="0.35">
      <c r="A341" t="str">
        <f t="shared" si="20"/>
        <v>2022</v>
      </c>
      <c r="B341" t="str">
        <f t="shared" si="21"/>
        <v>08</v>
      </c>
      <c r="C341" t="s">
        <v>83</v>
      </c>
      <c r="D341">
        <v>202208</v>
      </c>
      <c r="E341" s="11" t="s">
        <v>45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T341" t="str">
        <f t="shared" si="22"/>
        <v>040139202208</v>
      </c>
      <c r="U341">
        <f t="shared" si="23"/>
        <v>0</v>
      </c>
    </row>
    <row r="342" spans="1:21" x14ac:dyDescent="0.35">
      <c r="A342" t="str">
        <f t="shared" si="20"/>
        <v>2022</v>
      </c>
      <c r="B342" t="str">
        <f t="shared" si="21"/>
        <v>08</v>
      </c>
      <c r="C342" t="s">
        <v>83</v>
      </c>
      <c r="D342">
        <v>202208</v>
      </c>
      <c r="E342" s="11" t="s">
        <v>46</v>
      </c>
      <c r="F342">
        <v>0</v>
      </c>
      <c r="G342">
        <v>0</v>
      </c>
      <c r="H342">
        <v>0</v>
      </c>
      <c r="I342">
        <v>36.644246000000003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T342" t="str">
        <f t="shared" si="22"/>
        <v>040140202208</v>
      </c>
      <c r="U342">
        <f t="shared" si="23"/>
        <v>36.644246000000003</v>
      </c>
    </row>
    <row r="343" spans="1:21" x14ac:dyDescent="0.35">
      <c r="A343" t="str">
        <f t="shared" si="20"/>
        <v>2022</v>
      </c>
      <c r="B343" t="str">
        <f t="shared" si="21"/>
        <v>08</v>
      </c>
      <c r="C343" t="s">
        <v>83</v>
      </c>
      <c r="D343">
        <v>202208</v>
      </c>
      <c r="E343" s="11" t="s">
        <v>47</v>
      </c>
      <c r="F343">
        <v>0</v>
      </c>
      <c r="G343">
        <v>0</v>
      </c>
      <c r="H343">
        <v>0</v>
      </c>
      <c r="I343">
        <v>0.20158300000000001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T343" t="str">
        <f t="shared" si="22"/>
        <v>040141202208</v>
      </c>
      <c r="U343">
        <f t="shared" si="23"/>
        <v>0.20158300000000001</v>
      </c>
    </row>
    <row r="344" spans="1:21" x14ac:dyDescent="0.35">
      <c r="A344" t="str">
        <f t="shared" si="20"/>
        <v>2022</v>
      </c>
      <c r="B344" t="str">
        <f t="shared" si="21"/>
        <v>08</v>
      </c>
      <c r="C344" t="s">
        <v>83</v>
      </c>
      <c r="D344">
        <v>202208</v>
      </c>
      <c r="E344" s="11" t="s">
        <v>48</v>
      </c>
      <c r="F344">
        <v>16.04492389</v>
      </c>
      <c r="G344">
        <v>2.5126224800000001</v>
      </c>
      <c r="H344">
        <v>13.532301410000001</v>
      </c>
      <c r="I344">
        <v>3.7028465600000002</v>
      </c>
      <c r="J344">
        <v>7.322476E-2</v>
      </c>
      <c r="K344">
        <v>0</v>
      </c>
      <c r="L344">
        <v>6.191166E-2</v>
      </c>
      <c r="M344">
        <v>6.191166E-2</v>
      </c>
      <c r="N344">
        <v>0</v>
      </c>
      <c r="O344">
        <v>0</v>
      </c>
      <c r="P344">
        <v>11.054578970000001</v>
      </c>
      <c r="Q344">
        <v>8.3711090000000002E-2</v>
      </c>
      <c r="R344">
        <v>0</v>
      </c>
      <c r="T344" t="str">
        <f t="shared" si="22"/>
        <v>040143202208</v>
      </c>
      <c r="U344">
        <f t="shared" si="23"/>
        <v>19.82099521</v>
      </c>
    </row>
    <row r="345" spans="1:21" x14ac:dyDescent="0.35">
      <c r="A345" t="str">
        <f t="shared" si="20"/>
        <v>2022</v>
      </c>
      <c r="B345" t="str">
        <f t="shared" si="21"/>
        <v>08</v>
      </c>
      <c r="C345" t="s">
        <v>83</v>
      </c>
      <c r="D345">
        <v>202208</v>
      </c>
      <c r="E345" s="11" t="s">
        <v>49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T345" t="str">
        <f t="shared" si="22"/>
        <v>040145202208</v>
      </c>
      <c r="U345">
        <f t="shared" si="23"/>
        <v>0</v>
      </c>
    </row>
    <row r="346" spans="1:21" x14ac:dyDescent="0.35">
      <c r="A346" t="str">
        <f t="shared" si="20"/>
        <v>2022</v>
      </c>
      <c r="B346" t="str">
        <f t="shared" si="21"/>
        <v>08</v>
      </c>
      <c r="C346" t="s">
        <v>83</v>
      </c>
      <c r="D346">
        <v>202208</v>
      </c>
      <c r="E346" s="11" t="s">
        <v>50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T346" t="str">
        <f t="shared" si="22"/>
        <v>040147202208</v>
      </c>
      <c r="U346">
        <f t="shared" si="23"/>
        <v>0</v>
      </c>
    </row>
    <row r="347" spans="1:21" x14ac:dyDescent="0.35">
      <c r="A347" t="str">
        <f t="shared" si="20"/>
        <v>2022</v>
      </c>
      <c r="B347" t="str">
        <f t="shared" si="21"/>
        <v>08</v>
      </c>
      <c r="C347" t="s">
        <v>83</v>
      </c>
      <c r="D347">
        <v>202208</v>
      </c>
      <c r="E347" s="11" t="s">
        <v>51</v>
      </c>
      <c r="F347">
        <v>0</v>
      </c>
      <c r="G347">
        <v>0</v>
      </c>
      <c r="H347">
        <v>0</v>
      </c>
      <c r="I347">
        <v>16.645475999999999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0.80966400000000005</v>
      </c>
      <c r="Q347">
        <v>0</v>
      </c>
      <c r="R347">
        <v>0</v>
      </c>
      <c r="T347" t="str">
        <f t="shared" si="22"/>
        <v>040149202208</v>
      </c>
      <c r="U347">
        <f t="shared" si="23"/>
        <v>16.645475999999999</v>
      </c>
    </row>
    <row r="348" spans="1:21" x14ac:dyDescent="0.35">
      <c r="A348" t="str">
        <f t="shared" si="20"/>
        <v>2022</v>
      </c>
      <c r="B348" t="str">
        <f t="shared" si="21"/>
        <v>08</v>
      </c>
      <c r="C348" t="s">
        <v>83</v>
      </c>
      <c r="D348">
        <v>202208</v>
      </c>
      <c r="E348" s="11" t="s">
        <v>52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T348" t="str">
        <f t="shared" si="22"/>
        <v>040150202208</v>
      </c>
      <c r="U348">
        <f t="shared" si="23"/>
        <v>0</v>
      </c>
    </row>
    <row r="349" spans="1:21" x14ac:dyDescent="0.35">
      <c r="A349" t="str">
        <f t="shared" si="20"/>
        <v>2022</v>
      </c>
      <c r="B349" t="str">
        <f t="shared" si="21"/>
        <v>08</v>
      </c>
      <c r="C349" t="s">
        <v>83</v>
      </c>
      <c r="D349">
        <v>202208</v>
      </c>
      <c r="E349" s="11" t="s">
        <v>53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T349" t="str">
        <f t="shared" si="22"/>
        <v>040151202208</v>
      </c>
      <c r="U349">
        <f t="shared" si="23"/>
        <v>0</v>
      </c>
    </row>
    <row r="350" spans="1:21" x14ac:dyDescent="0.35">
      <c r="A350" t="str">
        <f t="shared" si="20"/>
        <v>2022</v>
      </c>
      <c r="B350" t="str">
        <f t="shared" si="21"/>
        <v>08</v>
      </c>
      <c r="C350" t="s">
        <v>83</v>
      </c>
      <c r="D350">
        <v>202208</v>
      </c>
      <c r="E350" s="11" t="s">
        <v>54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T350" t="str">
        <f t="shared" si="22"/>
        <v>040152202208</v>
      </c>
      <c r="U350">
        <f t="shared" si="23"/>
        <v>0</v>
      </c>
    </row>
    <row r="351" spans="1:21" x14ac:dyDescent="0.35">
      <c r="A351" t="str">
        <f t="shared" si="20"/>
        <v>2022</v>
      </c>
      <c r="B351" t="str">
        <f t="shared" si="21"/>
        <v>08</v>
      </c>
      <c r="C351" t="s">
        <v>83</v>
      </c>
      <c r="D351">
        <v>202208</v>
      </c>
      <c r="E351" s="11" t="s">
        <v>55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T351" t="str">
        <f t="shared" si="22"/>
        <v>040154202208</v>
      </c>
      <c r="U351">
        <f t="shared" si="23"/>
        <v>0</v>
      </c>
    </row>
    <row r="352" spans="1:21" x14ac:dyDescent="0.35">
      <c r="A352" t="str">
        <f t="shared" si="20"/>
        <v>2022</v>
      </c>
      <c r="B352" t="str">
        <f t="shared" si="21"/>
        <v>08</v>
      </c>
      <c r="C352" t="s">
        <v>83</v>
      </c>
      <c r="D352">
        <v>202208</v>
      </c>
      <c r="E352" s="11" t="s">
        <v>56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T352" t="str">
        <f t="shared" si="22"/>
        <v>040155202208</v>
      </c>
      <c r="U352">
        <f t="shared" si="23"/>
        <v>0</v>
      </c>
    </row>
    <row r="353" spans="1:21" x14ac:dyDescent="0.35">
      <c r="A353" t="str">
        <f t="shared" si="20"/>
        <v>2022</v>
      </c>
      <c r="B353" t="str">
        <f t="shared" si="21"/>
        <v>08</v>
      </c>
      <c r="C353" t="s">
        <v>83</v>
      </c>
      <c r="D353">
        <v>202208</v>
      </c>
      <c r="E353" s="11" t="s">
        <v>57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T353" t="str">
        <f t="shared" si="22"/>
        <v>040156202208</v>
      </c>
      <c r="U353">
        <f t="shared" si="23"/>
        <v>0</v>
      </c>
    </row>
    <row r="354" spans="1:21" x14ac:dyDescent="0.35">
      <c r="A354" t="str">
        <f t="shared" si="20"/>
        <v>2022</v>
      </c>
      <c r="B354" t="str">
        <f t="shared" si="21"/>
        <v>08</v>
      </c>
      <c r="C354" t="s">
        <v>83</v>
      </c>
      <c r="D354">
        <v>202208</v>
      </c>
      <c r="E354" s="11" t="s">
        <v>58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T354" t="str">
        <f t="shared" si="22"/>
        <v>040157202208</v>
      </c>
      <c r="U354">
        <f t="shared" si="23"/>
        <v>0</v>
      </c>
    </row>
    <row r="355" spans="1:21" x14ac:dyDescent="0.35">
      <c r="A355" t="str">
        <f t="shared" si="20"/>
        <v>2022</v>
      </c>
      <c r="B355" t="str">
        <f t="shared" si="21"/>
        <v>08</v>
      </c>
      <c r="C355" t="s">
        <v>83</v>
      </c>
      <c r="D355">
        <v>202208</v>
      </c>
      <c r="E355" s="11" t="s">
        <v>59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T355" t="str">
        <f t="shared" si="22"/>
        <v>040158202208</v>
      </c>
      <c r="U355">
        <f t="shared" si="23"/>
        <v>0</v>
      </c>
    </row>
    <row r="356" spans="1:21" x14ac:dyDescent="0.35">
      <c r="A356" t="str">
        <f t="shared" si="20"/>
        <v>2022</v>
      </c>
      <c r="B356" t="str">
        <f t="shared" si="21"/>
        <v>08</v>
      </c>
      <c r="C356" t="s">
        <v>83</v>
      </c>
      <c r="D356">
        <v>202208</v>
      </c>
      <c r="E356" s="11" t="s">
        <v>60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T356" t="str">
        <f t="shared" si="22"/>
        <v>040159202208</v>
      </c>
      <c r="U356">
        <f t="shared" si="23"/>
        <v>0</v>
      </c>
    </row>
    <row r="357" spans="1:21" x14ac:dyDescent="0.35">
      <c r="A357" t="str">
        <f t="shared" si="20"/>
        <v>2022</v>
      </c>
      <c r="B357" t="str">
        <f t="shared" si="21"/>
        <v>08</v>
      </c>
      <c r="C357" t="s">
        <v>83</v>
      </c>
      <c r="D357">
        <v>202208</v>
      </c>
      <c r="E357" s="11" t="s">
        <v>61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T357" t="str">
        <f t="shared" si="22"/>
        <v>040162202208</v>
      </c>
      <c r="U357">
        <f t="shared" si="23"/>
        <v>0</v>
      </c>
    </row>
    <row r="358" spans="1:21" x14ac:dyDescent="0.35">
      <c r="A358" t="str">
        <f t="shared" si="20"/>
        <v>2022</v>
      </c>
      <c r="B358" t="str">
        <f t="shared" si="21"/>
        <v>09</v>
      </c>
      <c r="C358" t="s">
        <v>84</v>
      </c>
      <c r="D358">
        <v>202209</v>
      </c>
      <c r="E358" s="11">
        <v>5</v>
      </c>
      <c r="F358">
        <v>955.34721764999995</v>
      </c>
      <c r="G358">
        <v>953.85970487999998</v>
      </c>
      <c r="H358">
        <v>1.4875127699999999</v>
      </c>
      <c r="I358">
        <v>6044.6594025000004</v>
      </c>
      <c r="J358">
        <v>623.86855596999999</v>
      </c>
      <c r="K358">
        <v>10.693477</v>
      </c>
      <c r="L358">
        <v>10.96868976</v>
      </c>
      <c r="M358">
        <v>10.96868976</v>
      </c>
      <c r="N358">
        <v>0</v>
      </c>
      <c r="O358">
        <v>0</v>
      </c>
      <c r="P358">
        <v>66.937004950000002</v>
      </c>
      <c r="Q358">
        <v>39.03665032</v>
      </c>
      <c r="R358">
        <v>0</v>
      </c>
      <c r="T358" t="str">
        <f t="shared" si="22"/>
        <v>5202209</v>
      </c>
      <c r="U358">
        <f t="shared" si="23"/>
        <v>7623.8751761200001</v>
      </c>
    </row>
    <row r="359" spans="1:21" x14ac:dyDescent="0.35">
      <c r="A359" t="str">
        <f t="shared" si="20"/>
        <v>2022</v>
      </c>
      <c r="B359" t="str">
        <f t="shared" si="21"/>
        <v>09</v>
      </c>
      <c r="C359" t="s">
        <v>84</v>
      </c>
      <c r="D359">
        <v>202209</v>
      </c>
      <c r="E359" s="11" t="s">
        <v>19</v>
      </c>
      <c r="F359">
        <v>68.139086000000006</v>
      </c>
      <c r="G359">
        <v>68.139086000000006</v>
      </c>
      <c r="H359">
        <v>0</v>
      </c>
      <c r="I359">
        <v>140.01356200000001</v>
      </c>
      <c r="J359">
        <v>154.86660499999999</v>
      </c>
      <c r="K359">
        <v>10.693477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T359" t="str">
        <f t="shared" si="22"/>
        <v>040002202209</v>
      </c>
      <c r="U359">
        <f t="shared" si="23"/>
        <v>363.01925299999999</v>
      </c>
    </row>
    <row r="360" spans="1:21" x14ac:dyDescent="0.35">
      <c r="A360" t="str">
        <f t="shared" si="20"/>
        <v>2022</v>
      </c>
      <c r="B360" t="str">
        <f t="shared" si="21"/>
        <v>09</v>
      </c>
      <c r="C360" t="s">
        <v>84</v>
      </c>
      <c r="D360">
        <v>202209</v>
      </c>
      <c r="E360" s="11" t="s">
        <v>20</v>
      </c>
      <c r="F360">
        <v>172.27557983000003</v>
      </c>
      <c r="G360">
        <v>172.27557983000003</v>
      </c>
      <c r="H360">
        <v>0</v>
      </c>
      <c r="I360">
        <v>2165.88048622</v>
      </c>
      <c r="J360">
        <v>143.29909966999998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T360" t="str">
        <f t="shared" si="22"/>
        <v>040012202209</v>
      </c>
      <c r="U360">
        <f t="shared" si="23"/>
        <v>2481.45516572</v>
      </c>
    </row>
    <row r="361" spans="1:21" x14ac:dyDescent="0.35">
      <c r="A361" t="str">
        <f t="shared" si="20"/>
        <v>2022</v>
      </c>
      <c r="B361" t="str">
        <f t="shared" si="21"/>
        <v>09</v>
      </c>
      <c r="C361" t="s">
        <v>84</v>
      </c>
      <c r="D361">
        <v>202209</v>
      </c>
      <c r="E361" s="11" t="s">
        <v>21</v>
      </c>
      <c r="F361">
        <v>203.67489599999999</v>
      </c>
      <c r="G361">
        <v>203.67489599999999</v>
      </c>
      <c r="H361">
        <v>0</v>
      </c>
      <c r="I361">
        <v>318.43788599999999</v>
      </c>
      <c r="J361">
        <v>147.20116100000001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T361" t="str">
        <f t="shared" si="22"/>
        <v>040014202209</v>
      </c>
      <c r="U361">
        <f t="shared" si="23"/>
        <v>669.31394299999988</v>
      </c>
    </row>
    <row r="362" spans="1:21" x14ac:dyDescent="0.35">
      <c r="A362" t="str">
        <f t="shared" si="20"/>
        <v>2022</v>
      </c>
      <c r="B362" t="str">
        <f t="shared" si="21"/>
        <v>09</v>
      </c>
      <c r="C362" t="s">
        <v>84</v>
      </c>
      <c r="D362">
        <v>202209</v>
      </c>
      <c r="E362" s="11" t="s">
        <v>22</v>
      </c>
      <c r="F362">
        <v>81.225328000000005</v>
      </c>
      <c r="G362">
        <v>81.225328000000005</v>
      </c>
      <c r="H362">
        <v>0</v>
      </c>
      <c r="I362">
        <v>768.38637100000005</v>
      </c>
      <c r="J362">
        <v>15.479869000000001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17.706699</v>
      </c>
      <c r="Q362">
        <v>11.697761</v>
      </c>
      <c r="R362">
        <v>0</v>
      </c>
      <c r="T362" t="str">
        <f t="shared" si="22"/>
        <v>040021202209</v>
      </c>
      <c r="U362">
        <f t="shared" si="23"/>
        <v>865.09156800000005</v>
      </c>
    </row>
    <row r="363" spans="1:21" x14ac:dyDescent="0.35">
      <c r="A363" t="str">
        <f t="shared" si="20"/>
        <v>2022</v>
      </c>
      <c r="B363" t="str">
        <f t="shared" si="21"/>
        <v>09</v>
      </c>
      <c r="C363" t="s">
        <v>84</v>
      </c>
      <c r="D363">
        <v>202209</v>
      </c>
      <c r="E363" s="11" t="s">
        <v>23</v>
      </c>
      <c r="F363">
        <v>229.62254002</v>
      </c>
      <c r="G363">
        <v>229.62254002</v>
      </c>
      <c r="H363">
        <v>0</v>
      </c>
      <c r="I363">
        <v>19.089217340000001</v>
      </c>
      <c r="J363">
        <v>5.79615087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0.47221405999999999</v>
      </c>
      <c r="R363">
        <v>0</v>
      </c>
      <c r="T363" t="str">
        <f t="shared" si="22"/>
        <v>040030202209</v>
      </c>
      <c r="U363">
        <f t="shared" si="23"/>
        <v>254.50790823</v>
      </c>
    </row>
    <row r="364" spans="1:21" x14ac:dyDescent="0.35">
      <c r="A364" t="str">
        <f t="shared" si="20"/>
        <v>2022</v>
      </c>
      <c r="B364" t="str">
        <f t="shared" si="21"/>
        <v>09</v>
      </c>
      <c r="C364" t="s">
        <v>84</v>
      </c>
      <c r="D364">
        <v>202209</v>
      </c>
      <c r="E364" s="11" t="s">
        <v>24</v>
      </c>
      <c r="F364">
        <v>0</v>
      </c>
      <c r="G364">
        <v>0</v>
      </c>
      <c r="H364">
        <v>0</v>
      </c>
      <c r="I364">
        <v>6.2865849999999996</v>
      </c>
      <c r="J364">
        <v>1.4853E-2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T364" t="str">
        <f t="shared" si="22"/>
        <v>040036202209</v>
      </c>
      <c r="U364">
        <f t="shared" si="23"/>
        <v>6.3014379999999992</v>
      </c>
    </row>
    <row r="365" spans="1:21" x14ac:dyDescent="0.35">
      <c r="A365" t="str">
        <f t="shared" si="20"/>
        <v>2022</v>
      </c>
      <c r="B365" t="str">
        <f t="shared" si="21"/>
        <v>09</v>
      </c>
      <c r="C365" t="s">
        <v>84</v>
      </c>
      <c r="D365">
        <v>202209</v>
      </c>
      <c r="E365" s="11" t="s">
        <v>25</v>
      </c>
      <c r="F365">
        <v>22.736191999999999</v>
      </c>
      <c r="G365">
        <v>22.736191999999999</v>
      </c>
      <c r="H365">
        <v>0</v>
      </c>
      <c r="I365">
        <v>1.437171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T365" t="str">
        <f t="shared" si="22"/>
        <v>040042202209</v>
      </c>
      <c r="U365">
        <f t="shared" si="23"/>
        <v>24.173362999999998</v>
      </c>
    </row>
    <row r="366" spans="1:21" x14ac:dyDescent="0.35">
      <c r="A366" t="str">
        <f t="shared" si="20"/>
        <v>2022</v>
      </c>
      <c r="B366" t="str">
        <f t="shared" si="21"/>
        <v>09</v>
      </c>
      <c r="C366" t="s">
        <v>84</v>
      </c>
      <c r="D366">
        <v>202209</v>
      </c>
      <c r="E366" s="11" t="s">
        <v>26</v>
      </c>
      <c r="F366">
        <v>3.5257909999999999</v>
      </c>
      <c r="G366">
        <v>3.5257909999999999</v>
      </c>
      <c r="H366">
        <v>0</v>
      </c>
      <c r="I366">
        <v>164.47165799999999</v>
      </c>
      <c r="J366">
        <v>0</v>
      </c>
      <c r="K366">
        <v>0</v>
      </c>
      <c r="L366">
        <v>1.8220000000000001E-3</v>
      </c>
      <c r="M366">
        <v>1.8220000000000001E-3</v>
      </c>
      <c r="N366">
        <v>0</v>
      </c>
      <c r="O366">
        <v>0</v>
      </c>
      <c r="P366">
        <v>14.903053999999999</v>
      </c>
      <c r="Q366">
        <v>26.858314</v>
      </c>
      <c r="R366">
        <v>0</v>
      </c>
      <c r="T366" t="str">
        <f t="shared" si="22"/>
        <v>040044202209</v>
      </c>
      <c r="U366">
        <f t="shared" si="23"/>
        <v>167.99744899999999</v>
      </c>
    </row>
    <row r="367" spans="1:21" x14ac:dyDescent="0.35">
      <c r="A367" t="str">
        <f t="shared" si="20"/>
        <v>2022</v>
      </c>
      <c r="B367" t="str">
        <f t="shared" si="21"/>
        <v>09</v>
      </c>
      <c r="C367" t="s">
        <v>84</v>
      </c>
      <c r="D367">
        <v>202209</v>
      </c>
      <c r="E367" s="11" t="s">
        <v>27</v>
      </c>
      <c r="F367">
        <v>57.756398439999998</v>
      </c>
      <c r="G367">
        <v>57.756398439999998</v>
      </c>
      <c r="H367">
        <v>0</v>
      </c>
      <c r="I367">
        <v>13.27158966</v>
      </c>
      <c r="J367">
        <v>2.173476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T367" t="str">
        <f t="shared" si="22"/>
        <v>040058202209</v>
      </c>
      <c r="U367">
        <f t="shared" si="23"/>
        <v>73.201464099999995</v>
      </c>
    </row>
    <row r="368" spans="1:21" x14ac:dyDescent="0.35">
      <c r="A368" t="str">
        <f t="shared" si="20"/>
        <v>2022</v>
      </c>
      <c r="B368" t="str">
        <f t="shared" si="21"/>
        <v>09</v>
      </c>
      <c r="C368" t="s">
        <v>84</v>
      </c>
      <c r="D368">
        <v>202209</v>
      </c>
      <c r="E368" s="11" t="s">
        <v>28</v>
      </c>
      <c r="F368">
        <v>0</v>
      </c>
      <c r="G368">
        <v>0</v>
      </c>
      <c r="H368">
        <v>0</v>
      </c>
      <c r="I368">
        <v>31.398629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T368" t="str">
        <f t="shared" si="22"/>
        <v>040059202209</v>
      </c>
      <c r="U368">
        <f t="shared" si="23"/>
        <v>31.398629</v>
      </c>
    </row>
    <row r="369" spans="1:21" x14ac:dyDescent="0.35">
      <c r="A369" t="str">
        <f t="shared" si="20"/>
        <v>2022</v>
      </c>
      <c r="B369" t="str">
        <f t="shared" si="21"/>
        <v>09</v>
      </c>
      <c r="C369" t="s">
        <v>84</v>
      </c>
      <c r="D369">
        <v>202209</v>
      </c>
      <c r="E369" s="11" t="s">
        <v>62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T369" t="str">
        <f t="shared" si="22"/>
        <v>040060202209</v>
      </c>
      <c r="U369">
        <f t="shared" si="23"/>
        <v>0</v>
      </c>
    </row>
    <row r="370" spans="1:21" x14ac:dyDescent="0.35">
      <c r="A370" t="str">
        <f t="shared" si="20"/>
        <v>2022</v>
      </c>
      <c r="B370" t="str">
        <f t="shared" si="21"/>
        <v>09</v>
      </c>
      <c r="C370" t="s">
        <v>84</v>
      </c>
      <c r="D370">
        <v>202209</v>
      </c>
      <c r="E370" s="11" t="s">
        <v>29</v>
      </c>
      <c r="F370">
        <v>0.13572999999999999</v>
      </c>
      <c r="G370">
        <v>0.13572999999999999</v>
      </c>
      <c r="H370">
        <v>0</v>
      </c>
      <c r="I370">
        <v>47.274265</v>
      </c>
      <c r="J370">
        <v>0.19464799999999999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T370" t="str">
        <f t="shared" si="22"/>
        <v>040062202209</v>
      </c>
      <c r="U370">
        <f t="shared" si="23"/>
        <v>47.604643000000003</v>
      </c>
    </row>
    <row r="371" spans="1:21" x14ac:dyDescent="0.35">
      <c r="A371" t="str">
        <f t="shared" si="20"/>
        <v>2022</v>
      </c>
      <c r="B371" t="str">
        <f t="shared" si="21"/>
        <v>09</v>
      </c>
      <c r="C371" t="s">
        <v>84</v>
      </c>
      <c r="D371">
        <v>202209</v>
      </c>
      <c r="E371" s="11" t="s">
        <v>30</v>
      </c>
      <c r="F371">
        <v>56.710294159999997</v>
      </c>
      <c r="G371">
        <v>56.710294159999997</v>
      </c>
      <c r="H371">
        <v>0</v>
      </c>
      <c r="I371">
        <v>890.73016044000008</v>
      </c>
      <c r="J371">
        <v>141.37334108000002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T371" t="str">
        <f t="shared" si="22"/>
        <v>040072202209</v>
      </c>
      <c r="U371">
        <f t="shared" si="23"/>
        <v>1088.8137956800001</v>
      </c>
    </row>
    <row r="372" spans="1:21" x14ac:dyDescent="0.35">
      <c r="A372" t="str">
        <f t="shared" si="20"/>
        <v>2022</v>
      </c>
      <c r="B372" t="str">
        <f t="shared" si="21"/>
        <v>09</v>
      </c>
      <c r="C372" t="s">
        <v>84</v>
      </c>
      <c r="D372">
        <v>202209</v>
      </c>
      <c r="E372" s="11" t="s">
        <v>31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T372" t="str">
        <f t="shared" si="22"/>
        <v>040106202209</v>
      </c>
      <c r="U372">
        <f t="shared" si="23"/>
        <v>0</v>
      </c>
    </row>
    <row r="373" spans="1:21" x14ac:dyDescent="0.35">
      <c r="A373" t="str">
        <f t="shared" si="20"/>
        <v>2022</v>
      </c>
      <c r="B373" t="str">
        <f t="shared" si="21"/>
        <v>09</v>
      </c>
      <c r="C373" t="s">
        <v>84</v>
      </c>
      <c r="D373">
        <v>202209</v>
      </c>
      <c r="E373" s="11" t="s">
        <v>32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T373" t="str">
        <f t="shared" si="22"/>
        <v>040108202209</v>
      </c>
      <c r="U373">
        <f t="shared" si="23"/>
        <v>0</v>
      </c>
    </row>
    <row r="374" spans="1:21" x14ac:dyDescent="0.35">
      <c r="A374" t="str">
        <f t="shared" si="20"/>
        <v>2022</v>
      </c>
      <c r="B374" t="str">
        <f t="shared" si="21"/>
        <v>09</v>
      </c>
      <c r="C374" t="s">
        <v>84</v>
      </c>
      <c r="D374">
        <v>202209</v>
      </c>
      <c r="E374" s="11" t="s">
        <v>33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T374" t="str">
        <f t="shared" si="22"/>
        <v>040110202209</v>
      </c>
      <c r="U374">
        <f t="shared" si="23"/>
        <v>0</v>
      </c>
    </row>
    <row r="375" spans="1:21" x14ac:dyDescent="0.35">
      <c r="A375" t="str">
        <f t="shared" si="20"/>
        <v>2022</v>
      </c>
      <c r="B375" t="str">
        <f t="shared" si="21"/>
        <v>09</v>
      </c>
      <c r="C375" t="s">
        <v>84</v>
      </c>
      <c r="D375">
        <v>202209</v>
      </c>
      <c r="E375" s="11" t="s">
        <v>34</v>
      </c>
      <c r="F375">
        <v>0.20334099999999999</v>
      </c>
      <c r="G375">
        <v>0.20334099999999999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T375" t="str">
        <f t="shared" si="22"/>
        <v>040112202209</v>
      </c>
      <c r="U375">
        <f t="shared" si="23"/>
        <v>0.20334099999999999</v>
      </c>
    </row>
    <row r="376" spans="1:21" x14ac:dyDescent="0.35">
      <c r="A376" t="str">
        <f t="shared" si="20"/>
        <v>2022</v>
      </c>
      <c r="B376" t="str">
        <f t="shared" si="21"/>
        <v>09</v>
      </c>
      <c r="C376" t="s">
        <v>84</v>
      </c>
      <c r="D376">
        <v>202209</v>
      </c>
      <c r="E376" s="11" t="s">
        <v>35</v>
      </c>
      <c r="F376">
        <v>9.9565339999999996</v>
      </c>
      <c r="G376">
        <v>9.9565339999999996</v>
      </c>
      <c r="H376">
        <v>0</v>
      </c>
      <c r="I376">
        <v>0</v>
      </c>
      <c r="J376">
        <v>0</v>
      </c>
      <c r="K376">
        <v>0</v>
      </c>
      <c r="L376">
        <v>2.3046000000000001E-2</v>
      </c>
      <c r="M376">
        <v>2.3046000000000001E-2</v>
      </c>
      <c r="N376">
        <v>0</v>
      </c>
      <c r="O376">
        <v>0</v>
      </c>
      <c r="P376">
        <v>0</v>
      </c>
      <c r="Q376">
        <v>0</v>
      </c>
      <c r="R376">
        <v>0</v>
      </c>
      <c r="T376" t="str">
        <f t="shared" si="22"/>
        <v>040113202209</v>
      </c>
      <c r="U376">
        <f t="shared" si="23"/>
        <v>9.9565339999999996</v>
      </c>
    </row>
    <row r="377" spans="1:21" x14ac:dyDescent="0.35">
      <c r="A377" t="str">
        <f t="shared" si="20"/>
        <v>2022</v>
      </c>
      <c r="B377" t="str">
        <f t="shared" si="21"/>
        <v>09</v>
      </c>
      <c r="C377" t="s">
        <v>84</v>
      </c>
      <c r="D377">
        <v>202209</v>
      </c>
      <c r="E377" s="11" t="s">
        <v>36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T377" t="str">
        <f t="shared" si="22"/>
        <v>040126202209</v>
      </c>
      <c r="U377">
        <f t="shared" si="23"/>
        <v>0</v>
      </c>
    </row>
    <row r="378" spans="1:21" x14ac:dyDescent="0.35">
      <c r="A378" t="str">
        <f t="shared" si="20"/>
        <v>2022</v>
      </c>
      <c r="B378" t="str">
        <f t="shared" si="21"/>
        <v>09</v>
      </c>
      <c r="C378" t="s">
        <v>84</v>
      </c>
      <c r="D378">
        <v>202209</v>
      </c>
      <c r="E378" s="11" t="s">
        <v>37</v>
      </c>
      <c r="F378">
        <v>0</v>
      </c>
      <c r="G378">
        <v>0</v>
      </c>
      <c r="H378">
        <v>0</v>
      </c>
      <c r="I378">
        <v>1254.86219394</v>
      </c>
      <c r="J378">
        <v>2.4534250000000001E-2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T378" t="str">
        <f t="shared" si="22"/>
        <v>040127202209</v>
      </c>
      <c r="U378">
        <f t="shared" si="23"/>
        <v>1254.88672819</v>
      </c>
    </row>
    <row r="379" spans="1:21" x14ac:dyDescent="0.35">
      <c r="A379" t="str">
        <f t="shared" si="20"/>
        <v>2022</v>
      </c>
      <c r="B379" t="str">
        <f t="shared" si="21"/>
        <v>09</v>
      </c>
      <c r="C379" t="s">
        <v>84</v>
      </c>
      <c r="D379">
        <v>202209</v>
      </c>
      <c r="E379" s="11" t="s">
        <v>38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T379" t="str">
        <f t="shared" si="22"/>
        <v>040128202209</v>
      </c>
      <c r="U379">
        <f t="shared" si="23"/>
        <v>0</v>
      </c>
    </row>
    <row r="380" spans="1:21" x14ac:dyDescent="0.35">
      <c r="A380" t="str">
        <f t="shared" si="20"/>
        <v>2022</v>
      </c>
      <c r="B380" t="str">
        <f t="shared" si="21"/>
        <v>09</v>
      </c>
      <c r="C380" t="s">
        <v>84</v>
      </c>
      <c r="D380">
        <v>202209</v>
      </c>
      <c r="E380" s="11" t="s">
        <v>39</v>
      </c>
      <c r="F380">
        <v>0</v>
      </c>
      <c r="G380">
        <v>0</v>
      </c>
      <c r="H380">
        <v>0</v>
      </c>
      <c r="I380">
        <v>187.874886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2.6072760000000001</v>
      </c>
      <c r="Q380">
        <v>0</v>
      </c>
      <c r="R380">
        <v>0</v>
      </c>
      <c r="T380" t="str">
        <f t="shared" si="22"/>
        <v>040130202209</v>
      </c>
      <c r="U380">
        <f t="shared" si="23"/>
        <v>187.874886</v>
      </c>
    </row>
    <row r="381" spans="1:21" x14ac:dyDescent="0.35">
      <c r="A381" t="str">
        <f t="shared" si="20"/>
        <v>2022</v>
      </c>
      <c r="B381" t="str">
        <f t="shared" si="21"/>
        <v>09</v>
      </c>
      <c r="C381" t="s">
        <v>84</v>
      </c>
      <c r="D381">
        <v>202209</v>
      </c>
      <c r="E381" s="11" t="s">
        <v>40</v>
      </c>
      <c r="F381">
        <v>2.0644179999999999</v>
      </c>
      <c r="G381">
        <v>2.0644179999999999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T381" t="str">
        <f t="shared" si="22"/>
        <v>040132202209</v>
      </c>
      <c r="U381">
        <f t="shared" si="23"/>
        <v>2.0644179999999999</v>
      </c>
    </row>
    <row r="382" spans="1:21" x14ac:dyDescent="0.35">
      <c r="A382" t="str">
        <f t="shared" si="20"/>
        <v>2022</v>
      </c>
      <c r="B382" t="str">
        <f t="shared" si="21"/>
        <v>09</v>
      </c>
      <c r="C382" t="s">
        <v>84</v>
      </c>
      <c r="D382">
        <v>202209</v>
      </c>
      <c r="E382" s="11" t="s">
        <v>41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T382" t="str">
        <f t="shared" si="22"/>
        <v>040133202209</v>
      </c>
      <c r="U382">
        <f t="shared" si="23"/>
        <v>0</v>
      </c>
    </row>
    <row r="383" spans="1:21" x14ac:dyDescent="0.35">
      <c r="A383" t="str">
        <f t="shared" si="20"/>
        <v>2022</v>
      </c>
      <c r="B383" t="str">
        <f t="shared" si="21"/>
        <v>09</v>
      </c>
      <c r="C383" t="s">
        <v>84</v>
      </c>
      <c r="D383">
        <v>202209</v>
      </c>
      <c r="E383" s="11" t="s">
        <v>42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T383" t="str">
        <f t="shared" si="22"/>
        <v>040136202209</v>
      </c>
      <c r="U383">
        <f t="shared" si="23"/>
        <v>0</v>
      </c>
    </row>
    <row r="384" spans="1:21" x14ac:dyDescent="0.35">
      <c r="A384" t="str">
        <f t="shared" si="20"/>
        <v>2022</v>
      </c>
      <c r="B384" t="str">
        <f t="shared" si="21"/>
        <v>09</v>
      </c>
      <c r="C384" t="s">
        <v>84</v>
      </c>
      <c r="D384">
        <v>202209</v>
      </c>
      <c r="E384" s="11" t="s">
        <v>43</v>
      </c>
      <c r="F384">
        <v>0</v>
      </c>
      <c r="G384">
        <v>0</v>
      </c>
      <c r="H384">
        <v>0</v>
      </c>
      <c r="I384">
        <v>0.12801822999999998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T384" t="str">
        <f t="shared" si="22"/>
        <v>040137202209</v>
      </c>
      <c r="U384">
        <f t="shared" si="23"/>
        <v>0.12801822999999998</v>
      </c>
    </row>
    <row r="385" spans="1:21" x14ac:dyDescent="0.35">
      <c r="A385" t="str">
        <f t="shared" si="20"/>
        <v>2022</v>
      </c>
      <c r="B385" t="str">
        <f t="shared" si="21"/>
        <v>09</v>
      </c>
      <c r="C385" t="s">
        <v>84</v>
      </c>
      <c r="D385">
        <v>202209</v>
      </c>
      <c r="E385" s="11" t="s">
        <v>44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T385" t="str">
        <f t="shared" si="22"/>
        <v>040138202209</v>
      </c>
      <c r="U385">
        <f t="shared" si="23"/>
        <v>0</v>
      </c>
    </row>
    <row r="386" spans="1:21" x14ac:dyDescent="0.35">
      <c r="A386" t="str">
        <f t="shared" si="20"/>
        <v>2022</v>
      </c>
      <c r="B386" t="str">
        <f t="shared" si="21"/>
        <v>09</v>
      </c>
      <c r="C386" t="s">
        <v>84</v>
      </c>
      <c r="D386">
        <v>202209</v>
      </c>
      <c r="E386" s="11" t="s">
        <v>45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T386" t="str">
        <f t="shared" si="22"/>
        <v>040139202209</v>
      </c>
      <c r="U386">
        <f t="shared" si="23"/>
        <v>0</v>
      </c>
    </row>
    <row r="387" spans="1:21" x14ac:dyDescent="0.35">
      <c r="A387" t="str">
        <f t="shared" ref="A387:A450" si="24">LEFT(D387,4)</f>
        <v>2022</v>
      </c>
      <c r="B387" t="str">
        <f t="shared" ref="B387:B450" si="25">RIGHT(D387,2)</f>
        <v>09</v>
      </c>
      <c r="C387" t="s">
        <v>84</v>
      </c>
      <c r="D387">
        <v>202209</v>
      </c>
      <c r="E387" s="11" t="s">
        <v>46</v>
      </c>
      <c r="F387">
        <v>0</v>
      </c>
      <c r="G387">
        <v>0</v>
      </c>
      <c r="H387">
        <v>0</v>
      </c>
      <c r="I387">
        <v>21.489995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T387" t="str">
        <f t="shared" ref="T387:T450" si="26">+E387&amp;D387</f>
        <v>040140202209</v>
      </c>
      <c r="U387">
        <f t="shared" ref="U387:U450" si="27">+F387+I387+J387</f>
        <v>21.489995</v>
      </c>
    </row>
    <row r="388" spans="1:21" x14ac:dyDescent="0.35">
      <c r="A388" t="str">
        <f t="shared" si="24"/>
        <v>2022</v>
      </c>
      <c r="B388" t="str">
        <f t="shared" si="25"/>
        <v>09</v>
      </c>
      <c r="C388" t="s">
        <v>84</v>
      </c>
      <c r="D388">
        <v>202209</v>
      </c>
      <c r="E388" s="11" t="s">
        <v>47</v>
      </c>
      <c r="F388">
        <v>0</v>
      </c>
      <c r="G388">
        <v>0</v>
      </c>
      <c r="H388">
        <v>0</v>
      </c>
      <c r="I388">
        <v>0.16707900000000001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T388" t="str">
        <f t="shared" si="26"/>
        <v>040141202209</v>
      </c>
      <c r="U388">
        <f t="shared" si="27"/>
        <v>0.16707900000000001</v>
      </c>
    </row>
    <row r="389" spans="1:21" x14ac:dyDescent="0.35">
      <c r="A389" t="str">
        <f t="shared" si="24"/>
        <v>2022</v>
      </c>
      <c r="B389" t="str">
        <f t="shared" si="25"/>
        <v>09</v>
      </c>
      <c r="C389" t="s">
        <v>84</v>
      </c>
      <c r="D389">
        <v>202209</v>
      </c>
      <c r="E389" s="11" t="s">
        <v>48</v>
      </c>
      <c r="F389">
        <v>3.6574871</v>
      </c>
      <c r="G389">
        <v>2.1699743300000001</v>
      </c>
      <c r="H389">
        <v>1.4875127699999999</v>
      </c>
      <c r="I389">
        <v>2.1735396699999998</v>
      </c>
      <c r="J389">
        <v>13.444818099999999</v>
      </c>
      <c r="K389">
        <v>0</v>
      </c>
      <c r="L389">
        <v>10.943821760000001</v>
      </c>
      <c r="M389">
        <v>10.943821760000001</v>
      </c>
      <c r="N389">
        <v>0</v>
      </c>
      <c r="O389">
        <v>0</v>
      </c>
      <c r="P389">
        <v>30.833512949999999</v>
      </c>
      <c r="Q389">
        <v>8.3612600000000006E-3</v>
      </c>
      <c r="R389">
        <v>0</v>
      </c>
      <c r="T389" t="str">
        <f t="shared" si="26"/>
        <v>040143202209</v>
      </c>
      <c r="U389">
        <f t="shared" si="27"/>
        <v>19.27584487</v>
      </c>
    </row>
    <row r="390" spans="1:21" x14ac:dyDescent="0.35">
      <c r="A390" t="str">
        <f t="shared" si="24"/>
        <v>2022</v>
      </c>
      <c r="B390" t="str">
        <f t="shared" si="25"/>
        <v>09</v>
      </c>
      <c r="C390" t="s">
        <v>84</v>
      </c>
      <c r="D390">
        <v>202209</v>
      </c>
      <c r="E390" s="11" t="s">
        <v>49</v>
      </c>
      <c r="F390">
        <v>36.071407000000001</v>
      </c>
      <c r="G390">
        <v>36.071407000000001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T390" t="str">
        <f t="shared" si="26"/>
        <v>040145202209</v>
      </c>
      <c r="U390">
        <f t="shared" si="27"/>
        <v>36.071407000000001</v>
      </c>
    </row>
    <row r="391" spans="1:21" x14ac:dyDescent="0.35">
      <c r="A391" t="str">
        <f t="shared" si="24"/>
        <v>2022</v>
      </c>
      <c r="B391" t="str">
        <f t="shared" si="25"/>
        <v>09</v>
      </c>
      <c r="C391" t="s">
        <v>84</v>
      </c>
      <c r="D391">
        <v>202209</v>
      </c>
      <c r="E391" s="11" t="s">
        <v>50</v>
      </c>
      <c r="F391">
        <v>0.90961110000000001</v>
      </c>
      <c r="G391">
        <v>0.90961110000000001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T391" t="str">
        <f t="shared" si="26"/>
        <v>040147202209</v>
      </c>
      <c r="U391">
        <f t="shared" si="27"/>
        <v>0.90961110000000001</v>
      </c>
    </row>
    <row r="392" spans="1:21" x14ac:dyDescent="0.35">
      <c r="A392" t="str">
        <f t="shared" si="24"/>
        <v>2022</v>
      </c>
      <c r="B392" t="str">
        <f t="shared" si="25"/>
        <v>09</v>
      </c>
      <c r="C392" t="s">
        <v>84</v>
      </c>
      <c r="D392">
        <v>202209</v>
      </c>
      <c r="E392" s="11" t="s">
        <v>51</v>
      </c>
      <c r="F392">
        <v>0</v>
      </c>
      <c r="G392">
        <v>0</v>
      </c>
      <c r="H392">
        <v>0</v>
      </c>
      <c r="I392">
        <v>11.286110000000001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0.886463</v>
      </c>
      <c r="Q392">
        <v>0</v>
      </c>
      <c r="R392">
        <v>0</v>
      </c>
      <c r="T392" t="str">
        <f t="shared" si="26"/>
        <v>040149202209</v>
      </c>
      <c r="U392">
        <f t="shared" si="27"/>
        <v>11.286110000000001</v>
      </c>
    </row>
    <row r="393" spans="1:21" x14ac:dyDescent="0.35">
      <c r="A393" t="str">
        <f t="shared" si="24"/>
        <v>2022</v>
      </c>
      <c r="B393" t="str">
        <f t="shared" si="25"/>
        <v>09</v>
      </c>
      <c r="C393" t="s">
        <v>84</v>
      </c>
      <c r="D393">
        <v>202209</v>
      </c>
      <c r="E393" s="11" t="s">
        <v>52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T393" t="str">
        <f t="shared" si="26"/>
        <v>040150202209</v>
      </c>
      <c r="U393">
        <f t="shared" si="27"/>
        <v>0</v>
      </c>
    </row>
    <row r="394" spans="1:21" x14ac:dyDescent="0.35">
      <c r="A394" t="str">
        <f t="shared" si="24"/>
        <v>2022</v>
      </c>
      <c r="B394" t="str">
        <f t="shared" si="25"/>
        <v>09</v>
      </c>
      <c r="C394" t="s">
        <v>84</v>
      </c>
      <c r="D394">
        <v>202209</v>
      </c>
      <c r="E394" s="11" t="s">
        <v>53</v>
      </c>
      <c r="F394">
        <v>4.6382070000000004</v>
      </c>
      <c r="G394">
        <v>4.6382070000000004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T394" t="str">
        <f t="shared" si="26"/>
        <v>040151202209</v>
      </c>
      <c r="U394">
        <f t="shared" si="27"/>
        <v>4.6382070000000004</v>
      </c>
    </row>
    <row r="395" spans="1:21" x14ac:dyDescent="0.35">
      <c r="A395" t="str">
        <f t="shared" si="24"/>
        <v>2022</v>
      </c>
      <c r="B395" t="str">
        <f t="shared" si="25"/>
        <v>09</v>
      </c>
      <c r="C395" t="s">
        <v>84</v>
      </c>
      <c r="D395">
        <v>202209</v>
      </c>
      <c r="E395" s="11" t="s">
        <v>54</v>
      </c>
      <c r="F395">
        <v>2.0443769999999999</v>
      </c>
      <c r="G395">
        <v>2.0443769999999999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T395" t="str">
        <f t="shared" si="26"/>
        <v>040152202209</v>
      </c>
      <c r="U395">
        <f t="shared" si="27"/>
        <v>2.0443769999999999</v>
      </c>
    </row>
    <row r="396" spans="1:21" x14ac:dyDescent="0.35">
      <c r="A396" t="str">
        <f t="shared" si="24"/>
        <v>2022</v>
      </c>
      <c r="B396" t="str">
        <f t="shared" si="25"/>
        <v>09</v>
      </c>
      <c r="C396" t="s">
        <v>84</v>
      </c>
      <c r="D396">
        <v>202209</v>
      </c>
      <c r="E396" s="11" t="s">
        <v>55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T396" t="str">
        <f t="shared" si="26"/>
        <v>040154202209</v>
      </c>
      <c r="U396">
        <f t="shared" si="27"/>
        <v>0</v>
      </c>
    </row>
    <row r="397" spans="1:21" x14ac:dyDescent="0.35">
      <c r="A397" t="str">
        <f t="shared" si="24"/>
        <v>2022</v>
      </c>
      <c r="B397" t="str">
        <f t="shared" si="25"/>
        <v>09</v>
      </c>
      <c r="C397" t="s">
        <v>84</v>
      </c>
      <c r="D397">
        <v>202209</v>
      </c>
      <c r="E397" s="11" t="s">
        <v>56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T397" t="str">
        <f t="shared" si="26"/>
        <v>040155202209</v>
      </c>
      <c r="U397">
        <f t="shared" si="27"/>
        <v>0</v>
      </c>
    </row>
    <row r="398" spans="1:21" x14ac:dyDescent="0.35">
      <c r="A398" t="str">
        <f t="shared" si="24"/>
        <v>2022</v>
      </c>
      <c r="B398" t="str">
        <f t="shared" si="25"/>
        <v>09</v>
      </c>
      <c r="C398" t="s">
        <v>84</v>
      </c>
      <c r="D398">
        <v>202209</v>
      </c>
      <c r="E398" s="11" t="s">
        <v>57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T398" t="str">
        <f t="shared" si="26"/>
        <v>040156202209</v>
      </c>
      <c r="U398">
        <f t="shared" si="27"/>
        <v>0</v>
      </c>
    </row>
    <row r="399" spans="1:21" x14ac:dyDescent="0.35">
      <c r="A399" t="str">
        <f t="shared" si="24"/>
        <v>2022</v>
      </c>
      <c r="B399" t="str">
        <f t="shared" si="25"/>
        <v>09</v>
      </c>
      <c r="C399" t="s">
        <v>84</v>
      </c>
      <c r="D399">
        <v>202209</v>
      </c>
      <c r="E399" s="11" t="s">
        <v>58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T399" t="str">
        <f t="shared" si="26"/>
        <v>040157202209</v>
      </c>
      <c r="U399">
        <f t="shared" si="27"/>
        <v>0</v>
      </c>
    </row>
    <row r="400" spans="1:21" x14ac:dyDescent="0.35">
      <c r="A400" t="str">
        <f t="shared" si="24"/>
        <v>2022</v>
      </c>
      <c r="B400" t="str">
        <f t="shared" si="25"/>
        <v>09</v>
      </c>
      <c r="C400" t="s">
        <v>84</v>
      </c>
      <c r="D400">
        <v>202209</v>
      </c>
      <c r="E400" s="11" t="s">
        <v>59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T400" t="str">
        <f t="shared" si="26"/>
        <v>040158202209</v>
      </c>
      <c r="U400">
        <f t="shared" si="27"/>
        <v>0</v>
      </c>
    </row>
    <row r="401" spans="1:21" x14ac:dyDescent="0.35">
      <c r="A401" t="str">
        <f t="shared" si="24"/>
        <v>2022</v>
      </c>
      <c r="B401" t="str">
        <f t="shared" si="25"/>
        <v>09</v>
      </c>
      <c r="C401" t="s">
        <v>84</v>
      </c>
      <c r="D401">
        <v>202209</v>
      </c>
      <c r="E401" s="11" t="s">
        <v>60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T401" t="str">
        <f t="shared" si="26"/>
        <v>040159202209</v>
      </c>
      <c r="U401">
        <f t="shared" si="27"/>
        <v>0</v>
      </c>
    </row>
    <row r="402" spans="1:21" x14ac:dyDescent="0.35">
      <c r="A402" t="str">
        <f t="shared" si="24"/>
        <v>2022</v>
      </c>
      <c r="B402" t="str">
        <f t="shared" si="25"/>
        <v>09</v>
      </c>
      <c r="C402" t="s">
        <v>84</v>
      </c>
      <c r="D402">
        <v>202209</v>
      </c>
      <c r="E402" s="11" t="s">
        <v>61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T402" t="str">
        <f t="shared" si="26"/>
        <v>040162202209</v>
      </c>
      <c r="U402">
        <f t="shared" si="27"/>
        <v>0</v>
      </c>
    </row>
    <row r="403" spans="1:21" x14ac:dyDescent="0.35">
      <c r="A403" t="str">
        <f t="shared" si="24"/>
        <v>2022</v>
      </c>
      <c r="B403" t="str">
        <f t="shared" si="25"/>
        <v>10</v>
      </c>
      <c r="C403" t="s">
        <v>85</v>
      </c>
      <c r="D403">
        <v>202210</v>
      </c>
      <c r="E403" s="11">
        <v>5</v>
      </c>
      <c r="F403">
        <v>1370.49604555</v>
      </c>
      <c r="G403">
        <v>1365.4838501500001</v>
      </c>
      <c r="H403">
        <v>4.9889163600000002</v>
      </c>
      <c r="I403">
        <v>5274.01569784</v>
      </c>
      <c r="J403">
        <v>1223.73823339</v>
      </c>
      <c r="K403">
        <v>30.183952999999999</v>
      </c>
      <c r="L403">
        <v>0.40319700000000003</v>
      </c>
      <c r="M403">
        <v>0.40319700000000003</v>
      </c>
      <c r="N403">
        <v>0</v>
      </c>
      <c r="O403">
        <v>0</v>
      </c>
      <c r="P403">
        <v>49.773299719999997</v>
      </c>
      <c r="Q403">
        <v>98.001014080000004</v>
      </c>
      <c r="R403">
        <v>0</v>
      </c>
      <c r="T403" t="str">
        <f t="shared" si="26"/>
        <v>5202210</v>
      </c>
      <c r="U403">
        <f t="shared" si="27"/>
        <v>7868.24997678</v>
      </c>
    </row>
    <row r="404" spans="1:21" x14ac:dyDescent="0.35">
      <c r="A404" t="str">
        <f t="shared" si="24"/>
        <v>2022</v>
      </c>
      <c r="B404" t="str">
        <f t="shared" si="25"/>
        <v>10</v>
      </c>
      <c r="C404" t="s">
        <v>85</v>
      </c>
      <c r="D404">
        <v>202210</v>
      </c>
      <c r="E404" s="11" t="s">
        <v>19</v>
      </c>
      <c r="F404">
        <v>50.83652</v>
      </c>
      <c r="G404">
        <v>50.83652</v>
      </c>
      <c r="H404">
        <v>0</v>
      </c>
      <c r="I404">
        <v>160.95223899999999</v>
      </c>
      <c r="J404">
        <v>140.628849</v>
      </c>
      <c r="K404">
        <v>30.183952999999999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T404" t="str">
        <f t="shared" si="26"/>
        <v>040002202210</v>
      </c>
      <c r="U404">
        <f t="shared" si="27"/>
        <v>352.41760799999997</v>
      </c>
    </row>
    <row r="405" spans="1:21" x14ac:dyDescent="0.35">
      <c r="A405" t="str">
        <f t="shared" si="24"/>
        <v>2022</v>
      </c>
      <c r="B405" t="str">
        <f t="shared" si="25"/>
        <v>10</v>
      </c>
      <c r="C405" t="s">
        <v>85</v>
      </c>
      <c r="D405">
        <v>202210</v>
      </c>
      <c r="E405" s="11" t="s">
        <v>20</v>
      </c>
      <c r="F405">
        <v>937.04433387999995</v>
      </c>
      <c r="G405">
        <v>937.04433387999995</v>
      </c>
      <c r="H405">
        <v>0</v>
      </c>
      <c r="I405">
        <v>2249.7825447600003</v>
      </c>
      <c r="J405">
        <v>232.38309869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T405" t="str">
        <f t="shared" si="26"/>
        <v>040012202210</v>
      </c>
      <c r="U405">
        <f t="shared" si="27"/>
        <v>3419.2099773300006</v>
      </c>
    </row>
    <row r="406" spans="1:21" x14ac:dyDescent="0.35">
      <c r="A406" t="str">
        <f t="shared" si="24"/>
        <v>2022</v>
      </c>
      <c r="B406" t="str">
        <f t="shared" si="25"/>
        <v>10</v>
      </c>
      <c r="C406" t="s">
        <v>85</v>
      </c>
      <c r="D406">
        <v>202210</v>
      </c>
      <c r="E406" s="11" t="s">
        <v>21</v>
      </c>
      <c r="F406">
        <v>203.327359</v>
      </c>
      <c r="G406">
        <v>203.327359</v>
      </c>
      <c r="H406">
        <v>0</v>
      </c>
      <c r="I406">
        <v>317.620499</v>
      </c>
      <c r="J406">
        <v>645.10394899999994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T406" t="str">
        <f t="shared" si="26"/>
        <v>040014202210</v>
      </c>
      <c r="U406">
        <f t="shared" si="27"/>
        <v>1166.0518069999998</v>
      </c>
    </row>
    <row r="407" spans="1:21" x14ac:dyDescent="0.35">
      <c r="A407" t="str">
        <f t="shared" si="24"/>
        <v>2022</v>
      </c>
      <c r="B407" t="str">
        <f t="shared" si="25"/>
        <v>10</v>
      </c>
      <c r="C407" t="s">
        <v>85</v>
      </c>
      <c r="D407">
        <v>202210</v>
      </c>
      <c r="E407" s="11" t="s">
        <v>22</v>
      </c>
      <c r="F407">
        <v>44.293137000000002</v>
      </c>
      <c r="G407">
        <v>44.293137000000002</v>
      </c>
      <c r="H407">
        <v>0</v>
      </c>
      <c r="I407">
        <v>649.11315100000002</v>
      </c>
      <c r="J407">
        <v>14.412656999999999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21.561847</v>
      </c>
      <c r="Q407">
        <v>55.888579999999997</v>
      </c>
      <c r="R407">
        <v>0</v>
      </c>
      <c r="T407" t="str">
        <f t="shared" si="26"/>
        <v>040021202210</v>
      </c>
      <c r="U407">
        <f t="shared" si="27"/>
        <v>707.81894499999999</v>
      </c>
    </row>
    <row r="408" spans="1:21" x14ac:dyDescent="0.35">
      <c r="A408" t="str">
        <f t="shared" si="24"/>
        <v>2022</v>
      </c>
      <c r="B408" t="str">
        <f t="shared" si="25"/>
        <v>10</v>
      </c>
      <c r="C408" t="s">
        <v>85</v>
      </c>
      <c r="D408">
        <v>202210</v>
      </c>
      <c r="E408" s="11" t="s">
        <v>23</v>
      </c>
      <c r="F408">
        <v>10.96699125</v>
      </c>
      <c r="G408">
        <v>10.96699125</v>
      </c>
      <c r="H408">
        <v>0</v>
      </c>
      <c r="I408">
        <v>21.36492166</v>
      </c>
      <c r="J408">
        <v>6.6347866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0.69449217000000008</v>
      </c>
      <c r="R408">
        <v>0</v>
      </c>
      <c r="T408" t="str">
        <f t="shared" si="26"/>
        <v>040030202210</v>
      </c>
      <c r="U408">
        <f t="shared" si="27"/>
        <v>38.966699509999998</v>
      </c>
    </row>
    <row r="409" spans="1:21" x14ac:dyDescent="0.35">
      <c r="A409" t="str">
        <f t="shared" si="24"/>
        <v>2022</v>
      </c>
      <c r="B409" t="str">
        <f t="shared" si="25"/>
        <v>10</v>
      </c>
      <c r="C409" t="s">
        <v>85</v>
      </c>
      <c r="D409">
        <v>202210</v>
      </c>
      <c r="E409" s="11" t="s">
        <v>24</v>
      </c>
      <c r="F409">
        <v>0</v>
      </c>
      <c r="G409">
        <v>0</v>
      </c>
      <c r="H409">
        <v>0</v>
      </c>
      <c r="I409">
        <v>5.828182</v>
      </c>
      <c r="J409">
        <v>1.1934999999999999E-2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T409" t="str">
        <f t="shared" si="26"/>
        <v>040036202210</v>
      </c>
      <c r="U409">
        <f t="shared" si="27"/>
        <v>5.8401170000000002</v>
      </c>
    </row>
    <row r="410" spans="1:21" x14ac:dyDescent="0.35">
      <c r="A410" t="str">
        <f t="shared" si="24"/>
        <v>2022</v>
      </c>
      <c r="B410" t="str">
        <f t="shared" si="25"/>
        <v>10</v>
      </c>
      <c r="C410" t="s">
        <v>85</v>
      </c>
      <c r="D410">
        <v>202210</v>
      </c>
      <c r="E410" s="11" t="s">
        <v>25</v>
      </c>
      <c r="F410">
        <v>19.235600000000002</v>
      </c>
      <c r="G410">
        <v>19.235600000000002</v>
      </c>
      <c r="H410">
        <v>0</v>
      </c>
      <c r="I410">
        <v>0.61564200000000002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T410" t="str">
        <f t="shared" si="26"/>
        <v>040042202210</v>
      </c>
      <c r="U410">
        <f t="shared" si="27"/>
        <v>19.851242000000003</v>
      </c>
    </row>
    <row r="411" spans="1:21" x14ac:dyDescent="0.35">
      <c r="A411" t="str">
        <f t="shared" si="24"/>
        <v>2022</v>
      </c>
      <c r="B411" t="str">
        <f t="shared" si="25"/>
        <v>10</v>
      </c>
      <c r="C411" t="s">
        <v>85</v>
      </c>
      <c r="D411">
        <v>202210</v>
      </c>
      <c r="E411" s="11" t="s">
        <v>26</v>
      </c>
      <c r="F411">
        <v>2.3630460000000002</v>
      </c>
      <c r="G411">
        <v>2.3630460000000002</v>
      </c>
      <c r="H411">
        <v>0</v>
      </c>
      <c r="I411">
        <v>133.737787</v>
      </c>
      <c r="J411">
        <v>0</v>
      </c>
      <c r="K411">
        <v>0</v>
      </c>
      <c r="L411">
        <v>2.7185999999999998E-2</v>
      </c>
      <c r="M411">
        <v>2.7185999999999998E-2</v>
      </c>
      <c r="N411">
        <v>0</v>
      </c>
      <c r="O411">
        <v>0</v>
      </c>
      <c r="P411">
        <v>17.598488</v>
      </c>
      <c r="Q411">
        <v>40.260492999999997</v>
      </c>
      <c r="R411">
        <v>0</v>
      </c>
      <c r="T411" t="str">
        <f t="shared" si="26"/>
        <v>040044202210</v>
      </c>
      <c r="U411">
        <f t="shared" si="27"/>
        <v>136.10083299999999</v>
      </c>
    </row>
    <row r="412" spans="1:21" x14ac:dyDescent="0.35">
      <c r="A412" t="str">
        <f t="shared" si="24"/>
        <v>2022</v>
      </c>
      <c r="B412" t="str">
        <f t="shared" si="25"/>
        <v>10</v>
      </c>
      <c r="C412" t="s">
        <v>85</v>
      </c>
      <c r="D412">
        <v>202210</v>
      </c>
      <c r="E412" s="11" t="s">
        <v>27</v>
      </c>
      <c r="F412">
        <v>24.904759100000003</v>
      </c>
      <c r="G412">
        <v>24.904759100000003</v>
      </c>
      <c r="H412">
        <v>0</v>
      </c>
      <c r="I412">
        <v>12.54914657</v>
      </c>
      <c r="J412">
        <v>0.93226699999999996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T412" t="str">
        <f t="shared" si="26"/>
        <v>040058202210</v>
      </c>
      <c r="U412">
        <f t="shared" si="27"/>
        <v>38.386172670000008</v>
      </c>
    </row>
    <row r="413" spans="1:21" x14ac:dyDescent="0.35">
      <c r="A413" t="str">
        <f t="shared" si="24"/>
        <v>2022</v>
      </c>
      <c r="B413" t="str">
        <f t="shared" si="25"/>
        <v>10</v>
      </c>
      <c r="C413" t="s">
        <v>85</v>
      </c>
      <c r="D413">
        <v>202210</v>
      </c>
      <c r="E413" s="11" t="s">
        <v>28</v>
      </c>
      <c r="F413">
        <v>0</v>
      </c>
      <c r="G413">
        <v>0</v>
      </c>
      <c r="H413">
        <v>0</v>
      </c>
      <c r="I413">
        <v>38.921447999999998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T413" t="str">
        <f t="shared" si="26"/>
        <v>040059202210</v>
      </c>
      <c r="U413">
        <f t="shared" si="27"/>
        <v>38.921447999999998</v>
      </c>
    </row>
    <row r="414" spans="1:21" x14ac:dyDescent="0.35">
      <c r="A414" t="str">
        <f t="shared" si="24"/>
        <v>2022</v>
      </c>
      <c r="B414" t="str">
        <f t="shared" si="25"/>
        <v>10</v>
      </c>
      <c r="C414" t="s">
        <v>85</v>
      </c>
      <c r="D414">
        <v>202210</v>
      </c>
      <c r="E414" s="11" t="s">
        <v>62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T414" t="str">
        <f t="shared" si="26"/>
        <v>040060202210</v>
      </c>
      <c r="U414">
        <f t="shared" si="27"/>
        <v>0</v>
      </c>
    </row>
    <row r="415" spans="1:21" x14ac:dyDescent="0.35">
      <c r="A415" t="str">
        <f t="shared" si="24"/>
        <v>2022</v>
      </c>
      <c r="B415" t="str">
        <f t="shared" si="25"/>
        <v>10</v>
      </c>
      <c r="C415" t="s">
        <v>85</v>
      </c>
      <c r="D415">
        <v>202210</v>
      </c>
      <c r="E415" s="11" t="s">
        <v>29</v>
      </c>
      <c r="F415">
        <v>9.3132000000000006E-2</v>
      </c>
      <c r="G415">
        <v>9.3132000000000006E-2</v>
      </c>
      <c r="H415">
        <v>0</v>
      </c>
      <c r="I415">
        <v>56.710647000000002</v>
      </c>
      <c r="J415">
        <v>9.8433000000000007E-2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T415" t="str">
        <f t="shared" si="26"/>
        <v>040062202210</v>
      </c>
      <c r="U415">
        <f t="shared" si="27"/>
        <v>56.902211999999999</v>
      </c>
    </row>
    <row r="416" spans="1:21" x14ac:dyDescent="0.35">
      <c r="A416" t="str">
        <f t="shared" si="24"/>
        <v>2022</v>
      </c>
      <c r="B416" t="str">
        <f t="shared" si="25"/>
        <v>10</v>
      </c>
      <c r="C416" t="s">
        <v>85</v>
      </c>
      <c r="D416">
        <v>202210</v>
      </c>
      <c r="E416" s="11" t="s">
        <v>30</v>
      </c>
      <c r="F416">
        <v>62.933200859999999</v>
      </c>
      <c r="G416">
        <v>62.932121860000002</v>
      </c>
      <c r="H416">
        <v>0</v>
      </c>
      <c r="I416">
        <v>892.42597336999995</v>
      </c>
      <c r="J416">
        <v>183.07034937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T416" t="str">
        <f t="shared" si="26"/>
        <v>040072202210</v>
      </c>
      <c r="U416">
        <f t="shared" si="27"/>
        <v>1138.4295236</v>
      </c>
    </row>
    <row r="417" spans="1:21" x14ac:dyDescent="0.35">
      <c r="A417" t="str">
        <f t="shared" si="24"/>
        <v>2022</v>
      </c>
      <c r="B417" t="str">
        <f t="shared" si="25"/>
        <v>10</v>
      </c>
      <c r="C417" t="s">
        <v>85</v>
      </c>
      <c r="D417">
        <v>202210</v>
      </c>
      <c r="E417" s="11" t="s">
        <v>31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T417" t="str">
        <f t="shared" si="26"/>
        <v>040106202210</v>
      </c>
      <c r="U417">
        <f t="shared" si="27"/>
        <v>0</v>
      </c>
    </row>
    <row r="418" spans="1:21" x14ac:dyDescent="0.35">
      <c r="A418" t="str">
        <f t="shared" si="24"/>
        <v>2022</v>
      </c>
      <c r="B418" t="str">
        <f t="shared" si="25"/>
        <v>10</v>
      </c>
      <c r="C418" t="s">
        <v>85</v>
      </c>
      <c r="D418">
        <v>202210</v>
      </c>
      <c r="E418" s="11" t="s">
        <v>32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T418" t="str">
        <f t="shared" si="26"/>
        <v>040108202210</v>
      </c>
      <c r="U418">
        <f t="shared" si="27"/>
        <v>0</v>
      </c>
    </row>
    <row r="419" spans="1:21" x14ac:dyDescent="0.35">
      <c r="A419" t="str">
        <f t="shared" si="24"/>
        <v>2022</v>
      </c>
      <c r="B419" t="str">
        <f t="shared" si="25"/>
        <v>10</v>
      </c>
      <c r="C419" t="s">
        <v>85</v>
      </c>
      <c r="D419">
        <v>202210</v>
      </c>
      <c r="E419" s="11" t="s">
        <v>33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T419" t="str">
        <f t="shared" si="26"/>
        <v>040110202210</v>
      </c>
      <c r="U419">
        <f t="shared" si="27"/>
        <v>0</v>
      </c>
    </row>
    <row r="420" spans="1:21" x14ac:dyDescent="0.35">
      <c r="A420" t="str">
        <f t="shared" si="24"/>
        <v>2022</v>
      </c>
      <c r="B420" t="str">
        <f t="shared" si="25"/>
        <v>10</v>
      </c>
      <c r="C420" t="s">
        <v>85</v>
      </c>
      <c r="D420">
        <v>202210</v>
      </c>
      <c r="E420" s="11" t="s">
        <v>34</v>
      </c>
      <c r="F420">
        <v>0.59727584999999994</v>
      </c>
      <c r="G420">
        <v>0.57507581000000008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T420" t="str">
        <f t="shared" si="26"/>
        <v>040112202210</v>
      </c>
      <c r="U420">
        <f t="shared" si="27"/>
        <v>0.59727584999999994</v>
      </c>
    </row>
    <row r="421" spans="1:21" x14ac:dyDescent="0.35">
      <c r="A421" t="str">
        <f t="shared" si="24"/>
        <v>2022</v>
      </c>
      <c r="B421" t="str">
        <f t="shared" si="25"/>
        <v>10</v>
      </c>
      <c r="C421" t="s">
        <v>85</v>
      </c>
      <c r="D421">
        <v>202210</v>
      </c>
      <c r="E421" s="11" t="s">
        <v>35</v>
      </c>
      <c r="F421">
        <v>6.6069699999999996</v>
      </c>
      <c r="G421">
        <v>6.6069699999999996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0.64729700000000001</v>
      </c>
      <c r="R421">
        <v>0</v>
      </c>
      <c r="T421" t="str">
        <f t="shared" si="26"/>
        <v>040113202210</v>
      </c>
      <c r="U421">
        <f t="shared" si="27"/>
        <v>6.6069699999999996</v>
      </c>
    </row>
    <row r="422" spans="1:21" x14ac:dyDescent="0.35">
      <c r="A422" t="str">
        <f t="shared" si="24"/>
        <v>2022</v>
      </c>
      <c r="B422" t="str">
        <f t="shared" si="25"/>
        <v>10</v>
      </c>
      <c r="C422" t="s">
        <v>85</v>
      </c>
      <c r="D422">
        <v>202210</v>
      </c>
      <c r="E422" s="11" t="s">
        <v>36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T422" t="str">
        <f t="shared" si="26"/>
        <v>040126202210</v>
      </c>
      <c r="U422">
        <f t="shared" si="27"/>
        <v>0</v>
      </c>
    </row>
    <row r="423" spans="1:21" x14ac:dyDescent="0.35">
      <c r="A423" t="str">
        <f t="shared" si="24"/>
        <v>2022</v>
      </c>
      <c r="B423" t="str">
        <f t="shared" si="25"/>
        <v>10</v>
      </c>
      <c r="C423" t="s">
        <v>85</v>
      </c>
      <c r="D423">
        <v>202210</v>
      </c>
      <c r="E423" s="11" t="s">
        <v>37</v>
      </c>
      <c r="F423">
        <v>0</v>
      </c>
      <c r="G423">
        <v>0</v>
      </c>
      <c r="H423">
        <v>0</v>
      </c>
      <c r="I423">
        <v>558.20711634999998</v>
      </c>
      <c r="J423">
        <v>4.3519300000000004E-3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T423" t="str">
        <f t="shared" si="26"/>
        <v>040127202210</v>
      </c>
      <c r="U423">
        <f t="shared" si="27"/>
        <v>558.21146827999996</v>
      </c>
    </row>
    <row r="424" spans="1:21" x14ac:dyDescent="0.35">
      <c r="A424" t="str">
        <f t="shared" si="24"/>
        <v>2022</v>
      </c>
      <c r="B424" t="str">
        <f t="shared" si="25"/>
        <v>10</v>
      </c>
      <c r="C424" t="s">
        <v>85</v>
      </c>
      <c r="D424">
        <v>202210</v>
      </c>
      <c r="E424" s="11" t="s">
        <v>38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T424" t="str">
        <f t="shared" si="26"/>
        <v>040128202210</v>
      </c>
      <c r="U424">
        <f t="shared" si="27"/>
        <v>0</v>
      </c>
    </row>
    <row r="425" spans="1:21" x14ac:dyDescent="0.35">
      <c r="A425" t="str">
        <f t="shared" si="24"/>
        <v>2022</v>
      </c>
      <c r="B425" t="str">
        <f t="shared" si="25"/>
        <v>10</v>
      </c>
      <c r="C425" t="s">
        <v>85</v>
      </c>
      <c r="D425">
        <v>202210</v>
      </c>
      <c r="E425" s="11" t="s">
        <v>39</v>
      </c>
      <c r="F425">
        <v>0</v>
      </c>
      <c r="G425">
        <v>0</v>
      </c>
      <c r="H425">
        <v>0</v>
      </c>
      <c r="I425">
        <v>142.35155499999999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2.5152899999999998</v>
      </c>
      <c r="Q425">
        <v>0</v>
      </c>
      <c r="R425">
        <v>0</v>
      </c>
      <c r="T425" t="str">
        <f t="shared" si="26"/>
        <v>040130202210</v>
      </c>
      <c r="U425">
        <f t="shared" si="27"/>
        <v>142.35155499999999</v>
      </c>
    </row>
    <row r="426" spans="1:21" x14ac:dyDescent="0.35">
      <c r="A426" t="str">
        <f t="shared" si="24"/>
        <v>2022</v>
      </c>
      <c r="B426" t="str">
        <f t="shared" si="25"/>
        <v>10</v>
      </c>
      <c r="C426" t="s">
        <v>85</v>
      </c>
      <c r="D426">
        <v>202210</v>
      </c>
      <c r="E426" s="11" t="s">
        <v>40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T426" t="str">
        <f t="shared" si="26"/>
        <v>040132202210</v>
      </c>
      <c r="U426">
        <f t="shared" si="27"/>
        <v>0</v>
      </c>
    </row>
    <row r="427" spans="1:21" x14ac:dyDescent="0.35">
      <c r="A427" t="str">
        <f t="shared" si="24"/>
        <v>2022</v>
      </c>
      <c r="B427" t="str">
        <f t="shared" si="25"/>
        <v>10</v>
      </c>
      <c r="C427" t="s">
        <v>85</v>
      </c>
      <c r="D427">
        <v>202210</v>
      </c>
      <c r="E427" s="11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T427" t="str">
        <f t="shared" si="26"/>
        <v>040133202210</v>
      </c>
      <c r="U427">
        <f t="shared" si="27"/>
        <v>0</v>
      </c>
    </row>
    <row r="428" spans="1:21" x14ac:dyDescent="0.35">
      <c r="A428" t="str">
        <f t="shared" si="24"/>
        <v>2022</v>
      </c>
      <c r="B428" t="str">
        <f t="shared" si="25"/>
        <v>10</v>
      </c>
      <c r="C428" t="s">
        <v>85</v>
      </c>
      <c r="D428">
        <v>202210</v>
      </c>
      <c r="E428" s="11" t="s">
        <v>42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T428" t="str">
        <f t="shared" si="26"/>
        <v>040136202210</v>
      </c>
      <c r="U428">
        <f t="shared" si="27"/>
        <v>0</v>
      </c>
    </row>
    <row r="429" spans="1:21" x14ac:dyDescent="0.35">
      <c r="A429" t="str">
        <f t="shared" si="24"/>
        <v>2022</v>
      </c>
      <c r="B429" t="str">
        <f t="shared" si="25"/>
        <v>10</v>
      </c>
      <c r="C429" t="s">
        <v>85</v>
      </c>
      <c r="D429">
        <v>202210</v>
      </c>
      <c r="E429" s="11" t="s">
        <v>43</v>
      </c>
      <c r="F429">
        <v>0</v>
      </c>
      <c r="G429">
        <v>0</v>
      </c>
      <c r="H429">
        <v>0</v>
      </c>
      <c r="I429">
        <v>0.12801822999999998</v>
      </c>
      <c r="J429">
        <v>2.1871E-4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T429" t="str">
        <f t="shared" si="26"/>
        <v>040137202210</v>
      </c>
      <c r="U429">
        <f t="shared" si="27"/>
        <v>0.12823693999999999</v>
      </c>
    </row>
    <row r="430" spans="1:21" x14ac:dyDescent="0.35">
      <c r="A430" t="str">
        <f t="shared" si="24"/>
        <v>2022</v>
      </c>
      <c r="B430" t="str">
        <f t="shared" si="25"/>
        <v>10</v>
      </c>
      <c r="C430" t="s">
        <v>85</v>
      </c>
      <c r="D430">
        <v>202210</v>
      </c>
      <c r="E430" s="11" t="s">
        <v>44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T430" t="str">
        <f t="shared" si="26"/>
        <v>040138202210</v>
      </c>
      <c r="U430">
        <f t="shared" si="27"/>
        <v>0</v>
      </c>
    </row>
    <row r="431" spans="1:21" x14ac:dyDescent="0.35">
      <c r="A431" t="str">
        <f t="shared" si="24"/>
        <v>2022</v>
      </c>
      <c r="B431" t="str">
        <f t="shared" si="25"/>
        <v>10</v>
      </c>
      <c r="C431" t="s">
        <v>85</v>
      </c>
      <c r="D431">
        <v>202210</v>
      </c>
      <c r="E431" s="11" t="s">
        <v>45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T431" t="str">
        <f t="shared" si="26"/>
        <v>040139202210</v>
      </c>
      <c r="U431">
        <f t="shared" si="27"/>
        <v>0</v>
      </c>
    </row>
    <row r="432" spans="1:21" x14ac:dyDescent="0.35">
      <c r="A432" t="str">
        <f t="shared" si="24"/>
        <v>2022</v>
      </c>
      <c r="B432" t="str">
        <f t="shared" si="25"/>
        <v>10</v>
      </c>
      <c r="C432" t="s">
        <v>85</v>
      </c>
      <c r="D432">
        <v>202210</v>
      </c>
      <c r="E432" s="11" t="s">
        <v>46</v>
      </c>
      <c r="F432">
        <v>0</v>
      </c>
      <c r="G432">
        <v>0</v>
      </c>
      <c r="H432">
        <v>0</v>
      </c>
      <c r="I432">
        <v>21.088075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T432" t="str">
        <f t="shared" si="26"/>
        <v>040140202210</v>
      </c>
      <c r="U432">
        <f t="shared" si="27"/>
        <v>21.088075</v>
      </c>
    </row>
    <row r="433" spans="1:21" x14ac:dyDescent="0.35">
      <c r="A433" t="str">
        <f t="shared" si="24"/>
        <v>2022</v>
      </c>
      <c r="B433" t="str">
        <f t="shared" si="25"/>
        <v>10</v>
      </c>
      <c r="C433" t="s">
        <v>85</v>
      </c>
      <c r="D433">
        <v>202210</v>
      </c>
      <c r="E433" s="11" t="s">
        <v>47</v>
      </c>
      <c r="F433">
        <v>0</v>
      </c>
      <c r="G433">
        <v>0</v>
      </c>
      <c r="H433">
        <v>0</v>
      </c>
      <c r="I433">
        <v>8.5006999999999999E-2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T433" t="str">
        <f t="shared" si="26"/>
        <v>040141202210</v>
      </c>
      <c r="U433">
        <f t="shared" si="27"/>
        <v>8.5006999999999999E-2</v>
      </c>
    </row>
    <row r="434" spans="1:21" x14ac:dyDescent="0.35">
      <c r="A434" t="str">
        <f t="shared" si="24"/>
        <v>2022</v>
      </c>
      <c r="B434" t="str">
        <f t="shared" si="25"/>
        <v>10</v>
      </c>
      <c r="C434" t="s">
        <v>85</v>
      </c>
      <c r="D434">
        <v>202210</v>
      </c>
      <c r="E434" s="11" t="s">
        <v>48</v>
      </c>
      <c r="F434">
        <v>2.30990421</v>
      </c>
      <c r="G434">
        <v>1.6346762500000001</v>
      </c>
      <c r="H434">
        <v>0.67522795999999996</v>
      </c>
      <c r="I434">
        <v>1.7025048999999999</v>
      </c>
      <c r="J434">
        <v>0.45733809000000003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7.7705087199999996</v>
      </c>
      <c r="Q434">
        <v>0.51015190999999993</v>
      </c>
      <c r="R434">
        <v>0</v>
      </c>
      <c r="T434" t="str">
        <f t="shared" si="26"/>
        <v>040143202210</v>
      </c>
      <c r="U434">
        <f t="shared" si="27"/>
        <v>4.4697472000000005</v>
      </c>
    </row>
    <row r="435" spans="1:21" x14ac:dyDescent="0.35">
      <c r="A435" t="str">
        <f t="shared" si="24"/>
        <v>2022</v>
      </c>
      <c r="B435" t="str">
        <f t="shared" si="25"/>
        <v>10</v>
      </c>
      <c r="C435" t="s">
        <v>85</v>
      </c>
      <c r="D435">
        <v>202210</v>
      </c>
      <c r="E435" s="11" t="s">
        <v>49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T435" t="str">
        <f t="shared" si="26"/>
        <v>040145202210</v>
      </c>
      <c r="U435">
        <f t="shared" si="27"/>
        <v>0</v>
      </c>
    </row>
    <row r="436" spans="1:21" x14ac:dyDescent="0.35">
      <c r="A436" t="str">
        <f t="shared" si="24"/>
        <v>2022</v>
      </c>
      <c r="B436" t="str">
        <f t="shared" si="25"/>
        <v>10</v>
      </c>
      <c r="C436" t="s">
        <v>85</v>
      </c>
      <c r="D436">
        <v>202210</v>
      </c>
      <c r="E436" s="11" t="s">
        <v>50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T436" t="str">
        <f t="shared" si="26"/>
        <v>040147202210</v>
      </c>
      <c r="U436">
        <f t="shared" si="27"/>
        <v>0</v>
      </c>
    </row>
    <row r="437" spans="1:21" x14ac:dyDescent="0.35">
      <c r="A437" t="str">
        <f t="shared" si="24"/>
        <v>2022</v>
      </c>
      <c r="B437" t="str">
        <f t="shared" si="25"/>
        <v>10</v>
      </c>
      <c r="C437" t="s">
        <v>85</v>
      </c>
      <c r="D437">
        <v>202210</v>
      </c>
      <c r="E437" s="11" t="s">
        <v>51</v>
      </c>
      <c r="F437">
        <v>0.67012799999999995</v>
      </c>
      <c r="G437">
        <v>0.67012799999999995</v>
      </c>
      <c r="H437">
        <v>0</v>
      </c>
      <c r="I437">
        <v>10.831239999999999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0.32716600000000001</v>
      </c>
      <c r="Q437">
        <v>0</v>
      </c>
      <c r="R437">
        <v>0</v>
      </c>
      <c r="T437" t="str">
        <f t="shared" si="26"/>
        <v>040149202210</v>
      </c>
      <c r="U437">
        <f t="shared" si="27"/>
        <v>11.501367999999999</v>
      </c>
    </row>
    <row r="438" spans="1:21" x14ac:dyDescent="0.35">
      <c r="A438" t="str">
        <f t="shared" si="24"/>
        <v>2022</v>
      </c>
      <c r="B438" t="str">
        <f t="shared" si="25"/>
        <v>10</v>
      </c>
      <c r="C438" t="s">
        <v>85</v>
      </c>
      <c r="D438">
        <v>202210</v>
      </c>
      <c r="E438" s="11" t="s">
        <v>52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T438" t="str">
        <f t="shared" si="26"/>
        <v>040150202210</v>
      </c>
      <c r="U438">
        <f t="shared" si="27"/>
        <v>0</v>
      </c>
    </row>
    <row r="439" spans="1:21" x14ac:dyDescent="0.35">
      <c r="A439" t="str">
        <f t="shared" si="24"/>
        <v>2022</v>
      </c>
      <c r="B439" t="str">
        <f t="shared" si="25"/>
        <v>10</v>
      </c>
      <c r="C439" t="s">
        <v>85</v>
      </c>
      <c r="D439">
        <v>202210</v>
      </c>
      <c r="E439" s="11" t="s">
        <v>53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T439" t="str">
        <f t="shared" si="26"/>
        <v>040151202210</v>
      </c>
      <c r="U439">
        <f t="shared" si="27"/>
        <v>0</v>
      </c>
    </row>
    <row r="440" spans="1:21" x14ac:dyDescent="0.35">
      <c r="A440" t="str">
        <f t="shared" si="24"/>
        <v>2022</v>
      </c>
      <c r="B440" t="str">
        <f t="shared" si="25"/>
        <v>10</v>
      </c>
      <c r="C440" t="s">
        <v>85</v>
      </c>
      <c r="D440">
        <v>202210</v>
      </c>
      <c r="E440" s="11" t="s">
        <v>54</v>
      </c>
      <c r="F440">
        <v>3.8460133999999999</v>
      </c>
      <c r="G440">
        <v>0</v>
      </c>
      <c r="H440">
        <v>3.8460133999999999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T440" t="str">
        <f t="shared" si="26"/>
        <v>040152202210</v>
      </c>
      <c r="U440">
        <f t="shared" si="27"/>
        <v>3.8460133999999999</v>
      </c>
    </row>
    <row r="441" spans="1:21" x14ac:dyDescent="0.35">
      <c r="A441" t="str">
        <f t="shared" si="24"/>
        <v>2022</v>
      </c>
      <c r="B441" t="str">
        <f t="shared" si="25"/>
        <v>10</v>
      </c>
      <c r="C441" t="s">
        <v>85</v>
      </c>
      <c r="D441">
        <v>202210</v>
      </c>
      <c r="E441" s="11" t="s">
        <v>55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T441" t="str">
        <f t="shared" si="26"/>
        <v>040154202210</v>
      </c>
      <c r="U441">
        <f t="shared" si="27"/>
        <v>0</v>
      </c>
    </row>
    <row r="442" spans="1:21" x14ac:dyDescent="0.35">
      <c r="A442" t="str">
        <f t="shared" si="24"/>
        <v>2022</v>
      </c>
      <c r="B442" t="str">
        <f t="shared" si="25"/>
        <v>10</v>
      </c>
      <c r="C442" t="s">
        <v>85</v>
      </c>
      <c r="D442">
        <v>202210</v>
      </c>
      <c r="E442" s="11" t="s">
        <v>56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T442" t="str">
        <f t="shared" si="26"/>
        <v>040155202210</v>
      </c>
      <c r="U442">
        <f t="shared" si="27"/>
        <v>0</v>
      </c>
    </row>
    <row r="443" spans="1:21" x14ac:dyDescent="0.35">
      <c r="A443" t="str">
        <f t="shared" si="24"/>
        <v>2022</v>
      </c>
      <c r="B443" t="str">
        <f t="shared" si="25"/>
        <v>10</v>
      </c>
      <c r="C443" t="s">
        <v>85</v>
      </c>
      <c r="D443">
        <v>202210</v>
      </c>
      <c r="E443" s="11" t="s">
        <v>57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0.37601099999999998</v>
      </c>
      <c r="M443">
        <v>0.37601099999999998</v>
      </c>
      <c r="N443">
        <v>0</v>
      </c>
      <c r="O443">
        <v>0</v>
      </c>
      <c r="P443">
        <v>0</v>
      </c>
      <c r="Q443">
        <v>0</v>
      </c>
      <c r="R443">
        <v>0</v>
      </c>
      <c r="T443" t="str">
        <f t="shared" si="26"/>
        <v>040156202210</v>
      </c>
      <c r="U443">
        <f t="shared" si="27"/>
        <v>0</v>
      </c>
    </row>
    <row r="444" spans="1:21" x14ac:dyDescent="0.35">
      <c r="A444" t="str">
        <f t="shared" si="24"/>
        <v>2022</v>
      </c>
      <c r="B444" t="str">
        <f t="shared" si="25"/>
        <v>10</v>
      </c>
      <c r="C444" t="s">
        <v>85</v>
      </c>
      <c r="D444">
        <v>202210</v>
      </c>
      <c r="E444" s="11" t="s">
        <v>58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T444" t="str">
        <f t="shared" si="26"/>
        <v>040157202210</v>
      </c>
      <c r="U444">
        <f t="shared" si="27"/>
        <v>0</v>
      </c>
    </row>
    <row r="445" spans="1:21" x14ac:dyDescent="0.35">
      <c r="A445" t="str">
        <f t="shared" si="24"/>
        <v>2022</v>
      </c>
      <c r="B445" t="str">
        <f t="shared" si="25"/>
        <v>10</v>
      </c>
      <c r="C445" t="s">
        <v>85</v>
      </c>
      <c r="D445">
        <v>202210</v>
      </c>
      <c r="E445" s="11" t="s">
        <v>59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T445" t="str">
        <f t="shared" si="26"/>
        <v>040158202210</v>
      </c>
      <c r="U445">
        <f t="shared" si="27"/>
        <v>0</v>
      </c>
    </row>
    <row r="446" spans="1:21" x14ac:dyDescent="0.35">
      <c r="A446" t="str">
        <f t="shared" si="24"/>
        <v>2022</v>
      </c>
      <c r="B446" t="str">
        <f t="shared" si="25"/>
        <v>10</v>
      </c>
      <c r="C446" t="s">
        <v>85</v>
      </c>
      <c r="D446">
        <v>202210</v>
      </c>
      <c r="E446" s="11" t="s">
        <v>60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T446" t="str">
        <f t="shared" si="26"/>
        <v>040159202210</v>
      </c>
      <c r="U446">
        <f t="shared" si="27"/>
        <v>0</v>
      </c>
    </row>
    <row r="447" spans="1:21" x14ac:dyDescent="0.35">
      <c r="A447" t="str">
        <f t="shared" si="24"/>
        <v>2022</v>
      </c>
      <c r="B447" t="str">
        <f t="shared" si="25"/>
        <v>10</v>
      </c>
      <c r="C447" t="s">
        <v>85</v>
      </c>
      <c r="D447">
        <v>202210</v>
      </c>
      <c r="E447" s="11" t="s">
        <v>63</v>
      </c>
      <c r="F447">
        <v>0.46767500000000001</v>
      </c>
      <c r="G447">
        <v>0</v>
      </c>
      <c r="H447">
        <v>0.46767500000000001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T447" t="str">
        <f t="shared" si="26"/>
        <v>040160202210</v>
      </c>
      <c r="U447">
        <f t="shared" si="27"/>
        <v>0.46767500000000001</v>
      </c>
    </row>
    <row r="448" spans="1:21" x14ac:dyDescent="0.35">
      <c r="A448" t="str">
        <f t="shared" si="24"/>
        <v>2022</v>
      </c>
      <c r="B448" t="str">
        <f t="shared" si="25"/>
        <v>10</v>
      </c>
      <c r="C448" t="s">
        <v>85</v>
      </c>
      <c r="D448">
        <v>202210</v>
      </c>
      <c r="E448" s="11" t="s">
        <v>61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T448" t="str">
        <f t="shared" si="26"/>
        <v>040162202210</v>
      </c>
      <c r="U448">
        <f t="shared" si="27"/>
        <v>0</v>
      </c>
    </row>
    <row r="449" spans="1:21" x14ac:dyDescent="0.35">
      <c r="A449" t="str">
        <f t="shared" si="24"/>
        <v>2022</v>
      </c>
      <c r="B449" t="str">
        <f t="shared" si="25"/>
        <v>11</v>
      </c>
      <c r="C449" t="s">
        <v>86</v>
      </c>
      <c r="D449">
        <v>202211</v>
      </c>
      <c r="E449" s="11">
        <v>5</v>
      </c>
      <c r="F449">
        <v>672.52731781</v>
      </c>
      <c r="G449">
        <v>671.86721853999995</v>
      </c>
      <c r="H449">
        <v>0.64354739999999999</v>
      </c>
      <c r="I449">
        <v>5713.96709706</v>
      </c>
      <c r="J449">
        <v>1387.6083644100001</v>
      </c>
      <c r="K449">
        <v>30.183952999999999</v>
      </c>
      <c r="L449">
        <v>6.3580370000000004</v>
      </c>
      <c r="M449">
        <v>6.3580370000000004</v>
      </c>
      <c r="N449">
        <v>0</v>
      </c>
      <c r="O449">
        <v>0</v>
      </c>
      <c r="P449">
        <v>46.5830105</v>
      </c>
      <c r="Q449">
        <v>50.886518700000003</v>
      </c>
      <c r="R449">
        <v>0</v>
      </c>
      <c r="T449" t="str">
        <f t="shared" si="26"/>
        <v>5202211</v>
      </c>
      <c r="U449">
        <f t="shared" si="27"/>
        <v>7774.1027792799996</v>
      </c>
    </row>
    <row r="450" spans="1:21" x14ac:dyDescent="0.35">
      <c r="A450" t="str">
        <f t="shared" si="24"/>
        <v>2022</v>
      </c>
      <c r="B450" t="str">
        <f t="shared" si="25"/>
        <v>11</v>
      </c>
      <c r="C450" t="s">
        <v>86</v>
      </c>
      <c r="D450">
        <v>202211</v>
      </c>
      <c r="E450" s="11" t="s">
        <v>19</v>
      </c>
      <c r="F450">
        <v>50.83652</v>
      </c>
      <c r="G450">
        <v>50.83652</v>
      </c>
      <c r="H450">
        <v>0</v>
      </c>
      <c r="I450">
        <v>160.95223899999999</v>
      </c>
      <c r="J450">
        <v>140.628849</v>
      </c>
      <c r="K450">
        <v>30.183952999999999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T450" t="str">
        <f t="shared" si="26"/>
        <v>040002202211</v>
      </c>
      <c r="U450">
        <f t="shared" si="27"/>
        <v>352.41760799999997</v>
      </c>
    </row>
    <row r="451" spans="1:21" x14ac:dyDescent="0.35">
      <c r="A451" t="str">
        <f t="shared" ref="A451:A494" si="28">LEFT(D451,4)</f>
        <v>2022</v>
      </c>
      <c r="B451" t="str">
        <f t="shared" ref="B451:B494" si="29">RIGHT(D451,2)</f>
        <v>11</v>
      </c>
      <c r="C451" t="s">
        <v>86</v>
      </c>
      <c r="D451">
        <v>202211</v>
      </c>
      <c r="E451" s="11" t="s">
        <v>20</v>
      </c>
      <c r="F451">
        <v>131.15165765999998</v>
      </c>
      <c r="G451">
        <v>131.15165765999998</v>
      </c>
      <c r="H451">
        <v>0</v>
      </c>
      <c r="I451">
        <v>2364.0890728700001</v>
      </c>
      <c r="J451">
        <v>236.70069554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T451" t="str">
        <f t="shared" ref="T451:T514" si="30">+E451&amp;D451</f>
        <v>040012202211</v>
      </c>
      <c r="U451">
        <f t="shared" ref="U451:U514" si="31">+F451+I451+J451</f>
        <v>2731.9414260700005</v>
      </c>
    </row>
    <row r="452" spans="1:21" x14ac:dyDescent="0.35">
      <c r="A452" t="str">
        <f t="shared" si="28"/>
        <v>2022</v>
      </c>
      <c r="B452" t="str">
        <f t="shared" si="29"/>
        <v>11</v>
      </c>
      <c r="C452" t="s">
        <v>86</v>
      </c>
      <c r="D452">
        <v>202211</v>
      </c>
      <c r="E452" s="11" t="s">
        <v>21</v>
      </c>
      <c r="F452">
        <v>203.81514799999999</v>
      </c>
      <c r="G452">
        <v>203.81514799999999</v>
      </c>
      <c r="H452">
        <v>0</v>
      </c>
      <c r="I452">
        <v>313.48759899999999</v>
      </c>
      <c r="J452">
        <v>761.86204299999997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T452" t="str">
        <f t="shared" si="30"/>
        <v>040014202211</v>
      </c>
      <c r="U452">
        <f t="shared" si="31"/>
        <v>1279.1647899999998</v>
      </c>
    </row>
    <row r="453" spans="1:21" x14ac:dyDescent="0.35">
      <c r="A453" t="str">
        <f t="shared" si="28"/>
        <v>2022</v>
      </c>
      <c r="B453" t="str">
        <f t="shared" si="29"/>
        <v>11</v>
      </c>
      <c r="C453" t="s">
        <v>86</v>
      </c>
      <c r="D453">
        <v>202211</v>
      </c>
      <c r="E453" s="11" t="s">
        <v>22</v>
      </c>
      <c r="F453">
        <v>53.804912999999999</v>
      </c>
      <c r="G453">
        <v>53.804912999999999</v>
      </c>
      <c r="H453">
        <v>0</v>
      </c>
      <c r="I453">
        <v>698.00594899999999</v>
      </c>
      <c r="J453">
        <v>31.346530000000001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21.160216999999999</v>
      </c>
      <c r="Q453">
        <v>19.220828000000001</v>
      </c>
      <c r="R453">
        <v>0</v>
      </c>
      <c r="T453" t="str">
        <f t="shared" si="30"/>
        <v>040021202211</v>
      </c>
      <c r="U453">
        <f t="shared" si="31"/>
        <v>783.15739200000007</v>
      </c>
    </row>
    <row r="454" spans="1:21" x14ac:dyDescent="0.35">
      <c r="A454" t="str">
        <f t="shared" si="28"/>
        <v>2022</v>
      </c>
      <c r="B454" t="str">
        <f t="shared" si="29"/>
        <v>11</v>
      </c>
      <c r="C454" t="s">
        <v>86</v>
      </c>
      <c r="D454">
        <v>202211</v>
      </c>
      <c r="E454" s="11" t="s">
        <v>23</v>
      </c>
      <c r="F454">
        <v>10.1999175</v>
      </c>
      <c r="G454">
        <v>10.1999175</v>
      </c>
      <c r="H454">
        <v>0</v>
      </c>
      <c r="I454">
        <v>21.290340929999999</v>
      </c>
      <c r="J454">
        <v>7.7691231199999997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0.83439302999999998</v>
      </c>
      <c r="R454">
        <v>0</v>
      </c>
      <c r="T454" t="str">
        <f t="shared" si="30"/>
        <v>040030202211</v>
      </c>
      <c r="U454">
        <f t="shared" si="31"/>
        <v>39.259381550000001</v>
      </c>
    </row>
    <row r="455" spans="1:21" x14ac:dyDescent="0.35">
      <c r="A455" t="str">
        <f t="shared" si="28"/>
        <v>2022</v>
      </c>
      <c r="B455" t="str">
        <f t="shared" si="29"/>
        <v>11</v>
      </c>
      <c r="C455" t="s">
        <v>86</v>
      </c>
      <c r="D455">
        <v>202211</v>
      </c>
      <c r="E455" s="11" t="s">
        <v>24</v>
      </c>
      <c r="F455">
        <v>0</v>
      </c>
      <c r="G455">
        <v>0</v>
      </c>
      <c r="H455">
        <v>0</v>
      </c>
      <c r="I455">
        <v>5.2718790000000002</v>
      </c>
      <c r="J455">
        <v>1.1065E-2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T455" t="str">
        <f t="shared" si="30"/>
        <v>040036202211</v>
      </c>
      <c r="U455">
        <f t="shared" si="31"/>
        <v>5.2829440000000005</v>
      </c>
    </row>
    <row r="456" spans="1:21" x14ac:dyDescent="0.35">
      <c r="A456" t="str">
        <f t="shared" si="28"/>
        <v>2022</v>
      </c>
      <c r="B456" t="str">
        <f t="shared" si="29"/>
        <v>11</v>
      </c>
      <c r="C456" t="s">
        <v>86</v>
      </c>
      <c r="D456">
        <v>202211</v>
      </c>
      <c r="E456" s="11" t="s">
        <v>25</v>
      </c>
      <c r="F456">
        <v>23.586465</v>
      </c>
      <c r="G456">
        <v>23.586465</v>
      </c>
      <c r="H456">
        <v>0</v>
      </c>
      <c r="I456">
        <v>1.3366979999999999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T456" t="str">
        <f t="shared" si="30"/>
        <v>040042202211</v>
      </c>
      <c r="U456">
        <f t="shared" si="31"/>
        <v>24.923162999999999</v>
      </c>
    </row>
    <row r="457" spans="1:21" x14ac:dyDescent="0.35">
      <c r="A457" t="str">
        <f t="shared" si="28"/>
        <v>2022</v>
      </c>
      <c r="B457" t="str">
        <f t="shared" si="29"/>
        <v>11</v>
      </c>
      <c r="C457" t="s">
        <v>86</v>
      </c>
      <c r="D457">
        <v>202211</v>
      </c>
      <c r="E457" s="11" t="s">
        <v>26</v>
      </c>
      <c r="F457">
        <v>3.3502160000000001</v>
      </c>
      <c r="G457">
        <v>3.3502160000000001</v>
      </c>
      <c r="H457">
        <v>0</v>
      </c>
      <c r="I457">
        <v>147.52501000000001</v>
      </c>
      <c r="J457">
        <v>0</v>
      </c>
      <c r="K457">
        <v>0</v>
      </c>
      <c r="L457">
        <v>5.7876149999999997</v>
      </c>
      <c r="M457">
        <v>5.7876149999999997</v>
      </c>
      <c r="N457">
        <v>0</v>
      </c>
      <c r="O457">
        <v>0</v>
      </c>
      <c r="P457">
        <v>16.485804000000002</v>
      </c>
      <c r="Q457">
        <v>26.741551999999999</v>
      </c>
      <c r="R457">
        <v>0</v>
      </c>
      <c r="T457" t="str">
        <f t="shared" si="30"/>
        <v>040044202211</v>
      </c>
      <c r="U457">
        <f t="shared" si="31"/>
        <v>150.875226</v>
      </c>
    </row>
    <row r="458" spans="1:21" x14ac:dyDescent="0.35">
      <c r="A458" t="str">
        <f t="shared" si="28"/>
        <v>2022</v>
      </c>
      <c r="B458" t="str">
        <f t="shared" si="29"/>
        <v>11</v>
      </c>
      <c r="C458" t="s">
        <v>86</v>
      </c>
      <c r="D458">
        <v>202211</v>
      </c>
      <c r="E458" s="11" t="s">
        <v>27</v>
      </c>
      <c r="F458">
        <v>26.286930329999997</v>
      </c>
      <c r="G458">
        <v>26.286930329999997</v>
      </c>
      <c r="H458">
        <v>0</v>
      </c>
      <c r="I458">
        <v>18.74776597</v>
      </c>
      <c r="J458">
        <v>1.29596694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T458" t="str">
        <f t="shared" si="30"/>
        <v>040058202211</v>
      </c>
      <c r="U458">
        <f t="shared" si="31"/>
        <v>46.330663239999993</v>
      </c>
    </row>
    <row r="459" spans="1:21" x14ac:dyDescent="0.35">
      <c r="A459" t="str">
        <f t="shared" si="28"/>
        <v>2022</v>
      </c>
      <c r="B459" t="str">
        <f t="shared" si="29"/>
        <v>11</v>
      </c>
      <c r="C459" t="s">
        <v>86</v>
      </c>
      <c r="D459">
        <v>202211</v>
      </c>
      <c r="E459" s="11" t="s">
        <v>28</v>
      </c>
      <c r="F459">
        <v>0</v>
      </c>
      <c r="G459">
        <v>0</v>
      </c>
      <c r="H459">
        <v>0</v>
      </c>
      <c r="I459">
        <v>42.812047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T459" t="str">
        <f t="shared" si="30"/>
        <v>040059202211</v>
      </c>
      <c r="U459">
        <f t="shared" si="31"/>
        <v>42.812047</v>
      </c>
    </row>
    <row r="460" spans="1:21" x14ac:dyDescent="0.35">
      <c r="A460" t="str">
        <f t="shared" si="28"/>
        <v>2022</v>
      </c>
      <c r="B460" t="str">
        <f t="shared" si="29"/>
        <v>11</v>
      </c>
      <c r="C460" t="s">
        <v>86</v>
      </c>
      <c r="D460">
        <v>202211</v>
      </c>
      <c r="E460" s="11" t="s">
        <v>62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T460" t="str">
        <f t="shared" si="30"/>
        <v>040060202211</v>
      </c>
      <c r="U460">
        <f t="shared" si="31"/>
        <v>0</v>
      </c>
    </row>
    <row r="461" spans="1:21" x14ac:dyDescent="0.35">
      <c r="A461" t="str">
        <f t="shared" si="28"/>
        <v>2022</v>
      </c>
      <c r="B461" t="str">
        <f t="shared" si="29"/>
        <v>11</v>
      </c>
      <c r="C461" t="s">
        <v>86</v>
      </c>
      <c r="D461">
        <v>202211</v>
      </c>
      <c r="E461" s="11" t="s">
        <v>29</v>
      </c>
      <c r="F461">
        <v>18.431412000000002</v>
      </c>
      <c r="G461">
        <v>18.431412000000002</v>
      </c>
      <c r="H461">
        <v>0</v>
      </c>
      <c r="I461">
        <v>51.331477</v>
      </c>
      <c r="J461">
        <v>0.15218499999999999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T461" t="str">
        <f t="shared" si="30"/>
        <v>040062202211</v>
      </c>
      <c r="U461">
        <f t="shared" si="31"/>
        <v>69.915074000000004</v>
      </c>
    </row>
    <row r="462" spans="1:21" x14ac:dyDescent="0.35">
      <c r="A462" t="str">
        <f t="shared" si="28"/>
        <v>2022</v>
      </c>
      <c r="B462" t="str">
        <f t="shared" si="29"/>
        <v>11</v>
      </c>
      <c r="C462" t="s">
        <v>86</v>
      </c>
      <c r="D462">
        <v>202211</v>
      </c>
      <c r="E462" s="11" t="s">
        <v>30</v>
      </c>
      <c r="F462">
        <v>80.734733579999997</v>
      </c>
      <c r="G462">
        <v>80.734733579999997</v>
      </c>
      <c r="H462">
        <v>0</v>
      </c>
      <c r="I462">
        <v>936.45483815</v>
      </c>
      <c r="J462">
        <v>207.69630025000001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T462" t="str">
        <f t="shared" si="30"/>
        <v>040072202211</v>
      </c>
      <c r="U462">
        <f t="shared" si="31"/>
        <v>1224.88587198</v>
      </c>
    </row>
    <row r="463" spans="1:21" x14ac:dyDescent="0.35">
      <c r="A463" t="str">
        <f t="shared" si="28"/>
        <v>2022</v>
      </c>
      <c r="B463" t="str">
        <f t="shared" si="29"/>
        <v>11</v>
      </c>
      <c r="C463" t="s">
        <v>86</v>
      </c>
      <c r="D463">
        <v>202211</v>
      </c>
      <c r="E463" s="11" t="s">
        <v>31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T463" t="str">
        <f t="shared" si="30"/>
        <v>040106202211</v>
      </c>
      <c r="U463">
        <f t="shared" si="31"/>
        <v>0</v>
      </c>
    </row>
    <row r="464" spans="1:21" x14ac:dyDescent="0.35">
      <c r="A464" t="str">
        <f t="shared" si="28"/>
        <v>2022</v>
      </c>
      <c r="B464" t="str">
        <f t="shared" si="29"/>
        <v>11</v>
      </c>
      <c r="C464" t="s">
        <v>86</v>
      </c>
      <c r="D464">
        <v>202211</v>
      </c>
      <c r="E464" s="11" t="s">
        <v>32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T464" t="str">
        <f t="shared" si="30"/>
        <v>040108202211</v>
      </c>
      <c r="U464">
        <f t="shared" si="31"/>
        <v>0</v>
      </c>
    </row>
    <row r="465" spans="1:21" x14ac:dyDescent="0.35">
      <c r="A465" t="str">
        <f t="shared" si="28"/>
        <v>2022</v>
      </c>
      <c r="B465" t="str">
        <f t="shared" si="29"/>
        <v>11</v>
      </c>
      <c r="C465" t="s">
        <v>86</v>
      </c>
      <c r="D465">
        <v>202211</v>
      </c>
      <c r="E465" s="11" t="s">
        <v>33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T465" t="str">
        <f t="shared" si="30"/>
        <v>040110202211</v>
      </c>
      <c r="U465">
        <f t="shared" si="31"/>
        <v>0</v>
      </c>
    </row>
    <row r="466" spans="1:21" x14ac:dyDescent="0.35">
      <c r="A466" t="str">
        <f t="shared" si="28"/>
        <v>2022</v>
      </c>
      <c r="B466" t="str">
        <f t="shared" si="29"/>
        <v>11</v>
      </c>
      <c r="C466" t="s">
        <v>86</v>
      </c>
      <c r="D466">
        <v>202211</v>
      </c>
      <c r="E466" s="11" t="s">
        <v>34</v>
      </c>
      <c r="F466">
        <v>33.704246399999995</v>
      </c>
      <c r="G466">
        <v>33.687694530000002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T466" t="str">
        <f t="shared" si="30"/>
        <v>040112202211</v>
      </c>
      <c r="U466">
        <f t="shared" si="31"/>
        <v>33.704246399999995</v>
      </c>
    </row>
    <row r="467" spans="1:21" x14ac:dyDescent="0.35">
      <c r="A467" t="str">
        <f t="shared" si="28"/>
        <v>2022</v>
      </c>
      <c r="B467" t="str">
        <f t="shared" si="29"/>
        <v>11</v>
      </c>
      <c r="C467" t="s">
        <v>86</v>
      </c>
      <c r="D467">
        <v>202211</v>
      </c>
      <c r="E467" s="11" t="s">
        <v>35</v>
      </c>
      <c r="F467">
        <v>31.928567000000001</v>
      </c>
      <c r="G467">
        <v>31.928567000000001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2.0269300000000001</v>
      </c>
      <c r="R467">
        <v>0</v>
      </c>
      <c r="T467" t="str">
        <f t="shared" si="30"/>
        <v>040113202211</v>
      </c>
      <c r="U467">
        <f t="shared" si="31"/>
        <v>31.928567000000001</v>
      </c>
    </row>
    <row r="468" spans="1:21" x14ac:dyDescent="0.35">
      <c r="A468" t="str">
        <f t="shared" si="28"/>
        <v>2022</v>
      </c>
      <c r="B468" t="str">
        <f t="shared" si="29"/>
        <v>11</v>
      </c>
      <c r="C468" t="s">
        <v>86</v>
      </c>
      <c r="D468">
        <v>202211</v>
      </c>
      <c r="E468" s="11" t="s">
        <v>36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T468" t="str">
        <f t="shared" si="30"/>
        <v>040126202211</v>
      </c>
      <c r="U468">
        <f t="shared" si="31"/>
        <v>0</v>
      </c>
    </row>
    <row r="469" spans="1:21" x14ac:dyDescent="0.35">
      <c r="A469" t="str">
        <f t="shared" si="28"/>
        <v>2022</v>
      </c>
      <c r="B469" t="str">
        <f t="shared" si="29"/>
        <v>11</v>
      </c>
      <c r="C469" t="s">
        <v>86</v>
      </c>
      <c r="D469">
        <v>202211</v>
      </c>
      <c r="E469" s="11" t="s">
        <v>37</v>
      </c>
      <c r="F469">
        <v>0</v>
      </c>
      <c r="G469">
        <v>0</v>
      </c>
      <c r="H469">
        <v>0</v>
      </c>
      <c r="I469">
        <v>705.86725645000001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T469" t="str">
        <f t="shared" si="30"/>
        <v>040127202211</v>
      </c>
      <c r="U469">
        <f t="shared" si="31"/>
        <v>705.86725645000001</v>
      </c>
    </row>
    <row r="470" spans="1:21" x14ac:dyDescent="0.35">
      <c r="A470" t="str">
        <f t="shared" si="28"/>
        <v>2022</v>
      </c>
      <c r="B470" t="str">
        <f t="shared" si="29"/>
        <v>11</v>
      </c>
      <c r="C470" t="s">
        <v>86</v>
      </c>
      <c r="D470">
        <v>202211</v>
      </c>
      <c r="E470" s="11" t="s">
        <v>38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T470" t="str">
        <f t="shared" si="30"/>
        <v>040128202211</v>
      </c>
      <c r="U470">
        <f t="shared" si="31"/>
        <v>0</v>
      </c>
    </row>
    <row r="471" spans="1:21" x14ac:dyDescent="0.35">
      <c r="A471" t="str">
        <f t="shared" si="28"/>
        <v>2022</v>
      </c>
      <c r="B471" t="str">
        <f t="shared" si="29"/>
        <v>11</v>
      </c>
      <c r="C471" t="s">
        <v>86</v>
      </c>
      <c r="D471">
        <v>202211</v>
      </c>
      <c r="E471" s="11" t="s">
        <v>39</v>
      </c>
      <c r="F471">
        <v>0</v>
      </c>
      <c r="G471">
        <v>0</v>
      </c>
      <c r="H471">
        <v>0</v>
      </c>
      <c r="I471">
        <v>193.78462200000001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3.165959</v>
      </c>
      <c r="Q471">
        <v>0</v>
      </c>
      <c r="R471">
        <v>0</v>
      </c>
      <c r="T471" t="str">
        <f t="shared" si="30"/>
        <v>040130202211</v>
      </c>
      <c r="U471">
        <f t="shared" si="31"/>
        <v>193.78462200000001</v>
      </c>
    </row>
    <row r="472" spans="1:21" x14ac:dyDescent="0.35">
      <c r="A472" t="str">
        <f t="shared" si="28"/>
        <v>2022</v>
      </c>
      <c r="B472" t="str">
        <f t="shared" si="29"/>
        <v>11</v>
      </c>
      <c r="C472" t="s">
        <v>86</v>
      </c>
      <c r="D472">
        <v>202211</v>
      </c>
      <c r="E472" s="11" t="s">
        <v>40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T472" t="str">
        <f t="shared" si="30"/>
        <v>040132202211</v>
      </c>
      <c r="U472">
        <f t="shared" si="31"/>
        <v>0</v>
      </c>
    </row>
    <row r="473" spans="1:21" x14ac:dyDescent="0.35">
      <c r="A473" t="str">
        <f t="shared" si="28"/>
        <v>2022</v>
      </c>
      <c r="B473" t="str">
        <f t="shared" si="29"/>
        <v>11</v>
      </c>
      <c r="C473" t="s">
        <v>86</v>
      </c>
      <c r="D473">
        <v>202211</v>
      </c>
      <c r="E473" s="11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T473" t="str">
        <f t="shared" si="30"/>
        <v>040133202211</v>
      </c>
      <c r="U473">
        <f t="shared" si="31"/>
        <v>0</v>
      </c>
    </row>
    <row r="474" spans="1:21" x14ac:dyDescent="0.35">
      <c r="A474" t="str">
        <f t="shared" si="28"/>
        <v>2022</v>
      </c>
      <c r="B474" t="str">
        <f t="shared" si="29"/>
        <v>11</v>
      </c>
      <c r="C474" t="s">
        <v>86</v>
      </c>
      <c r="D474">
        <v>202211</v>
      </c>
      <c r="E474" s="11" t="s">
        <v>42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T474" t="str">
        <f t="shared" si="30"/>
        <v>040136202211</v>
      </c>
      <c r="U474">
        <f t="shared" si="31"/>
        <v>0</v>
      </c>
    </row>
    <row r="475" spans="1:21" x14ac:dyDescent="0.35">
      <c r="A475" t="str">
        <f t="shared" si="28"/>
        <v>2022</v>
      </c>
      <c r="B475" t="str">
        <f t="shared" si="29"/>
        <v>11</v>
      </c>
      <c r="C475" t="s">
        <v>86</v>
      </c>
      <c r="D475">
        <v>202211</v>
      </c>
      <c r="E475" s="11" t="s">
        <v>43</v>
      </c>
      <c r="F475">
        <v>0</v>
      </c>
      <c r="G475">
        <v>0</v>
      </c>
      <c r="H475">
        <v>0</v>
      </c>
      <c r="I475">
        <v>0.20659917999999999</v>
      </c>
      <c r="J475">
        <v>1.6743000000000001E-4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T475" t="str">
        <f t="shared" si="30"/>
        <v>040137202211</v>
      </c>
      <c r="U475">
        <f t="shared" si="31"/>
        <v>0.20676660999999999</v>
      </c>
    </row>
    <row r="476" spans="1:21" x14ac:dyDescent="0.35">
      <c r="A476" t="str">
        <f t="shared" si="28"/>
        <v>2022</v>
      </c>
      <c r="B476" t="str">
        <f t="shared" si="29"/>
        <v>11</v>
      </c>
      <c r="C476" t="s">
        <v>86</v>
      </c>
      <c r="D476">
        <v>202211</v>
      </c>
      <c r="E476" s="11" t="s">
        <v>44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T476" t="str">
        <f t="shared" si="30"/>
        <v>040138202211</v>
      </c>
      <c r="U476">
        <f t="shared" si="31"/>
        <v>0</v>
      </c>
    </row>
    <row r="477" spans="1:21" x14ac:dyDescent="0.35">
      <c r="A477" t="str">
        <f t="shared" si="28"/>
        <v>2022</v>
      </c>
      <c r="B477" t="str">
        <f t="shared" si="29"/>
        <v>11</v>
      </c>
      <c r="C477" t="s">
        <v>86</v>
      </c>
      <c r="D477">
        <v>202211</v>
      </c>
      <c r="E477" s="11" t="s">
        <v>45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T477" t="str">
        <f t="shared" si="30"/>
        <v>040139202211</v>
      </c>
      <c r="U477">
        <f t="shared" si="31"/>
        <v>0</v>
      </c>
    </row>
    <row r="478" spans="1:21" x14ac:dyDescent="0.35">
      <c r="A478" t="str">
        <f t="shared" si="28"/>
        <v>2022</v>
      </c>
      <c r="B478" t="str">
        <f t="shared" si="29"/>
        <v>11</v>
      </c>
      <c r="C478" t="s">
        <v>86</v>
      </c>
      <c r="D478">
        <v>202211</v>
      </c>
      <c r="E478" s="11" t="s">
        <v>46</v>
      </c>
      <c r="F478">
        <v>0</v>
      </c>
      <c r="G478">
        <v>0</v>
      </c>
      <c r="H478">
        <v>0</v>
      </c>
      <c r="I478">
        <v>22.786884000000001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T478" t="str">
        <f t="shared" si="30"/>
        <v>040140202211</v>
      </c>
      <c r="U478">
        <f t="shared" si="31"/>
        <v>22.786884000000001</v>
      </c>
    </row>
    <row r="479" spans="1:21" x14ac:dyDescent="0.35">
      <c r="A479" t="str">
        <f t="shared" si="28"/>
        <v>2022</v>
      </c>
      <c r="B479" t="str">
        <f t="shared" si="29"/>
        <v>11</v>
      </c>
      <c r="C479" t="s">
        <v>86</v>
      </c>
      <c r="D479">
        <v>202211</v>
      </c>
      <c r="E479" s="11" t="s">
        <v>47</v>
      </c>
      <c r="F479">
        <v>0</v>
      </c>
      <c r="G479">
        <v>0</v>
      </c>
      <c r="H479">
        <v>0</v>
      </c>
      <c r="I479">
        <v>12.76047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T479" t="str">
        <f t="shared" si="30"/>
        <v>040141202211</v>
      </c>
      <c r="U479">
        <f t="shared" si="31"/>
        <v>12.76047</v>
      </c>
    </row>
    <row r="480" spans="1:21" x14ac:dyDescent="0.35">
      <c r="A480" t="str">
        <f t="shared" si="28"/>
        <v>2022</v>
      </c>
      <c r="B480" t="str">
        <f t="shared" si="29"/>
        <v>11</v>
      </c>
      <c r="C480" t="s">
        <v>86</v>
      </c>
      <c r="D480">
        <v>202211</v>
      </c>
      <c r="E480" s="11" t="s">
        <v>48</v>
      </c>
      <c r="F480">
        <v>1.98696955</v>
      </c>
      <c r="G480">
        <v>1.55669613</v>
      </c>
      <c r="H480">
        <v>0.43027341999999996</v>
      </c>
      <c r="I480">
        <v>7.7494435099999999</v>
      </c>
      <c r="J480">
        <v>0.14543913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5.6100944999999998</v>
      </c>
      <c r="Q480">
        <v>0.14484067</v>
      </c>
      <c r="R480">
        <v>0</v>
      </c>
      <c r="T480" t="str">
        <f t="shared" si="30"/>
        <v>040143202211</v>
      </c>
      <c r="U480">
        <f t="shared" si="31"/>
        <v>9.88185219</v>
      </c>
    </row>
    <row r="481" spans="1:21" x14ac:dyDescent="0.35">
      <c r="A481" t="str">
        <f t="shared" si="28"/>
        <v>2022</v>
      </c>
      <c r="B481" t="str">
        <f t="shared" si="29"/>
        <v>11</v>
      </c>
      <c r="C481" t="s">
        <v>86</v>
      </c>
      <c r="D481">
        <v>202211</v>
      </c>
      <c r="E481" s="11" t="s">
        <v>49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T481" t="str">
        <f t="shared" si="30"/>
        <v>040145202211</v>
      </c>
      <c r="U481">
        <f t="shared" si="31"/>
        <v>0</v>
      </c>
    </row>
    <row r="482" spans="1:21" x14ac:dyDescent="0.35">
      <c r="A482" t="str">
        <f t="shared" si="28"/>
        <v>2022</v>
      </c>
      <c r="B482" t="str">
        <f t="shared" si="29"/>
        <v>11</v>
      </c>
      <c r="C482" t="s">
        <v>86</v>
      </c>
      <c r="D482">
        <v>202211</v>
      </c>
      <c r="E482" s="11" t="s">
        <v>50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T482" t="str">
        <f t="shared" si="30"/>
        <v>040147202211</v>
      </c>
      <c r="U482">
        <f t="shared" si="31"/>
        <v>0</v>
      </c>
    </row>
    <row r="483" spans="1:21" x14ac:dyDescent="0.35">
      <c r="A483" t="str">
        <f t="shared" si="28"/>
        <v>2022</v>
      </c>
      <c r="B483" t="str">
        <f t="shared" si="29"/>
        <v>11</v>
      </c>
      <c r="C483" t="s">
        <v>86</v>
      </c>
      <c r="D483">
        <v>202211</v>
      </c>
      <c r="E483" s="11" t="s">
        <v>51</v>
      </c>
      <c r="F483">
        <v>0</v>
      </c>
      <c r="G483">
        <v>0</v>
      </c>
      <c r="H483">
        <v>0</v>
      </c>
      <c r="I483">
        <v>9.5069060000000007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0.160936</v>
      </c>
      <c r="Q483">
        <v>0</v>
      </c>
      <c r="R483">
        <v>0</v>
      </c>
      <c r="T483" t="str">
        <f t="shared" si="30"/>
        <v>040149202211</v>
      </c>
      <c r="U483">
        <f t="shared" si="31"/>
        <v>9.5069060000000007</v>
      </c>
    </row>
    <row r="484" spans="1:21" x14ac:dyDescent="0.35">
      <c r="A484" t="str">
        <f t="shared" si="28"/>
        <v>2022</v>
      </c>
      <c r="B484" t="str">
        <f t="shared" si="29"/>
        <v>11</v>
      </c>
      <c r="C484" t="s">
        <v>86</v>
      </c>
      <c r="D484">
        <v>202211</v>
      </c>
      <c r="E484" s="11" t="s">
        <v>52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T484" t="str">
        <f t="shared" si="30"/>
        <v>040150202211</v>
      </c>
      <c r="U484">
        <f t="shared" si="31"/>
        <v>0</v>
      </c>
    </row>
    <row r="485" spans="1:21" x14ac:dyDescent="0.35">
      <c r="A485" t="str">
        <f t="shared" si="28"/>
        <v>2022</v>
      </c>
      <c r="B485" t="str">
        <f t="shared" si="29"/>
        <v>11</v>
      </c>
      <c r="C485" t="s">
        <v>86</v>
      </c>
      <c r="D485">
        <v>202211</v>
      </c>
      <c r="E485" s="11" t="s">
        <v>53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T485" t="str">
        <f t="shared" si="30"/>
        <v>040151202211</v>
      </c>
      <c r="U485">
        <f t="shared" si="31"/>
        <v>0</v>
      </c>
    </row>
    <row r="486" spans="1:21" x14ac:dyDescent="0.35">
      <c r="A486" t="str">
        <f t="shared" si="28"/>
        <v>2022</v>
      </c>
      <c r="B486" t="str">
        <f t="shared" si="29"/>
        <v>11</v>
      </c>
      <c r="C486" t="s">
        <v>86</v>
      </c>
      <c r="D486">
        <v>202211</v>
      </c>
      <c r="E486" s="11" t="s">
        <v>54</v>
      </c>
      <c r="F486">
        <v>2.4963478100000001</v>
      </c>
      <c r="G486">
        <v>2.4963478100000001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T486" t="str">
        <f t="shared" si="30"/>
        <v>040152202211</v>
      </c>
      <c r="U486">
        <f t="shared" si="31"/>
        <v>2.4963478100000001</v>
      </c>
    </row>
    <row r="487" spans="1:21" x14ac:dyDescent="0.35">
      <c r="A487" t="str">
        <f t="shared" si="28"/>
        <v>2022</v>
      </c>
      <c r="B487" t="str">
        <f t="shared" si="29"/>
        <v>11</v>
      </c>
      <c r="C487" t="s">
        <v>86</v>
      </c>
      <c r="D487">
        <v>202211</v>
      </c>
      <c r="E487" s="11" t="s">
        <v>55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T487" t="str">
        <f t="shared" si="30"/>
        <v>040154202211</v>
      </c>
      <c r="U487">
        <f t="shared" si="31"/>
        <v>0</v>
      </c>
    </row>
    <row r="488" spans="1:21" x14ac:dyDescent="0.35">
      <c r="A488" t="str">
        <f t="shared" si="28"/>
        <v>2022</v>
      </c>
      <c r="B488" t="str">
        <f t="shared" si="29"/>
        <v>11</v>
      </c>
      <c r="C488" t="s">
        <v>86</v>
      </c>
      <c r="D488">
        <v>202211</v>
      </c>
      <c r="E488" s="11" t="s">
        <v>56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T488" t="str">
        <f t="shared" si="30"/>
        <v>040155202211</v>
      </c>
      <c r="U488">
        <f t="shared" si="31"/>
        <v>0</v>
      </c>
    </row>
    <row r="489" spans="1:21" x14ac:dyDescent="0.35">
      <c r="A489" t="str">
        <f t="shared" si="28"/>
        <v>2022</v>
      </c>
      <c r="B489" t="str">
        <f t="shared" si="29"/>
        <v>11</v>
      </c>
      <c r="C489" t="s">
        <v>86</v>
      </c>
      <c r="D489">
        <v>202211</v>
      </c>
      <c r="E489" s="11" t="s">
        <v>57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0.57042199999999998</v>
      </c>
      <c r="M489">
        <v>0.57042199999999998</v>
      </c>
      <c r="N489">
        <v>0</v>
      </c>
      <c r="O489">
        <v>0</v>
      </c>
      <c r="P489">
        <v>0</v>
      </c>
      <c r="Q489">
        <v>1.917975</v>
      </c>
      <c r="R489">
        <v>0</v>
      </c>
      <c r="T489" t="str">
        <f t="shared" si="30"/>
        <v>040156202211</v>
      </c>
      <c r="U489">
        <f t="shared" si="31"/>
        <v>0</v>
      </c>
    </row>
    <row r="490" spans="1:21" x14ac:dyDescent="0.35">
      <c r="A490" t="str">
        <f t="shared" si="28"/>
        <v>2022</v>
      </c>
      <c r="B490" t="str">
        <f t="shared" si="29"/>
        <v>11</v>
      </c>
      <c r="C490" t="s">
        <v>86</v>
      </c>
      <c r="D490">
        <v>202211</v>
      </c>
      <c r="E490" s="11" t="s">
        <v>58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T490" t="str">
        <f t="shared" si="30"/>
        <v>040157202211</v>
      </c>
      <c r="U490">
        <f t="shared" si="31"/>
        <v>0</v>
      </c>
    </row>
    <row r="491" spans="1:21" x14ac:dyDescent="0.35">
      <c r="A491" t="str">
        <f t="shared" si="28"/>
        <v>2022</v>
      </c>
      <c r="B491" t="str">
        <f t="shared" si="29"/>
        <v>11</v>
      </c>
      <c r="C491" t="s">
        <v>86</v>
      </c>
      <c r="D491">
        <v>202211</v>
      </c>
      <c r="E491" s="11" t="s">
        <v>59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T491" t="str">
        <f t="shared" si="30"/>
        <v>040158202211</v>
      </c>
      <c r="U491">
        <f t="shared" si="31"/>
        <v>0</v>
      </c>
    </row>
    <row r="492" spans="1:21" x14ac:dyDescent="0.35">
      <c r="A492" t="str">
        <f t="shared" si="28"/>
        <v>2022</v>
      </c>
      <c r="B492" t="str">
        <f t="shared" si="29"/>
        <v>11</v>
      </c>
      <c r="C492" t="s">
        <v>86</v>
      </c>
      <c r="D492">
        <v>202211</v>
      </c>
      <c r="E492" s="11" t="s">
        <v>60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T492" t="str">
        <f t="shared" si="30"/>
        <v>040159202211</v>
      </c>
      <c r="U492">
        <f t="shared" si="31"/>
        <v>0</v>
      </c>
    </row>
    <row r="493" spans="1:21" x14ac:dyDescent="0.35">
      <c r="A493" t="str">
        <f t="shared" si="28"/>
        <v>2022</v>
      </c>
      <c r="B493" t="str">
        <f t="shared" si="29"/>
        <v>11</v>
      </c>
      <c r="C493" t="s">
        <v>86</v>
      </c>
      <c r="D493">
        <v>202211</v>
      </c>
      <c r="E493" s="11" t="s">
        <v>63</v>
      </c>
      <c r="F493">
        <v>0.21327398</v>
      </c>
      <c r="G493">
        <v>0</v>
      </c>
      <c r="H493">
        <v>0.21327398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T493" t="str">
        <f t="shared" si="30"/>
        <v>040160202211</v>
      </c>
      <c r="U493">
        <f t="shared" si="31"/>
        <v>0.21327398</v>
      </c>
    </row>
    <row r="494" spans="1:21" x14ac:dyDescent="0.35">
      <c r="A494" t="str">
        <f t="shared" si="28"/>
        <v>2022</v>
      </c>
      <c r="B494" t="str">
        <f t="shared" si="29"/>
        <v>11</v>
      </c>
      <c r="C494" t="s">
        <v>86</v>
      </c>
      <c r="D494">
        <v>202211</v>
      </c>
      <c r="E494" s="11" t="s">
        <v>61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T494" t="str">
        <f t="shared" si="30"/>
        <v>040162202211</v>
      </c>
      <c r="U494">
        <f t="shared" si="31"/>
        <v>0</v>
      </c>
    </row>
    <row r="495" spans="1:21" x14ac:dyDescent="0.35">
      <c r="A495" t="str">
        <f t="shared" ref="A495:A540" si="32">LEFT(D495,4)</f>
        <v>2022</v>
      </c>
      <c r="B495" t="str">
        <f t="shared" ref="B495:B540" si="33">RIGHT(D495,2)</f>
        <v>12</v>
      </c>
      <c r="C495" t="s">
        <v>87</v>
      </c>
      <c r="D495">
        <v>202212</v>
      </c>
      <c r="E495" s="11">
        <v>5</v>
      </c>
      <c r="F495">
        <v>1449.9619613099999</v>
      </c>
      <c r="G495">
        <v>1449.3481713699998</v>
      </c>
      <c r="H495">
        <v>0.57603417000000001</v>
      </c>
      <c r="I495">
        <v>6368.54121614</v>
      </c>
      <c r="J495">
        <v>634.91021060000003</v>
      </c>
      <c r="K495">
        <v>36.782955000000001</v>
      </c>
      <c r="L495">
        <v>7.3859899999999996</v>
      </c>
      <c r="M495">
        <v>7.3859899999999996</v>
      </c>
      <c r="N495">
        <v>0</v>
      </c>
      <c r="O495">
        <v>0</v>
      </c>
      <c r="P495">
        <v>58.305006399999996</v>
      </c>
      <c r="Q495">
        <v>45.798424140000002</v>
      </c>
      <c r="R495">
        <v>0</v>
      </c>
      <c r="T495" t="str">
        <f t="shared" si="30"/>
        <v>5202212</v>
      </c>
      <c r="U495">
        <f t="shared" si="31"/>
        <v>8453.4133880500012</v>
      </c>
    </row>
    <row r="496" spans="1:21" x14ac:dyDescent="0.35">
      <c r="A496" t="str">
        <f t="shared" si="32"/>
        <v>2022</v>
      </c>
      <c r="B496" t="str">
        <f t="shared" si="33"/>
        <v>12</v>
      </c>
      <c r="C496" t="s">
        <v>87</v>
      </c>
      <c r="D496">
        <v>202212</v>
      </c>
      <c r="E496" s="11" t="s">
        <v>19</v>
      </c>
      <c r="F496">
        <v>137.81706600000001</v>
      </c>
      <c r="G496">
        <v>137.81706600000001</v>
      </c>
      <c r="H496">
        <v>0</v>
      </c>
      <c r="I496">
        <v>261.87464</v>
      </c>
      <c r="J496">
        <v>122.236752</v>
      </c>
      <c r="K496">
        <v>36.782955000000001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T496" t="str">
        <f t="shared" si="30"/>
        <v>040002202212</v>
      </c>
      <c r="U496">
        <f t="shared" si="31"/>
        <v>521.92845799999998</v>
      </c>
    </row>
    <row r="497" spans="1:21" x14ac:dyDescent="0.35">
      <c r="A497" t="str">
        <f t="shared" si="32"/>
        <v>2022</v>
      </c>
      <c r="B497" t="str">
        <f t="shared" si="33"/>
        <v>12</v>
      </c>
      <c r="C497" t="s">
        <v>87</v>
      </c>
      <c r="D497">
        <v>202212</v>
      </c>
      <c r="E497" s="11" t="s">
        <v>20</v>
      </c>
      <c r="F497">
        <v>286.83774089999997</v>
      </c>
      <c r="G497">
        <v>286.83774089999997</v>
      </c>
      <c r="H497">
        <v>0</v>
      </c>
      <c r="I497">
        <v>2599.9073752700001</v>
      </c>
      <c r="J497">
        <v>51.11539372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T497" t="str">
        <f t="shared" si="30"/>
        <v>040012202212</v>
      </c>
      <c r="U497">
        <f t="shared" si="31"/>
        <v>2937.8605098900002</v>
      </c>
    </row>
    <row r="498" spans="1:21" x14ac:dyDescent="0.35">
      <c r="A498" t="str">
        <f t="shared" si="32"/>
        <v>2022</v>
      </c>
      <c r="B498" t="str">
        <f t="shared" si="33"/>
        <v>12</v>
      </c>
      <c r="C498" t="s">
        <v>87</v>
      </c>
      <c r="D498">
        <v>202212</v>
      </c>
      <c r="E498" s="11" t="s">
        <v>21</v>
      </c>
      <c r="F498">
        <v>152.26539600000001</v>
      </c>
      <c r="G498">
        <v>152.26539600000001</v>
      </c>
      <c r="H498">
        <v>0</v>
      </c>
      <c r="I498">
        <v>356.841835</v>
      </c>
      <c r="J498">
        <v>208.570144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T498" t="str">
        <f t="shared" si="30"/>
        <v>040014202212</v>
      </c>
      <c r="U498">
        <f t="shared" si="31"/>
        <v>717.67737499999998</v>
      </c>
    </row>
    <row r="499" spans="1:21" x14ac:dyDescent="0.35">
      <c r="A499" t="str">
        <f t="shared" si="32"/>
        <v>2022</v>
      </c>
      <c r="B499" t="str">
        <f t="shared" si="33"/>
        <v>12</v>
      </c>
      <c r="C499" t="s">
        <v>87</v>
      </c>
      <c r="D499">
        <v>202212</v>
      </c>
      <c r="E499" s="11" t="s">
        <v>22</v>
      </c>
      <c r="F499">
        <v>75.511025000000004</v>
      </c>
      <c r="G499">
        <v>75.511025000000004</v>
      </c>
      <c r="H499">
        <v>0</v>
      </c>
      <c r="I499">
        <v>723.09318699999994</v>
      </c>
      <c r="J499">
        <v>29.450870999999999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26.544346000000001</v>
      </c>
      <c r="Q499">
        <v>17.227882999999999</v>
      </c>
      <c r="R499">
        <v>0</v>
      </c>
      <c r="T499" t="str">
        <f t="shared" si="30"/>
        <v>040021202212</v>
      </c>
      <c r="U499">
        <f t="shared" si="31"/>
        <v>828.05508299999997</v>
      </c>
    </row>
    <row r="500" spans="1:21" x14ac:dyDescent="0.35">
      <c r="A500" t="str">
        <f t="shared" si="32"/>
        <v>2022</v>
      </c>
      <c r="B500" t="str">
        <f t="shared" si="33"/>
        <v>12</v>
      </c>
      <c r="C500" t="s">
        <v>87</v>
      </c>
      <c r="D500">
        <v>202212</v>
      </c>
      <c r="E500" s="11" t="s">
        <v>23</v>
      </c>
      <c r="F500">
        <v>26.714813940000003</v>
      </c>
      <c r="G500">
        <v>26.714813940000003</v>
      </c>
      <c r="H500">
        <v>0</v>
      </c>
      <c r="I500">
        <v>24.008214149999997</v>
      </c>
      <c r="J500">
        <v>6.8101927199999999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0.4848345</v>
      </c>
      <c r="R500">
        <v>0</v>
      </c>
      <c r="T500" t="str">
        <f t="shared" si="30"/>
        <v>040030202212</v>
      </c>
      <c r="U500">
        <f t="shared" si="31"/>
        <v>57.533220810000003</v>
      </c>
    </row>
    <row r="501" spans="1:21" x14ac:dyDescent="0.35">
      <c r="A501" t="str">
        <f t="shared" si="32"/>
        <v>2022</v>
      </c>
      <c r="B501" t="str">
        <f t="shared" si="33"/>
        <v>12</v>
      </c>
      <c r="C501" t="s">
        <v>87</v>
      </c>
      <c r="D501">
        <v>202212</v>
      </c>
      <c r="E501" s="11" t="s">
        <v>24</v>
      </c>
      <c r="F501">
        <v>0</v>
      </c>
      <c r="G501">
        <v>0</v>
      </c>
      <c r="H501">
        <v>0</v>
      </c>
      <c r="I501">
        <v>6.0729550000000003</v>
      </c>
      <c r="J501">
        <v>1.2415000000000001E-2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T501" t="str">
        <f t="shared" si="30"/>
        <v>040036202212</v>
      </c>
      <c r="U501">
        <f t="shared" si="31"/>
        <v>6.0853700000000002</v>
      </c>
    </row>
    <row r="502" spans="1:21" x14ac:dyDescent="0.35">
      <c r="A502" t="str">
        <f t="shared" si="32"/>
        <v>2022</v>
      </c>
      <c r="B502" t="str">
        <f t="shared" si="33"/>
        <v>12</v>
      </c>
      <c r="C502" t="s">
        <v>87</v>
      </c>
      <c r="D502">
        <v>202212</v>
      </c>
      <c r="E502" s="11" t="s">
        <v>25</v>
      </c>
      <c r="F502">
        <v>42.105125000000001</v>
      </c>
      <c r="G502">
        <v>42.105125000000001</v>
      </c>
      <c r="H502">
        <v>0</v>
      </c>
      <c r="I502">
        <v>1.24312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T502" t="str">
        <f t="shared" si="30"/>
        <v>040042202212</v>
      </c>
      <c r="U502">
        <f t="shared" si="31"/>
        <v>43.348244999999999</v>
      </c>
    </row>
    <row r="503" spans="1:21" x14ac:dyDescent="0.35">
      <c r="A503" t="str">
        <f t="shared" si="32"/>
        <v>2022</v>
      </c>
      <c r="B503" t="str">
        <f t="shared" si="33"/>
        <v>12</v>
      </c>
      <c r="C503" t="s">
        <v>87</v>
      </c>
      <c r="D503">
        <v>202212</v>
      </c>
      <c r="E503" s="11" t="s">
        <v>26</v>
      </c>
      <c r="F503">
        <v>1.830436</v>
      </c>
      <c r="G503">
        <v>1.830436</v>
      </c>
      <c r="H503">
        <v>0</v>
      </c>
      <c r="I503">
        <v>139.760794</v>
      </c>
      <c r="J503">
        <v>0</v>
      </c>
      <c r="K503">
        <v>0</v>
      </c>
      <c r="L503">
        <v>7.3859899999999996</v>
      </c>
      <c r="M503">
        <v>7.3859899999999996</v>
      </c>
      <c r="N503">
        <v>0</v>
      </c>
      <c r="O503">
        <v>0</v>
      </c>
      <c r="P503">
        <v>21.242028000000001</v>
      </c>
      <c r="Q503">
        <v>27.161757000000001</v>
      </c>
      <c r="R503">
        <v>0</v>
      </c>
      <c r="T503" t="str">
        <f t="shared" si="30"/>
        <v>040044202212</v>
      </c>
      <c r="U503">
        <f t="shared" si="31"/>
        <v>141.59123</v>
      </c>
    </row>
    <row r="504" spans="1:21" x14ac:dyDescent="0.35">
      <c r="A504" t="str">
        <f t="shared" si="32"/>
        <v>2022</v>
      </c>
      <c r="B504" t="str">
        <f t="shared" si="33"/>
        <v>12</v>
      </c>
      <c r="C504" t="s">
        <v>87</v>
      </c>
      <c r="D504">
        <v>202212</v>
      </c>
      <c r="E504" s="11" t="s">
        <v>27</v>
      </c>
      <c r="F504">
        <v>42.61071201</v>
      </c>
      <c r="G504">
        <v>42.61071201</v>
      </c>
      <c r="H504">
        <v>0</v>
      </c>
      <c r="I504">
        <v>34.213362939999996</v>
      </c>
      <c r="J504">
        <v>1.8648471499999999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T504" t="str">
        <f t="shared" si="30"/>
        <v>040058202212</v>
      </c>
      <c r="U504">
        <f t="shared" si="31"/>
        <v>78.688922099999999</v>
      </c>
    </row>
    <row r="505" spans="1:21" x14ac:dyDescent="0.35">
      <c r="A505" t="str">
        <f t="shared" si="32"/>
        <v>2022</v>
      </c>
      <c r="B505" t="str">
        <f t="shared" si="33"/>
        <v>12</v>
      </c>
      <c r="C505" t="s">
        <v>87</v>
      </c>
      <c r="D505">
        <v>202212</v>
      </c>
      <c r="E505" s="11" t="s">
        <v>28</v>
      </c>
      <c r="F505">
        <v>0</v>
      </c>
      <c r="G505">
        <v>0</v>
      </c>
      <c r="H505">
        <v>0</v>
      </c>
      <c r="I505">
        <v>47.555050999999999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T505" t="str">
        <f t="shared" si="30"/>
        <v>040059202212</v>
      </c>
      <c r="U505">
        <f t="shared" si="31"/>
        <v>47.555050999999999</v>
      </c>
    </row>
    <row r="506" spans="1:21" x14ac:dyDescent="0.35">
      <c r="A506" t="str">
        <f t="shared" si="32"/>
        <v>2022</v>
      </c>
      <c r="B506" t="str">
        <f t="shared" si="33"/>
        <v>12</v>
      </c>
      <c r="C506" t="s">
        <v>87</v>
      </c>
      <c r="D506">
        <v>202212</v>
      </c>
      <c r="E506" s="11" t="s">
        <v>62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T506" t="str">
        <f t="shared" si="30"/>
        <v>040060202212</v>
      </c>
      <c r="U506">
        <f t="shared" si="31"/>
        <v>0</v>
      </c>
    </row>
    <row r="507" spans="1:21" x14ac:dyDescent="0.35">
      <c r="A507" t="str">
        <f t="shared" si="32"/>
        <v>2022</v>
      </c>
      <c r="B507" t="str">
        <f t="shared" si="33"/>
        <v>12</v>
      </c>
      <c r="C507" t="s">
        <v>87</v>
      </c>
      <c r="D507">
        <v>202212</v>
      </c>
      <c r="E507" s="11" t="s">
        <v>29</v>
      </c>
      <c r="F507">
        <v>0.52290700000000001</v>
      </c>
      <c r="G507">
        <v>0.52290700000000001</v>
      </c>
      <c r="H507">
        <v>0</v>
      </c>
      <c r="I507">
        <v>61.707081000000002</v>
      </c>
      <c r="J507">
        <v>7.6710940000000001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T507" t="str">
        <f t="shared" si="30"/>
        <v>040062202212</v>
      </c>
      <c r="U507">
        <f t="shared" si="31"/>
        <v>69.901082000000002</v>
      </c>
    </row>
    <row r="508" spans="1:21" x14ac:dyDescent="0.35">
      <c r="A508" t="str">
        <f t="shared" si="32"/>
        <v>2022</v>
      </c>
      <c r="B508" t="str">
        <f t="shared" si="33"/>
        <v>12</v>
      </c>
      <c r="C508" t="s">
        <v>87</v>
      </c>
      <c r="D508">
        <v>202212</v>
      </c>
      <c r="E508" s="11" t="s">
        <v>30</v>
      </c>
      <c r="F508">
        <v>325.26447200000001</v>
      </c>
      <c r="G508">
        <v>325.26342399999999</v>
      </c>
      <c r="H508">
        <v>0</v>
      </c>
      <c r="I508">
        <v>1038.18231457</v>
      </c>
      <c r="J508">
        <v>207.0741639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T508" t="str">
        <f t="shared" si="30"/>
        <v>040072202212</v>
      </c>
      <c r="U508">
        <f t="shared" si="31"/>
        <v>1570.5209504700001</v>
      </c>
    </row>
    <row r="509" spans="1:21" x14ac:dyDescent="0.35">
      <c r="A509" t="str">
        <f t="shared" si="32"/>
        <v>2022</v>
      </c>
      <c r="B509" t="str">
        <f t="shared" si="33"/>
        <v>12</v>
      </c>
      <c r="C509" t="s">
        <v>87</v>
      </c>
      <c r="D509">
        <v>202212</v>
      </c>
      <c r="E509" s="11" t="s">
        <v>31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T509" t="str">
        <f t="shared" si="30"/>
        <v>040106202212</v>
      </c>
      <c r="U509">
        <f t="shared" si="31"/>
        <v>0</v>
      </c>
    </row>
    <row r="510" spans="1:21" x14ac:dyDescent="0.35">
      <c r="A510" t="str">
        <f t="shared" si="32"/>
        <v>2022</v>
      </c>
      <c r="B510" t="str">
        <f t="shared" si="33"/>
        <v>12</v>
      </c>
      <c r="C510" t="s">
        <v>87</v>
      </c>
      <c r="D510">
        <v>202212</v>
      </c>
      <c r="E510" s="11" t="s">
        <v>32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T510" t="str">
        <f t="shared" si="30"/>
        <v>040108202212</v>
      </c>
      <c r="U510">
        <f t="shared" si="31"/>
        <v>0</v>
      </c>
    </row>
    <row r="511" spans="1:21" x14ac:dyDescent="0.35">
      <c r="A511" t="str">
        <f t="shared" si="32"/>
        <v>2022</v>
      </c>
      <c r="B511" t="str">
        <f t="shared" si="33"/>
        <v>12</v>
      </c>
      <c r="C511" t="s">
        <v>87</v>
      </c>
      <c r="D511">
        <v>202212</v>
      </c>
      <c r="E511" s="11" t="s">
        <v>33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T511" t="str">
        <f t="shared" si="30"/>
        <v>040110202212</v>
      </c>
      <c r="U511">
        <f t="shared" si="31"/>
        <v>0</v>
      </c>
    </row>
    <row r="512" spans="1:21" x14ac:dyDescent="0.35">
      <c r="A512" t="str">
        <f t="shared" si="32"/>
        <v>2022</v>
      </c>
      <c r="B512" t="str">
        <f t="shared" si="33"/>
        <v>12</v>
      </c>
      <c r="C512" t="s">
        <v>87</v>
      </c>
      <c r="D512">
        <v>202212</v>
      </c>
      <c r="E512" s="11" t="s">
        <v>34</v>
      </c>
      <c r="F512">
        <v>1.8235066000000002</v>
      </c>
      <c r="G512">
        <v>1.7867988300000002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T512" t="str">
        <f t="shared" si="30"/>
        <v>040112202212</v>
      </c>
      <c r="U512">
        <f t="shared" si="31"/>
        <v>1.8235066000000002</v>
      </c>
    </row>
    <row r="513" spans="1:21" x14ac:dyDescent="0.35">
      <c r="A513" t="str">
        <f t="shared" si="32"/>
        <v>2022</v>
      </c>
      <c r="B513" t="str">
        <f t="shared" si="33"/>
        <v>12</v>
      </c>
      <c r="C513" t="s">
        <v>87</v>
      </c>
      <c r="D513">
        <v>202212</v>
      </c>
      <c r="E513" s="11" t="s">
        <v>35</v>
      </c>
      <c r="F513">
        <v>27.237496</v>
      </c>
      <c r="G513">
        <v>27.237496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T513" t="str">
        <f t="shared" si="30"/>
        <v>040113202212</v>
      </c>
      <c r="U513">
        <f t="shared" si="31"/>
        <v>27.237496</v>
      </c>
    </row>
    <row r="514" spans="1:21" x14ac:dyDescent="0.35">
      <c r="A514" t="str">
        <f t="shared" si="32"/>
        <v>2022</v>
      </c>
      <c r="B514" t="str">
        <f t="shared" si="33"/>
        <v>12</v>
      </c>
      <c r="C514" t="s">
        <v>87</v>
      </c>
      <c r="D514">
        <v>202212</v>
      </c>
      <c r="E514" s="11" t="s">
        <v>36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T514" t="str">
        <f t="shared" si="30"/>
        <v>040126202212</v>
      </c>
      <c r="U514">
        <f t="shared" si="31"/>
        <v>0</v>
      </c>
    </row>
    <row r="515" spans="1:21" x14ac:dyDescent="0.35">
      <c r="A515" t="str">
        <f t="shared" si="32"/>
        <v>2022</v>
      </c>
      <c r="B515" t="str">
        <f t="shared" si="33"/>
        <v>12</v>
      </c>
      <c r="C515" t="s">
        <v>87</v>
      </c>
      <c r="D515">
        <v>202212</v>
      </c>
      <c r="E515" s="11" t="s">
        <v>37</v>
      </c>
      <c r="F515">
        <v>0</v>
      </c>
      <c r="G515">
        <v>0</v>
      </c>
      <c r="H515">
        <v>0</v>
      </c>
      <c r="I515">
        <v>828.34028486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T515" t="str">
        <f t="shared" ref="T515:T578" si="34">+E515&amp;D515</f>
        <v>040127202212</v>
      </c>
      <c r="U515">
        <f t="shared" ref="U515:U578" si="35">+F515+I515+J515</f>
        <v>828.34028486</v>
      </c>
    </row>
    <row r="516" spans="1:21" x14ac:dyDescent="0.35">
      <c r="A516" t="str">
        <f t="shared" si="32"/>
        <v>2022</v>
      </c>
      <c r="B516" t="str">
        <f t="shared" si="33"/>
        <v>12</v>
      </c>
      <c r="C516" t="s">
        <v>87</v>
      </c>
      <c r="D516">
        <v>202212</v>
      </c>
      <c r="E516" s="11" t="s">
        <v>38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T516" t="str">
        <f t="shared" si="34"/>
        <v>040128202212</v>
      </c>
      <c r="U516">
        <f t="shared" si="35"/>
        <v>0</v>
      </c>
    </row>
    <row r="517" spans="1:21" x14ac:dyDescent="0.35">
      <c r="A517" t="str">
        <f t="shared" si="32"/>
        <v>2022</v>
      </c>
      <c r="B517" t="str">
        <f t="shared" si="33"/>
        <v>12</v>
      </c>
      <c r="C517" t="s">
        <v>87</v>
      </c>
      <c r="D517">
        <v>202212</v>
      </c>
      <c r="E517" s="11" t="s">
        <v>39</v>
      </c>
      <c r="F517">
        <v>0</v>
      </c>
      <c r="G517">
        <v>0</v>
      </c>
      <c r="H517">
        <v>0</v>
      </c>
      <c r="I517">
        <v>205.956941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3.630487</v>
      </c>
      <c r="Q517">
        <v>0</v>
      </c>
      <c r="R517">
        <v>0</v>
      </c>
      <c r="T517" t="str">
        <f t="shared" si="34"/>
        <v>040130202212</v>
      </c>
      <c r="U517">
        <f t="shared" si="35"/>
        <v>205.956941</v>
      </c>
    </row>
    <row r="518" spans="1:21" x14ac:dyDescent="0.35">
      <c r="A518" t="str">
        <f t="shared" si="32"/>
        <v>2022</v>
      </c>
      <c r="B518" t="str">
        <f t="shared" si="33"/>
        <v>12</v>
      </c>
      <c r="C518" t="s">
        <v>87</v>
      </c>
      <c r="D518">
        <v>202212</v>
      </c>
      <c r="E518" s="11" t="s">
        <v>40</v>
      </c>
      <c r="F518">
        <v>0.248837</v>
      </c>
      <c r="G518">
        <v>0.248837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T518" t="str">
        <f t="shared" si="34"/>
        <v>040132202212</v>
      </c>
      <c r="U518">
        <f t="shared" si="35"/>
        <v>0.248837</v>
      </c>
    </row>
    <row r="519" spans="1:21" x14ac:dyDescent="0.35">
      <c r="A519" t="str">
        <f t="shared" si="32"/>
        <v>2022</v>
      </c>
      <c r="B519" t="str">
        <f t="shared" si="33"/>
        <v>12</v>
      </c>
      <c r="C519" t="s">
        <v>87</v>
      </c>
      <c r="D519">
        <v>202212</v>
      </c>
      <c r="E519" s="11" t="s">
        <v>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T519" t="str">
        <f t="shared" si="34"/>
        <v>040133202212</v>
      </c>
      <c r="U519">
        <f t="shared" si="35"/>
        <v>0</v>
      </c>
    </row>
    <row r="520" spans="1:21" x14ac:dyDescent="0.35">
      <c r="A520" t="str">
        <f t="shared" si="32"/>
        <v>2022</v>
      </c>
      <c r="B520" t="str">
        <f t="shared" si="33"/>
        <v>12</v>
      </c>
      <c r="C520" t="s">
        <v>87</v>
      </c>
      <c r="D520">
        <v>202212</v>
      </c>
      <c r="E520" s="11" t="s">
        <v>42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T520" t="str">
        <f t="shared" si="34"/>
        <v>040136202212</v>
      </c>
      <c r="U520">
        <f t="shared" si="35"/>
        <v>0</v>
      </c>
    </row>
    <row r="521" spans="1:21" x14ac:dyDescent="0.35">
      <c r="A521" t="str">
        <f t="shared" si="32"/>
        <v>2022</v>
      </c>
      <c r="B521" t="str">
        <f t="shared" si="33"/>
        <v>12</v>
      </c>
      <c r="C521" t="s">
        <v>87</v>
      </c>
      <c r="D521">
        <v>202212</v>
      </c>
      <c r="E521" s="11" t="s">
        <v>43</v>
      </c>
      <c r="F521">
        <v>0</v>
      </c>
      <c r="G521">
        <v>0</v>
      </c>
      <c r="H521">
        <v>0</v>
      </c>
      <c r="I521">
        <v>2.2375627100000002</v>
      </c>
      <c r="J521">
        <v>9.1087000000000008E-3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T521" t="str">
        <f t="shared" si="34"/>
        <v>040137202212</v>
      </c>
      <c r="U521">
        <f t="shared" si="35"/>
        <v>2.2466714100000003</v>
      </c>
    </row>
    <row r="522" spans="1:21" x14ac:dyDescent="0.35">
      <c r="A522" t="str">
        <f t="shared" si="32"/>
        <v>2022</v>
      </c>
      <c r="B522" t="str">
        <f t="shared" si="33"/>
        <v>12</v>
      </c>
      <c r="C522" t="s">
        <v>87</v>
      </c>
      <c r="D522">
        <v>202212</v>
      </c>
      <c r="E522" s="11" t="s">
        <v>44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T522" t="str">
        <f t="shared" si="34"/>
        <v>040138202212</v>
      </c>
      <c r="U522">
        <f t="shared" si="35"/>
        <v>0</v>
      </c>
    </row>
    <row r="523" spans="1:21" x14ac:dyDescent="0.35">
      <c r="A523" t="str">
        <f t="shared" si="32"/>
        <v>2022</v>
      </c>
      <c r="B523" t="str">
        <f t="shared" si="33"/>
        <v>12</v>
      </c>
      <c r="C523" t="s">
        <v>87</v>
      </c>
      <c r="D523">
        <v>202212</v>
      </c>
      <c r="E523" s="11" t="s">
        <v>45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T523" t="str">
        <f t="shared" si="34"/>
        <v>040139202212</v>
      </c>
      <c r="U523">
        <f t="shared" si="35"/>
        <v>0</v>
      </c>
    </row>
    <row r="524" spans="1:21" x14ac:dyDescent="0.35">
      <c r="A524" t="str">
        <f t="shared" si="32"/>
        <v>2022</v>
      </c>
      <c r="B524" t="str">
        <f t="shared" si="33"/>
        <v>12</v>
      </c>
      <c r="C524" t="s">
        <v>87</v>
      </c>
      <c r="D524">
        <v>202212</v>
      </c>
      <c r="E524" s="11" t="s">
        <v>46</v>
      </c>
      <c r="F524">
        <v>0</v>
      </c>
      <c r="G524">
        <v>0</v>
      </c>
      <c r="H524">
        <v>0</v>
      </c>
      <c r="I524">
        <v>25.116655000000002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T524" t="str">
        <f t="shared" si="34"/>
        <v>040140202212</v>
      </c>
      <c r="U524">
        <f t="shared" si="35"/>
        <v>25.116655000000002</v>
      </c>
    </row>
    <row r="525" spans="1:21" x14ac:dyDescent="0.35">
      <c r="A525" t="str">
        <f t="shared" si="32"/>
        <v>2022</v>
      </c>
      <c r="B525" t="str">
        <f t="shared" si="33"/>
        <v>12</v>
      </c>
      <c r="C525" t="s">
        <v>87</v>
      </c>
      <c r="D525">
        <v>202212</v>
      </c>
      <c r="E525" s="11" t="s">
        <v>47</v>
      </c>
      <c r="F525">
        <v>0</v>
      </c>
      <c r="G525">
        <v>0</v>
      </c>
      <c r="H525">
        <v>0</v>
      </c>
      <c r="I525">
        <v>6.3572000000000004E-2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T525" t="str">
        <f t="shared" si="34"/>
        <v>040141202212</v>
      </c>
      <c r="U525">
        <f t="shared" si="35"/>
        <v>6.3572000000000004E-2</v>
      </c>
    </row>
    <row r="526" spans="1:21" x14ac:dyDescent="0.35">
      <c r="A526" t="str">
        <f t="shared" si="32"/>
        <v>2022</v>
      </c>
      <c r="B526" t="str">
        <f t="shared" si="33"/>
        <v>12</v>
      </c>
      <c r="C526" t="s">
        <v>87</v>
      </c>
      <c r="D526">
        <v>202212</v>
      </c>
      <c r="E526" s="11" t="s">
        <v>48</v>
      </c>
      <c r="F526">
        <v>3.6250760400000002</v>
      </c>
      <c r="G526">
        <v>3.0490418900000003</v>
      </c>
      <c r="H526">
        <v>0.57603415000000002</v>
      </c>
      <c r="I526">
        <v>2.42369564</v>
      </c>
      <c r="J526">
        <v>9.5228409999999999E-2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6.7313984000000007</v>
      </c>
      <c r="Q526">
        <v>0.92394964000000002</v>
      </c>
      <c r="R526">
        <v>0</v>
      </c>
      <c r="T526" t="str">
        <f t="shared" si="34"/>
        <v>040143202212</v>
      </c>
      <c r="U526">
        <f t="shared" si="35"/>
        <v>6.1440000899999996</v>
      </c>
    </row>
    <row r="527" spans="1:21" x14ac:dyDescent="0.35">
      <c r="A527" t="str">
        <f t="shared" si="32"/>
        <v>2022</v>
      </c>
      <c r="B527" t="str">
        <f t="shared" si="33"/>
        <v>12</v>
      </c>
      <c r="C527" t="s">
        <v>87</v>
      </c>
      <c r="D527">
        <v>202212</v>
      </c>
      <c r="E527" s="11" t="s">
        <v>49</v>
      </c>
      <c r="F527">
        <v>83.547240000000002</v>
      </c>
      <c r="G527">
        <v>83.547240000000002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T527" t="str">
        <f t="shared" si="34"/>
        <v>040145202212</v>
      </c>
      <c r="U527">
        <f t="shared" si="35"/>
        <v>83.547240000000002</v>
      </c>
    </row>
    <row r="528" spans="1:21" x14ac:dyDescent="0.35">
      <c r="A528" t="str">
        <f t="shared" si="32"/>
        <v>2022</v>
      </c>
      <c r="B528" t="str">
        <f t="shared" si="33"/>
        <v>12</v>
      </c>
      <c r="C528" t="s">
        <v>87</v>
      </c>
      <c r="D528">
        <v>202212</v>
      </c>
      <c r="E528" s="11" t="s">
        <v>50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T528" t="str">
        <f t="shared" si="34"/>
        <v>040147202212</v>
      </c>
      <c r="U528">
        <f t="shared" si="35"/>
        <v>0</v>
      </c>
    </row>
    <row r="529" spans="1:21" x14ac:dyDescent="0.35">
      <c r="A529" t="str">
        <f t="shared" si="32"/>
        <v>2022</v>
      </c>
      <c r="B529" t="str">
        <f t="shared" si="33"/>
        <v>12</v>
      </c>
      <c r="C529" t="s">
        <v>87</v>
      </c>
      <c r="D529">
        <v>202212</v>
      </c>
      <c r="E529" s="11" t="s">
        <v>51</v>
      </c>
      <c r="F529">
        <v>0</v>
      </c>
      <c r="G529">
        <v>0</v>
      </c>
      <c r="H529">
        <v>0</v>
      </c>
      <c r="I529">
        <v>9.9425749999999997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0.156747</v>
      </c>
      <c r="Q529">
        <v>0</v>
      </c>
      <c r="R529">
        <v>0</v>
      </c>
      <c r="T529" t="str">
        <f t="shared" si="34"/>
        <v>040149202212</v>
      </c>
      <c r="U529">
        <f t="shared" si="35"/>
        <v>9.9425749999999997</v>
      </c>
    </row>
    <row r="530" spans="1:21" x14ac:dyDescent="0.35">
      <c r="A530" t="str">
        <f t="shared" si="32"/>
        <v>2022</v>
      </c>
      <c r="B530" t="str">
        <f t="shared" si="33"/>
        <v>12</v>
      </c>
      <c r="C530" t="s">
        <v>87</v>
      </c>
      <c r="D530">
        <v>202212</v>
      </c>
      <c r="E530" s="11" t="s">
        <v>52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T530" t="str">
        <f t="shared" si="34"/>
        <v>040150202212</v>
      </c>
      <c r="U530">
        <f t="shared" si="35"/>
        <v>0</v>
      </c>
    </row>
    <row r="531" spans="1:21" x14ac:dyDescent="0.35">
      <c r="A531" t="str">
        <f t="shared" si="32"/>
        <v>2022</v>
      </c>
      <c r="B531" t="str">
        <f t="shared" si="33"/>
        <v>12</v>
      </c>
      <c r="C531" t="s">
        <v>87</v>
      </c>
      <c r="D531">
        <v>202212</v>
      </c>
      <c r="E531" s="11" t="s">
        <v>53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T531" t="str">
        <f t="shared" si="34"/>
        <v>040151202212</v>
      </c>
      <c r="U531">
        <f t="shared" si="35"/>
        <v>0</v>
      </c>
    </row>
    <row r="532" spans="1:21" x14ac:dyDescent="0.35">
      <c r="A532" t="str">
        <f t="shared" si="32"/>
        <v>2022</v>
      </c>
      <c r="B532" t="str">
        <f t="shared" si="33"/>
        <v>12</v>
      </c>
      <c r="C532" t="s">
        <v>87</v>
      </c>
      <c r="D532">
        <v>202212</v>
      </c>
      <c r="E532" s="11" t="s">
        <v>54</v>
      </c>
      <c r="F532">
        <v>3.0754028</v>
      </c>
      <c r="G532">
        <v>3.0754028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T532" t="str">
        <f t="shared" si="34"/>
        <v>040152202212</v>
      </c>
      <c r="U532">
        <f t="shared" si="35"/>
        <v>3.0754028</v>
      </c>
    </row>
    <row r="533" spans="1:21" x14ac:dyDescent="0.35">
      <c r="A533" t="str">
        <f t="shared" si="32"/>
        <v>2022</v>
      </c>
      <c r="B533" t="str">
        <f t="shared" si="33"/>
        <v>12</v>
      </c>
      <c r="C533" t="s">
        <v>87</v>
      </c>
      <c r="D533">
        <v>202212</v>
      </c>
      <c r="E533" s="11" t="s">
        <v>55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T533" t="str">
        <f t="shared" si="34"/>
        <v>040154202212</v>
      </c>
      <c r="U533">
        <f t="shared" si="35"/>
        <v>0</v>
      </c>
    </row>
    <row r="534" spans="1:21" x14ac:dyDescent="0.35">
      <c r="A534" t="str">
        <f t="shared" si="32"/>
        <v>2022</v>
      </c>
      <c r="B534" t="str">
        <f t="shared" si="33"/>
        <v>12</v>
      </c>
      <c r="C534" t="s">
        <v>87</v>
      </c>
      <c r="D534">
        <v>202212</v>
      </c>
      <c r="E534" s="11" t="s">
        <v>56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T534" t="str">
        <f t="shared" si="34"/>
        <v>040155202212</v>
      </c>
      <c r="U534">
        <f t="shared" si="35"/>
        <v>0</v>
      </c>
    </row>
    <row r="535" spans="1:21" x14ac:dyDescent="0.35">
      <c r="A535" t="str">
        <f t="shared" si="32"/>
        <v>2022</v>
      </c>
      <c r="B535" t="str">
        <f t="shared" si="33"/>
        <v>12</v>
      </c>
      <c r="C535" t="s">
        <v>87</v>
      </c>
      <c r="D535">
        <v>202212</v>
      </c>
      <c r="E535" s="11" t="s">
        <v>57</v>
      </c>
      <c r="F535">
        <v>238.92470900000001</v>
      </c>
      <c r="G535">
        <v>238.92470900000001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T535" t="str">
        <f t="shared" si="34"/>
        <v>040156202212</v>
      </c>
      <c r="U535">
        <f t="shared" si="35"/>
        <v>238.92470900000001</v>
      </c>
    </row>
    <row r="536" spans="1:21" x14ac:dyDescent="0.35">
      <c r="A536" t="str">
        <f t="shared" si="32"/>
        <v>2022</v>
      </c>
      <c r="B536" t="str">
        <f t="shared" si="33"/>
        <v>12</v>
      </c>
      <c r="C536" t="s">
        <v>87</v>
      </c>
      <c r="D536">
        <v>202212</v>
      </c>
      <c r="E536" s="11" t="s">
        <v>58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T536" t="str">
        <f t="shared" si="34"/>
        <v>040157202212</v>
      </c>
      <c r="U536">
        <f t="shared" si="35"/>
        <v>0</v>
      </c>
    </row>
    <row r="537" spans="1:21" x14ac:dyDescent="0.35">
      <c r="A537" t="str">
        <f t="shared" si="32"/>
        <v>2022</v>
      </c>
      <c r="B537" t="str">
        <f t="shared" si="33"/>
        <v>12</v>
      </c>
      <c r="C537" t="s">
        <v>87</v>
      </c>
      <c r="D537">
        <v>202212</v>
      </c>
      <c r="E537" s="11" t="s">
        <v>59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T537" t="str">
        <f t="shared" si="34"/>
        <v>040158202212</v>
      </c>
      <c r="U537">
        <f t="shared" si="35"/>
        <v>0</v>
      </c>
    </row>
    <row r="538" spans="1:21" x14ac:dyDescent="0.35">
      <c r="A538" t="str">
        <f t="shared" si="32"/>
        <v>2022</v>
      </c>
      <c r="B538" t="str">
        <f t="shared" si="33"/>
        <v>12</v>
      </c>
      <c r="C538" t="s">
        <v>87</v>
      </c>
      <c r="D538">
        <v>202212</v>
      </c>
      <c r="E538" s="11" t="s">
        <v>60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T538" t="str">
        <f t="shared" si="34"/>
        <v>040159202212</v>
      </c>
      <c r="U538">
        <f t="shared" si="35"/>
        <v>0</v>
      </c>
    </row>
    <row r="539" spans="1:21" x14ac:dyDescent="0.35">
      <c r="A539" t="str">
        <f t="shared" si="32"/>
        <v>2022</v>
      </c>
      <c r="B539" t="str">
        <f t="shared" si="33"/>
        <v>12</v>
      </c>
      <c r="C539" t="s">
        <v>87</v>
      </c>
      <c r="D539">
        <v>202212</v>
      </c>
      <c r="E539" s="11" t="s">
        <v>63</v>
      </c>
      <c r="F539">
        <v>2E-8</v>
      </c>
      <c r="G539">
        <v>0</v>
      </c>
      <c r="H539">
        <v>2E-8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T539" t="str">
        <f t="shared" si="34"/>
        <v>040160202212</v>
      </c>
      <c r="U539">
        <f t="shared" si="35"/>
        <v>2E-8</v>
      </c>
    </row>
    <row r="540" spans="1:21" x14ac:dyDescent="0.35">
      <c r="A540" t="str">
        <f t="shared" si="32"/>
        <v>2022</v>
      </c>
      <c r="B540" t="str">
        <f t="shared" si="33"/>
        <v>12</v>
      </c>
      <c r="C540" t="s">
        <v>87</v>
      </c>
      <c r="D540">
        <v>202212</v>
      </c>
      <c r="E540" s="11" t="s">
        <v>61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T540" t="str">
        <f t="shared" si="34"/>
        <v>040162202212</v>
      </c>
      <c r="U540">
        <f t="shared" si="35"/>
        <v>0</v>
      </c>
    </row>
    <row r="541" spans="1:21" x14ac:dyDescent="0.35">
      <c r="A541">
        <v>2023</v>
      </c>
      <c r="B541" t="s">
        <v>88</v>
      </c>
      <c r="C541" t="s">
        <v>89</v>
      </c>
      <c r="D541">
        <v>202301</v>
      </c>
      <c r="E541" s="11">
        <v>5</v>
      </c>
      <c r="F541">
        <v>831.05770117999998</v>
      </c>
      <c r="G541">
        <v>825.18064064999999</v>
      </c>
      <c r="H541">
        <v>5.7911843799999998</v>
      </c>
      <c r="I541">
        <v>6782.0444602099997</v>
      </c>
      <c r="J541">
        <v>1079.64258928</v>
      </c>
      <c r="K541">
        <v>44.630377000000003</v>
      </c>
      <c r="L541">
        <v>1.199606</v>
      </c>
      <c r="M541">
        <v>1.199606</v>
      </c>
      <c r="N541">
        <v>0</v>
      </c>
      <c r="O541">
        <v>0</v>
      </c>
      <c r="P541">
        <v>59.540727090000004</v>
      </c>
      <c r="Q541">
        <v>50.59434108</v>
      </c>
      <c r="R541">
        <v>0</v>
      </c>
      <c r="T541" t="str">
        <f t="shared" si="34"/>
        <v>5202301</v>
      </c>
      <c r="U541">
        <f t="shared" si="35"/>
        <v>8692.7447506699991</v>
      </c>
    </row>
    <row r="542" spans="1:21" x14ac:dyDescent="0.35">
      <c r="A542">
        <v>2023</v>
      </c>
      <c r="B542" t="s">
        <v>88</v>
      </c>
      <c r="C542" t="s">
        <v>89</v>
      </c>
      <c r="D542">
        <v>202301</v>
      </c>
      <c r="E542" s="11" t="s">
        <v>19</v>
      </c>
      <c r="F542">
        <v>323.51877200000001</v>
      </c>
      <c r="G542">
        <v>323.51874600000002</v>
      </c>
      <c r="H542">
        <v>1.5E-5</v>
      </c>
      <c r="I542">
        <v>300.49205899999998</v>
      </c>
      <c r="J542">
        <v>94.927640999999994</v>
      </c>
      <c r="K542">
        <v>44.630377000000003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T542" t="str">
        <f t="shared" si="34"/>
        <v>040002202301</v>
      </c>
      <c r="U542">
        <f t="shared" si="35"/>
        <v>718.93847200000005</v>
      </c>
    </row>
    <row r="543" spans="1:21" x14ac:dyDescent="0.35">
      <c r="A543">
        <v>2023</v>
      </c>
      <c r="B543" t="s">
        <v>88</v>
      </c>
      <c r="C543" t="s">
        <v>89</v>
      </c>
      <c r="D543">
        <v>202301</v>
      </c>
      <c r="E543" s="11" t="s">
        <v>20</v>
      </c>
      <c r="F543">
        <v>140.91089919999999</v>
      </c>
      <c r="G543">
        <v>140.91089919999999</v>
      </c>
      <c r="H543">
        <v>0</v>
      </c>
      <c r="I543">
        <v>2698.5508340599999</v>
      </c>
      <c r="J543">
        <v>607.58728339999993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T543" t="str">
        <f t="shared" si="34"/>
        <v>040012202301</v>
      </c>
      <c r="U543">
        <f t="shared" si="35"/>
        <v>3447.0490166600002</v>
      </c>
    </row>
    <row r="544" spans="1:21" x14ac:dyDescent="0.35">
      <c r="A544">
        <v>2023</v>
      </c>
      <c r="B544" t="s">
        <v>88</v>
      </c>
      <c r="C544" t="s">
        <v>89</v>
      </c>
      <c r="D544">
        <v>202301</v>
      </c>
      <c r="E544" s="11" t="s">
        <v>21</v>
      </c>
      <c r="F544">
        <v>205.82568699999999</v>
      </c>
      <c r="G544">
        <v>205.82568699999999</v>
      </c>
      <c r="H544">
        <v>0</v>
      </c>
      <c r="I544">
        <v>608.96189400000003</v>
      </c>
      <c r="J544">
        <v>171.493144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T544" t="str">
        <f t="shared" si="34"/>
        <v>040014202301</v>
      </c>
      <c r="U544">
        <f t="shared" si="35"/>
        <v>986.28072500000007</v>
      </c>
    </row>
    <row r="545" spans="1:21" x14ac:dyDescent="0.35">
      <c r="A545">
        <v>2023</v>
      </c>
      <c r="B545" t="s">
        <v>88</v>
      </c>
      <c r="C545" t="s">
        <v>89</v>
      </c>
      <c r="D545">
        <v>202301</v>
      </c>
      <c r="E545" s="11" t="s">
        <v>22</v>
      </c>
      <c r="F545">
        <v>45.612161999999998</v>
      </c>
      <c r="G545">
        <v>45.612161999999998</v>
      </c>
      <c r="H545">
        <v>0</v>
      </c>
      <c r="I545">
        <v>663.23881100000006</v>
      </c>
      <c r="J545">
        <v>17.182054000000001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27.688186000000002</v>
      </c>
      <c r="Q545">
        <v>19.796859000000001</v>
      </c>
      <c r="R545">
        <v>0</v>
      </c>
      <c r="T545" t="str">
        <f t="shared" si="34"/>
        <v>040021202301</v>
      </c>
      <c r="U545">
        <f t="shared" si="35"/>
        <v>726.03302700000006</v>
      </c>
    </row>
    <row r="546" spans="1:21" x14ac:dyDescent="0.35">
      <c r="A546">
        <v>2023</v>
      </c>
      <c r="B546" t="s">
        <v>88</v>
      </c>
      <c r="C546" t="s">
        <v>89</v>
      </c>
      <c r="D546">
        <v>202301</v>
      </c>
      <c r="E546" s="11" t="s">
        <v>23</v>
      </c>
      <c r="F546">
        <v>7.1916171699999998</v>
      </c>
      <c r="G546">
        <v>7.1916171699999998</v>
      </c>
      <c r="H546">
        <v>0</v>
      </c>
      <c r="I546">
        <v>24.092442269999999</v>
      </c>
      <c r="J546">
        <v>4.3579303400000002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0.70248979</v>
      </c>
      <c r="R546">
        <v>0</v>
      </c>
      <c r="T546" t="str">
        <f t="shared" si="34"/>
        <v>040030202301</v>
      </c>
      <c r="U546">
        <f t="shared" si="35"/>
        <v>35.641989780000003</v>
      </c>
    </row>
    <row r="547" spans="1:21" x14ac:dyDescent="0.35">
      <c r="A547">
        <v>2023</v>
      </c>
      <c r="B547" t="s">
        <v>88</v>
      </c>
      <c r="C547" t="s">
        <v>89</v>
      </c>
      <c r="D547">
        <v>202301</v>
      </c>
      <c r="E547" s="11" t="s">
        <v>24</v>
      </c>
      <c r="F547">
        <v>0</v>
      </c>
      <c r="G547">
        <v>0</v>
      </c>
      <c r="H547">
        <v>0</v>
      </c>
      <c r="I547">
        <v>4.9367979999999996</v>
      </c>
      <c r="J547">
        <v>9.8029999999999992E-3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T547" t="str">
        <f t="shared" si="34"/>
        <v>040036202301</v>
      </c>
      <c r="U547">
        <f t="shared" si="35"/>
        <v>4.9466009999999994</v>
      </c>
    </row>
    <row r="548" spans="1:21" x14ac:dyDescent="0.35">
      <c r="A548">
        <v>2023</v>
      </c>
      <c r="B548" t="s">
        <v>88</v>
      </c>
      <c r="C548" t="s">
        <v>89</v>
      </c>
      <c r="D548">
        <v>202301</v>
      </c>
      <c r="E548" s="11" t="s">
        <v>25</v>
      </c>
      <c r="F548">
        <v>0</v>
      </c>
      <c r="G548">
        <v>0</v>
      </c>
      <c r="H548">
        <v>0</v>
      </c>
      <c r="I548">
        <v>1.6561999999999999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T548" t="str">
        <f t="shared" si="34"/>
        <v>040042202301</v>
      </c>
      <c r="U548">
        <f t="shared" si="35"/>
        <v>1.6561999999999999</v>
      </c>
    </row>
    <row r="549" spans="1:21" x14ac:dyDescent="0.35">
      <c r="A549">
        <v>2023</v>
      </c>
      <c r="B549" t="s">
        <v>88</v>
      </c>
      <c r="C549" t="s">
        <v>89</v>
      </c>
      <c r="D549">
        <v>202301</v>
      </c>
      <c r="E549" s="11" t="s">
        <v>26</v>
      </c>
      <c r="F549">
        <v>3.5795270000000001</v>
      </c>
      <c r="G549">
        <v>3.5795270000000001</v>
      </c>
      <c r="H549">
        <v>0</v>
      </c>
      <c r="I549">
        <v>143.00295399999999</v>
      </c>
      <c r="J549">
        <v>17.145257000000001</v>
      </c>
      <c r="K549">
        <v>0</v>
      </c>
      <c r="L549">
        <v>1.199606</v>
      </c>
      <c r="M549">
        <v>1.199606</v>
      </c>
      <c r="N549">
        <v>0</v>
      </c>
      <c r="O549">
        <v>0</v>
      </c>
      <c r="P549">
        <v>22.180007</v>
      </c>
      <c r="Q549">
        <v>29.627109999999998</v>
      </c>
      <c r="R549">
        <v>0</v>
      </c>
      <c r="T549" t="str">
        <f t="shared" si="34"/>
        <v>040044202301</v>
      </c>
      <c r="U549">
        <f t="shared" si="35"/>
        <v>163.72773799999999</v>
      </c>
    </row>
    <row r="550" spans="1:21" x14ac:dyDescent="0.35">
      <c r="A550">
        <v>2023</v>
      </c>
      <c r="B550" t="s">
        <v>88</v>
      </c>
      <c r="C550" t="s">
        <v>89</v>
      </c>
      <c r="D550">
        <v>202301</v>
      </c>
      <c r="E550" s="11" t="s">
        <v>27</v>
      </c>
      <c r="F550">
        <v>28.452680440000002</v>
      </c>
      <c r="G550">
        <v>28.452680440000002</v>
      </c>
      <c r="H550">
        <v>0</v>
      </c>
      <c r="I550">
        <v>25.464078449999999</v>
      </c>
      <c r="J550">
        <v>2.2387467200000004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T550" t="str">
        <f t="shared" si="34"/>
        <v>040058202301</v>
      </c>
      <c r="U550">
        <f t="shared" si="35"/>
        <v>56.155505609999999</v>
      </c>
    </row>
    <row r="551" spans="1:21" x14ac:dyDescent="0.35">
      <c r="A551">
        <v>2023</v>
      </c>
      <c r="B551" t="s">
        <v>88</v>
      </c>
      <c r="C551" t="s">
        <v>89</v>
      </c>
      <c r="D551">
        <v>202301</v>
      </c>
      <c r="E551" s="11" t="s">
        <v>28</v>
      </c>
      <c r="F551">
        <v>0</v>
      </c>
      <c r="G551">
        <v>0</v>
      </c>
      <c r="H551">
        <v>0</v>
      </c>
      <c r="I551">
        <v>41.460197999999998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T551" t="str">
        <f t="shared" si="34"/>
        <v>040059202301</v>
      </c>
      <c r="U551">
        <f t="shared" si="35"/>
        <v>41.460197999999998</v>
      </c>
    </row>
    <row r="552" spans="1:21" x14ac:dyDescent="0.35">
      <c r="A552">
        <v>2023</v>
      </c>
      <c r="B552" t="s">
        <v>88</v>
      </c>
      <c r="C552" t="s">
        <v>89</v>
      </c>
      <c r="D552">
        <v>202301</v>
      </c>
      <c r="E552" s="11" t="s">
        <v>62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T552" t="str">
        <f t="shared" si="34"/>
        <v>040060202301</v>
      </c>
      <c r="U552">
        <f t="shared" si="35"/>
        <v>0</v>
      </c>
    </row>
    <row r="553" spans="1:21" x14ac:dyDescent="0.35">
      <c r="A553">
        <v>2023</v>
      </c>
      <c r="B553" t="s">
        <v>88</v>
      </c>
      <c r="C553" t="s">
        <v>89</v>
      </c>
      <c r="D553">
        <v>202301</v>
      </c>
      <c r="E553" s="11" t="s">
        <v>29</v>
      </c>
      <c r="F553">
        <v>1.9279000000000001E-2</v>
      </c>
      <c r="G553">
        <v>1.9279000000000001E-2</v>
      </c>
      <c r="H553">
        <v>0</v>
      </c>
      <c r="I553">
        <v>72.805623999999995</v>
      </c>
      <c r="J553">
        <v>1.3217E-2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T553" t="str">
        <f t="shared" si="34"/>
        <v>040062202301</v>
      </c>
      <c r="U553">
        <f t="shared" si="35"/>
        <v>72.838119999999989</v>
      </c>
    </row>
    <row r="554" spans="1:21" x14ac:dyDescent="0.35">
      <c r="A554">
        <v>2023</v>
      </c>
      <c r="B554" t="s">
        <v>88</v>
      </c>
      <c r="C554" t="s">
        <v>89</v>
      </c>
      <c r="D554">
        <v>202301</v>
      </c>
      <c r="E554" s="11" t="s">
        <v>30</v>
      </c>
      <c r="F554">
        <v>47.568236770000006</v>
      </c>
      <c r="G554">
        <v>47.568236770000006</v>
      </c>
      <c r="H554">
        <v>0</v>
      </c>
      <c r="I554">
        <v>1113.8893330799999</v>
      </c>
      <c r="J554">
        <v>164.64799063999999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T554" t="str">
        <f t="shared" si="34"/>
        <v>040072202301</v>
      </c>
      <c r="U554">
        <f t="shared" si="35"/>
        <v>1326.10556049</v>
      </c>
    </row>
    <row r="555" spans="1:21" x14ac:dyDescent="0.35">
      <c r="A555">
        <v>2023</v>
      </c>
      <c r="B555" t="s">
        <v>88</v>
      </c>
      <c r="C555" t="s">
        <v>89</v>
      </c>
      <c r="D555">
        <v>202301</v>
      </c>
      <c r="E555" s="11" t="s">
        <v>31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T555" t="str">
        <f t="shared" si="34"/>
        <v>040106202301</v>
      </c>
      <c r="U555">
        <f t="shared" si="35"/>
        <v>0</v>
      </c>
    </row>
    <row r="556" spans="1:21" x14ac:dyDescent="0.35">
      <c r="A556">
        <v>2023</v>
      </c>
      <c r="B556" t="s">
        <v>88</v>
      </c>
      <c r="C556" t="s">
        <v>89</v>
      </c>
      <c r="D556">
        <v>202301</v>
      </c>
      <c r="E556" s="11" t="s">
        <v>32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T556" t="str">
        <f t="shared" si="34"/>
        <v>040108202301</v>
      </c>
      <c r="U556">
        <f t="shared" si="35"/>
        <v>0</v>
      </c>
    </row>
    <row r="557" spans="1:21" x14ac:dyDescent="0.35">
      <c r="A557">
        <v>2023</v>
      </c>
      <c r="B557" t="s">
        <v>88</v>
      </c>
      <c r="C557" t="s">
        <v>89</v>
      </c>
      <c r="D557">
        <v>202301</v>
      </c>
      <c r="E557" s="11" t="s">
        <v>33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T557" t="str">
        <f t="shared" si="34"/>
        <v>040110202301</v>
      </c>
      <c r="U557">
        <f t="shared" si="35"/>
        <v>0</v>
      </c>
    </row>
    <row r="558" spans="1:21" x14ac:dyDescent="0.35">
      <c r="A558">
        <v>2023</v>
      </c>
      <c r="B558" t="s">
        <v>88</v>
      </c>
      <c r="C558" t="s">
        <v>89</v>
      </c>
      <c r="D558">
        <v>202301</v>
      </c>
      <c r="E558" s="11" t="s">
        <v>34</v>
      </c>
      <c r="F558">
        <v>14.62088196</v>
      </c>
      <c r="G558">
        <v>14.53501681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T558" t="str">
        <f t="shared" si="34"/>
        <v>040112202301</v>
      </c>
      <c r="U558">
        <f t="shared" si="35"/>
        <v>14.62088196</v>
      </c>
    </row>
    <row r="559" spans="1:21" x14ac:dyDescent="0.35">
      <c r="A559">
        <v>2023</v>
      </c>
      <c r="B559" t="s">
        <v>88</v>
      </c>
      <c r="C559" t="s">
        <v>89</v>
      </c>
      <c r="D559">
        <v>202301</v>
      </c>
      <c r="E559" s="11" t="s">
        <v>35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T559" t="str">
        <f t="shared" si="34"/>
        <v>040113202301</v>
      </c>
      <c r="U559">
        <f t="shared" si="35"/>
        <v>0</v>
      </c>
    </row>
    <row r="560" spans="1:21" x14ac:dyDescent="0.35">
      <c r="A560">
        <v>2023</v>
      </c>
      <c r="B560" t="s">
        <v>88</v>
      </c>
      <c r="C560" t="s">
        <v>89</v>
      </c>
      <c r="D560">
        <v>202301</v>
      </c>
      <c r="E560" s="11" t="s">
        <v>36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T560" t="str">
        <f t="shared" si="34"/>
        <v>040126202301</v>
      </c>
      <c r="U560">
        <f t="shared" si="35"/>
        <v>0</v>
      </c>
    </row>
    <row r="561" spans="1:21" x14ac:dyDescent="0.35">
      <c r="A561">
        <v>2023</v>
      </c>
      <c r="B561" t="s">
        <v>88</v>
      </c>
      <c r="C561" t="s">
        <v>89</v>
      </c>
      <c r="D561">
        <v>202301</v>
      </c>
      <c r="E561" s="11" t="s">
        <v>37</v>
      </c>
      <c r="F561">
        <v>0</v>
      </c>
      <c r="G561">
        <v>0</v>
      </c>
      <c r="H561">
        <v>0</v>
      </c>
      <c r="I561">
        <v>808.65371152</v>
      </c>
      <c r="J561">
        <v>6.3818399999999997E-3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T561" t="str">
        <f t="shared" si="34"/>
        <v>040127202301</v>
      </c>
      <c r="U561">
        <f t="shared" si="35"/>
        <v>808.66009336000002</v>
      </c>
    </row>
    <row r="562" spans="1:21" x14ac:dyDescent="0.35">
      <c r="A562">
        <v>2023</v>
      </c>
      <c r="B562" t="s">
        <v>88</v>
      </c>
      <c r="C562" t="s">
        <v>89</v>
      </c>
      <c r="D562">
        <v>202301</v>
      </c>
      <c r="E562" s="11" t="s">
        <v>38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T562" t="str">
        <f t="shared" si="34"/>
        <v>040128202301</v>
      </c>
      <c r="U562">
        <f t="shared" si="35"/>
        <v>0</v>
      </c>
    </row>
    <row r="563" spans="1:21" x14ac:dyDescent="0.35">
      <c r="A563">
        <v>2023</v>
      </c>
      <c r="B563" t="s">
        <v>88</v>
      </c>
      <c r="C563" t="s">
        <v>89</v>
      </c>
      <c r="D563">
        <v>202301</v>
      </c>
      <c r="E563" s="11" t="s">
        <v>39</v>
      </c>
      <c r="F563">
        <v>0</v>
      </c>
      <c r="G563">
        <v>0</v>
      </c>
      <c r="H563">
        <v>0</v>
      </c>
      <c r="I563">
        <v>215.841634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4.7082069999999998</v>
      </c>
      <c r="Q563">
        <v>0</v>
      </c>
      <c r="R563">
        <v>0</v>
      </c>
      <c r="T563" t="str">
        <f t="shared" si="34"/>
        <v>040130202301</v>
      </c>
      <c r="U563">
        <f t="shared" si="35"/>
        <v>215.841634</v>
      </c>
    </row>
    <row r="564" spans="1:21" x14ac:dyDescent="0.35">
      <c r="A564">
        <v>2023</v>
      </c>
      <c r="B564" t="s">
        <v>88</v>
      </c>
      <c r="C564" t="s">
        <v>89</v>
      </c>
      <c r="D564">
        <v>202301</v>
      </c>
      <c r="E564" s="11" t="s">
        <v>40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T564" t="str">
        <f t="shared" si="34"/>
        <v>040132202301</v>
      </c>
      <c r="U564">
        <f t="shared" si="35"/>
        <v>0</v>
      </c>
    </row>
    <row r="565" spans="1:21" x14ac:dyDescent="0.35">
      <c r="A565">
        <v>2023</v>
      </c>
      <c r="B565" t="s">
        <v>88</v>
      </c>
      <c r="C565" t="s">
        <v>89</v>
      </c>
      <c r="D565">
        <v>202301</v>
      </c>
      <c r="E565" s="11" t="s">
        <v>41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T565" t="str">
        <f t="shared" si="34"/>
        <v>040133202301</v>
      </c>
      <c r="U565">
        <f t="shared" si="35"/>
        <v>0</v>
      </c>
    </row>
    <row r="566" spans="1:21" x14ac:dyDescent="0.35">
      <c r="A566">
        <v>2023</v>
      </c>
      <c r="B566" t="s">
        <v>88</v>
      </c>
      <c r="C566" t="s">
        <v>89</v>
      </c>
      <c r="D566">
        <v>202301</v>
      </c>
      <c r="E566" s="11" t="s">
        <v>42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T566" t="str">
        <f t="shared" si="34"/>
        <v>040136202301</v>
      </c>
      <c r="U566">
        <f t="shared" si="35"/>
        <v>0</v>
      </c>
    </row>
    <row r="567" spans="1:21" x14ac:dyDescent="0.35">
      <c r="A567">
        <v>2023</v>
      </c>
      <c r="B567" t="s">
        <v>88</v>
      </c>
      <c r="C567" t="s">
        <v>89</v>
      </c>
      <c r="D567">
        <v>202301</v>
      </c>
      <c r="E567" s="11" t="s">
        <v>43</v>
      </c>
      <c r="F567">
        <v>0</v>
      </c>
      <c r="G567">
        <v>0</v>
      </c>
      <c r="H567">
        <v>0</v>
      </c>
      <c r="I567">
        <v>16.333466650000002</v>
      </c>
      <c r="J567">
        <v>1.6683470000000002E-2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T567" t="str">
        <f t="shared" si="34"/>
        <v>040137202301</v>
      </c>
      <c r="U567">
        <f t="shared" si="35"/>
        <v>16.350150120000002</v>
      </c>
    </row>
    <row r="568" spans="1:21" x14ac:dyDescent="0.35">
      <c r="A568">
        <v>2023</v>
      </c>
      <c r="B568" t="s">
        <v>88</v>
      </c>
      <c r="C568" t="s">
        <v>89</v>
      </c>
      <c r="D568">
        <v>202301</v>
      </c>
      <c r="E568" s="11" t="s">
        <v>44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T568" t="str">
        <f t="shared" si="34"/>
        <v>040138202301</v>
      </c>
      <c r="U568">
        <f t="shared" si="35"/>
        <v>0</v>
      </c>
    </row>
    <row r="569" spans="1:21" x14ac:dyDescent="0.35">
      <c r="A569">
        <v>2023</v>
      </c>
      <c r="B569" t="s">
        <v>88</v>
      </c>
      <c r="C569" t="s">
        <v>89</v>
      </c>
      <c r="D569">
        <v>202301</v>
      </c>
      <c r="E569" s="11" t="s">
        <v>45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T569" t="str">
        <f t="shared" si="34"/>
        <v>040139202301</v>
      </c>
      <c r="U569">
        <f t="shared" si="35"/>
        <v>0</v>
      </c>
    </row>
    <row r="570" spans="1:21" x14ac:dyDescent="0.35">
      <c r="A570">
        <v>2023</v>
      </c>
      <c r="B570" t="s">
        <v>88</v>
      </c>
      <c r="C570" t="s">
        <v>89</v>
      </c>
      <c r="D570">
        <v>202301</v>
      </c>
      <c r="E570" s="11" t="s">
        <v>46</v>
      </c>
      <c r="F570">
        <v>0</v>
      </c>
      <c r="G570">
        <v>0</v>
      </c>
      <c r="H570">
        <v>0</v>
      </c>
      <c r="I570">
        <v>31.161729000000001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T570" t="str">
        <f t="shared" si="34"/>
        <v>040140202301</v>
      </c>
      <c r="U570">
        <f t="shared" si="35"/>
        <v>31.161729000000001</v>
      </c>
    </row>
    <row r="571" spans="1:21" x14ac:dyDescent="0.35">
      <c r="A571">
        <v>2023</v>
      </c>
      <c r="B571" t="s">
        <v>88</v>
      </c>
      <c r="C571" t="s">
        <v>89</v>
      </c>
      <c r="D571">
        <v>202301</v>
      </c>
      <c r="E571" s="11" t="s">
        <v>47</v>
      </c>
      <c r="F571">
        <v>0</v>
      </c>
      <c r="G571">
        <v>0</v>
      </c>
      <c r="H571">
        <v>0</v>
      </c>
      <c r="I571">
        <v>0.13730300000000001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T571" t="str">
        <f t="shared" si="34"/>
        <v>040141202301</v>
      </c>
      <c r="U571">
        <f t="shared" si="35"/>
        <v>0.13730300000000001</v>
      </c>
    </row>
    <row r="572" spans="1:21" x14ac:dyDescent="0.35">
      <c r="A572">
        <v>2023</v>
      </c>
      <c r="B572" t="s">
        <v>88</v>
      </c>
      <c r="C572" t="s">
        <v>89</v>
      </c>
      <c r="D572">
        <v>202301</v>
      </c>
      <c r="E572" s="11" t="s">
        <v>48</v>
      </c>
      <c r="F572">
        <v>7.97685712</v>
      </c>
      <c r="G572">
        <v>7.2637524100000004</v>
      </c>
      <c r="H572">
        <v>0.71310470999999997</v>
      </c>
      <c r="I572">
        <v>1.7018011799999999</v>
      </c>
      <c r="J572">
        <v>1.6456869999999998E-2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4.7558610899999998</v>
      </c>
      <c r="Q572">
        <v>9.3027289999999999E-2</v>
      </c>
      <c r="R572">
        <v>0</v>
      </c>
      <c r="T572" t="str">
        <f t="shared" si="34"/>
        <v>040143202301</v>
      </c>
      <c r="U572">
        <f t="shared" si="35"/>
        <v>9.6951151700000011</v>
      </c>
    </row>
    <row r="573" spans="1:21" x14ac:dyDescent="0.35">
      <c r="A573">
        <v>2023</v>
      </c>
      <c r="B573" t="s">
        <v>88</v>
      </c>
      <c r="C573" t="s">
        <v>89</v>
      </c>
      <c r="D573">
        <v>202301</v>
      </c>
      <c r="E573" s="11" t="s">
        <v>49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T573" t="str">
        <f t="shared" si="34"/>
        <v>040145202301</v>
      </c>
      <c r="U573">
        <f t="shared" si="35"/>
        <v>0</v>
      </c>
    </row>
    <row r="574" spans="1:21" x14ac:dyDescent="0.35">
      <c r="A574">
        <v>2023</v>
      </c>
      <c r="B574" t="s">
        <v>88</v>
      </c>
      <c r="C574" t="s">
        <v>89</v>
      </c>
      <c r="D574">
        <v>202301</v>
      </c>
      <c r="E574" s="11" t="s">
        <v>50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T574" t="str">
        <f t="shared" si="34"/>
        <v>040147202301</v>
      </c>
      <c r="U574">
        <f t="shared" si="35"/>
        <v>0</v>
      </c>
    </row>
    <row r="575" spans="1:21" x14ac:dyDescent="0.35">
      <c r="A575">
        <v>2023</v>
      </c>
      <c r="B575" t="s">
        <v>88</v>
      </c>
      <c r="C575" t="s">
        <v>89</v>
      </c>
      <c r="D575">
        <v>202301</v>
      </c>
      <c r="E575" s="11" t="s">
        <v>51</v>
      </c>
      <c r="F575">
        <v>0</v>
      </c>
      <c r="G575">
        <v>0</v>
      </c>
      <c r="H575">
        <v>0</v>
      </c>
      <c r="I575">
        <v>9.663589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0.20846600000000001</v>
      </c>
      <c r="Q575">
        <v>0</v>
      </c>
      <c r="R575">
        <v>0</v>
      </c>
      <c r="T575" t="str">
        <f t="shared" si="34"/>
        <v>040149202301</v>
      </c>
      <c r="U575">
        <f t="shared" si="35"/>
        <v>9.663589</v>
      </c>
    </row>
    <row r="576" spans="1:21" x14ac:dyDescent="0.35">
      <c r="A576">
        <v>2023</v>
      </c>
      <c r="B576" t="s">
        <v>88</v>
      </c>
      <c r="C576" t="s">
        <v>89</v>
      </c>
      <c r="D576">
        <v>202301</v>
      </c>
      <c r="E576" s="11" t="s">
        <v>52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T576" t="str">
        <f t="shared" si="34"/>
        <v>040150202301</v>
      </c>
      <c r="U576">
        <f t="shared" si="35"/>
        <v>0</v>
      </c>
    </row>
    <row r="577" spans="1:21" x14ac:dyDescent="0.35">
      <c r="A577">
        <v>2023</v>
      </c>
      <c r="B577" t="s">
        <v>88</v>
      </c>
      <c r="C577" t="s">
        <v>89</v>
      </c>
      <c r="D577">
        <v>202301</v>
      </c>
      <c r="E577" s="11" t="s">
        <v>53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T577" t="str">
        <f t="shared" si="34"/>
        <v>040151202301</v>
      </c>
      <c r="U577">
        <f t="shared" si="35"/>
        <v>0</v>
      </c>
    </row>
    <row r="578" spans="1:21" x14ac:dyDescent="0.35">
      <c r="A578">
        <v>2023</v>
      </c>
      <c r="B578" t="s">
        <v>88</v>
      </c>
      <c r="C578" t="s">
        <v>89</v>
      </c>
      <c r="D578">
        <v>202301</v>
      </c>
      <c r="E578" s="11" t="s">
        <v>54</v>
      </c>
      <c r="F578">
        <v>5.78110152</v>
      </c>
      <c r="G578">
        <v>0.70303684999999994</v>
      </c>
      <c r="H578">
        <v>5.0780646699999998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T578" t="str">
        <f t="shared" si="34"/>
        <v>040152202301</v>
      </c>
      <c r="U578">
        <f t="shared" si="35"/>
        <v>5.78110152</v>
      </c>
    </row>
    <row r="579" spans="1:21" x14ac:dyDescent="0.35">
      <c r="A579">
        <v>2023</v>
      </c>
      <c r="B579" t="s">
        <v>88</v>
      </c>
      <c r="C579" t="s">
        <v>89</v>
      </c>
      <c r="D579">
        <v>202301</v>
      </c>
      <c r="E579" s="11" t="s">
        <v>55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T579" t="str">
        <f t="shared" ref="T579:T642" si="36">+E579&amp;D579</f>
        <v>040154202301</v>
      </c>
      <c r="U579">
        <f t="shared" ref="U579:U642" si="37">+F579+I579+J579</f>
        <v>0</v>
      </c>
    </row>
    <row r="580" spans="1:21" x14ac:dyDescent="0.35">
      <c r="A580">
        <v>2023</v>
      </c>
      <c r="B580" t="s">
        <v>88</v>
      </c>
      <c r="C580" t="s">
        <v>89</v>
      </c>
      <c r="D580">
        <v>202301</v>
      </c>
      <c r="E580" s="11" t="s">
        <v>56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T580" t="str">
        <f t="shared" si="36"/>
        <v>040155202301</v>
      </c>
      <c r="U580">
        <f t="shared" si="37"/>
        <v>0</v>
      </c>
    </row>
    <row r="581" spans="1:21" x14ac:dyDescent="0.35">
      <c r="A581">
        <v>2023</v>
      </c>
      <c r="B581" t="s">
        <v>88</v>
      </c>
      <c r="C581" t="s">
        <v>89</v>
      </c>
      <c r="D581">
        <v>202301</v>
      </c>
      <c r="E581" s="11" t="s">
        <v>57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0.37485499999999999</v>
      </c>
      <c r="R581">
        <v>0</v>
      </c>
      <c r="T581" t="str">
        <f t="shared" si="36"/>
        <v>040156202301</v>
      </c>
      <c r="U581">
        <f t="shared" si="37"/>
        <v>0</v>
      </c>
    </row>
    <row r="582" spans="1:21" x14ac:dyDescent="0.35">
      <c r="A582">
        <v>2023</v>
      </c>
      <c r="B582" t="s">
        <v>88</v>
      </c>
      <c r="C582" t="s">
        <v>89</v>
      </c>
      <c r="D582">
        <v>202301</v>
      </c>
      <c r="E582" s="11" t="s">
        <v>58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T582" t="str">
        <f t="shared" si="36"/>
        <v>040157202301</v>
      </c>
      <c r="U582">
        <f t="shared" si="37"/>
        <v>0</v>
      </c>
    </row>
    <row r="583" spans="1:21" x14ac:dyDescent="0.35">
      <c r="A583">
        <v>2023</v>
      </c>
      <c r="B583" t="s">
        <v>88</v>
      </c>
      <c r="C583" t="s">
        <v>89</v>
      </c>
      <c r="D583">
        <v>202301</v>
      </c>
      <c r="E583" s="11" t="s">
        <v>59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T583" t="str">
        <f t="shared" si="36"/>
        <v>040158202301</v>
      </c>
      <c r="U583">
        <f t="shared" si="37"/>
        <v>0</v>
      </c>
    </row>
    <row r="584" spans="1:21" x14ac:dyDescent="0.35">
      <c r="A584">
        <v>2023</v>
      </c>
      <c r="B584" t="s">
        <v>88</v>
      </c>
      <c r="C584" t="s">
        <v>89</v>
      </c>
      <c r="D584">
        <v>202301</v>
      </c>
      <c r="E584" s="11" t="s">
        <v>60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T584" t="str">
        <f t="shared" si="36"/>
        <v>040159202301</v>
      </c>
      <c r="U584">
        <f t="shared" si="37"/>
        <v>0</v>
      </c>
    </row>
    <row r="585" spans="1:21" x14ac:dyDescent="0.35">
      <c r="A585">
        <v>2023</v>
      </c>
      <c r="B585" t="s">
        <v>88</v>
      </c>
      <c r="C585" t="s">
        <v>89</v>
      </c>
      <c r="D585">
        <v>202301</v>
      </c>
      <c r="E585" s="11" t="s">
        <v>63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T585" t="str">
        <f t="shared" si="36"/>
        <v>040160202301</v>
      </c>
      <c r="U585">
        <f t="shared" si="37"/>
        <v>0</v>
      </c>
    </row>
    <row r="586" spans="1:21" x14ac:dyDescent="0.35">
      <c r="A586">
        <v>2023</v>
      </c>
      <c r="B586" t="s">
        <v>88</v>
      </c>
      <c r="C586" t="s">
        <v>89</v>
      </c>
      <c r="D586">
        <v>202301</v>
      </c>
      <c r="E586" s="11" t="s">
        <v>61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T586" t="str">
        <f t="shared" si="36"/>
        <v>040162202301</v>
      </c>
      <c r="U586">
        <f t="shared" si="37"/>
        <v>0</v>
      </c>
    </row>
    <row r="587" spans="1:21" x14ac:dyDescent="0.35">
      <c r="A587">
        <v>2023</v>
      </c>
      <c r="B587" t="s">
        <v>90</v>
      </c>
      <c r="C587" s="6" t="s">
        <v>100</v>
      </c>
      <c r="D587">
        <v>202302</v>
      </c>
      <c r="E587" s="11">
        <v>5</v>
      </c>
      <c r="F587">
        <v>644.36039517999995</v>
      </c>
      <c r="G587">
        <v>643.44794317999992</v>
      </c>
      <c r="H587">
        <v>0.91245100000000001</v>
      </c>
      <c r="I587">
        <v>6924.99596415</v>
      </c>
      <c r="J587">
        <v>920.36555903999999</v>
      </c>
      <c r="K587">
        <v>29.077687999999998</v>
      </c>
      <c r="L587">
        <v>19.182442999999999</v>
      </c>
      <c r="M587">
        <v>19.182442999999999</v>
      </c>
      <c r="N587">
        <v>0</v>
      </c>
      <c r="O587">
        <v>0</v>
      </c>
      <c r="P587">
        <v>44.18379564</v>
      </c>
      <c r="Q587">
        <v>21.813445940000001</v>
      </c>
      <c r="R587">
        <v>0</v>
      </c>
      <c r="T587" t="str">
        <f t="shared" si="36"/>
        <v>5202302</v>
      </c>
      <c r="U587">
        <f t="shared" si="37"/>
        <v>8489.7219183699999</v>
      </c>
    </row>
    <row r="588" spans="1:21" x14ac:dyDescent="0.35">
      <c r="A588">
        <v>2023</v>
      </c>
      <c r="B588" t="s">
        <v>90</v>
      </c>
      <c r="C588" s="6" t="s">
        <v>100</v>
      </c>
      <c r="D588">
        <v>202302</v>
      </c>
      <c r="E588" s="11" t="s">
        <v>19</v>
      </c>
      <c r="F588">
        <v>68.422443000000001</v>
      </c>
      <c r="G588">
        <v>68.422443000000001</v>
      </c>
      <c r="H588">
        <v>0</v>
      </c>
      <c r="I588">
        <v>244.24551299999999</v>
      </c>
      <c r="J588">
        <v>299.635313</v>
      </c>
      <c r="K588">
        <v>29.077687999999998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T588" t="str">
        <f t="shared" si="36"/>
        <v>040002202302</v>
      </c>
      <c r="U588">
        <f t="shared" si="37"/>
        <v>612.303269</v>
      </c>
    </row>
    <row r="589" spans="1:21" x14ac:dyDescent="0.35">
      <c r="A589">
        <v>2023</v>
      </c>
      <c r="B589" t="s">
        <v>90</v>
      </c>
      <c r="C589" s="6" t="s">
        <v>100</v>
      </c>
      <c r="D589">
        <v>202302</v>
      </c>
      <c r="E589" s="11" t="s">
        <v>20</v>
      </c>
      <c r="F589">
        <v>134.37653696000001</v>
      </c>
      <c r="G589">
        <v>134.37653696000001</v>
      </c>
      <c r="H589">
        <v>0</v>
      </c>
      <c r="I589">
        <v>2693.3505759999998</v>
      </c>
      <c r="J589">
        <v>306.16191641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T589" t="str">
        <f t="shared" si="36"/>
        <v>040012202302</v>
      </c>
      <c r="U589">
        <f t="shared" si="37"/>
        <v>3133.8890293699997</v>
      </c>
    </row>
    <row r="590" spans="1:21" x14ac:dyDescent="0.35">
      <c r="A590">
        <v>2023</v>
      </c>
      <c r="B590" t="s">
        <v>90</v>
      </c>
      <c r="C590" s="6" t="s">
        <v>100</v>
      </c>
      <c r="D590">
        <v>202302</v>
      </c>
      <c r="E590" s="11" t="s">
        <v>21</v>
      </c>
      <c r="F590">
        <v>166.92868200000001</v>
      </c>
      <c r="G590">
        <v>166.92868200000001</v>
      </c>
      <c r="H590">
        <v>0</v>
      </c>
      <c r="I590">
        <v>709.53514199999995</v>
      </c>
      <c r="J590">
        <v>123.999773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T590" t="str">
        <f t="shared" si="36"/>
        <v>040014202302</v>
      </c>
      <c r="U590">
        <f t="shared" si="37"/>
        <v>1000.4635969999999</v>
      </c>
    </row>
    <row r="591" spans="1:21" x14ac:dyDescent="0.35">
      <c r="A591">
        <v>2023</v>
      </c>
      <c r="B591" t="s">
        <v>90</v>
      </c>
      <c r="C591" s="6" t="s">
        <v>100</v>
      </c>
      <c r="D591">
        <v>202302</v>
      </c>
      <c r="E591" s="11" t="s">
        <v>22</v>
      </c>
      <c r="F591">
        <v>49.085273000000001</v>
      </c>
      <c r="G591">
        <v>49.084584</v>
      </c>
      <c r="H591">
        <v>6.8800000000000003E-4</v>
      </c>
      <c r="I591">
        <v>852.19468600000005</v>
      </c>
      <c r="J591">
        <v>13.245587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24.447561</v>
      </c>
      <c r="Q591">
        <v>16.655452</v>
      </c>
      <c r="R591">
        <v>0</v>
      </c>
      <c r="T591" t="str">
        <f t="shared" si="36"/>
        <v>040021202302</v>
      </c>
      <c r="U591">
        <f t="shared" si="37"/>
        <v>914.52554600000008</v>
      </c>
    </row>
    <row r="592" spans="1:21" x14ac:dyDescent="0.35">
      <c r="A592">
        <v>2023</v>
      </c>
      <c r="B592" t="s">
        <v>90</v>
      </c>
      <c r="C592" s="6" t="s">
        <v>100</v>
      </c>
      <c r="D592">
        <v>202302</v>
      </c>
      <c r="E592" s="11" t="s">
        <v>23</v>
      </c>
      <c r="F592">
        <v>4.2067537499999998</v>
      </c>
      <c r="G592">
        <v>4.2067537499999998</v>
      </c>
      <c r="H592">
        <v>0</v>
      </c>
      <c r="I592">
        <v>24.868082210000001</v>
      </c>
      <c r="J592">
        <v>3.7549284599999999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0.59019087999999997</v>
      </c>
      <c r="R592">
        <v>0</v>
      </c>
      <c r="T592" t="str">
        <f t="shared" si="36"/>
        <v>040030202302</v>
      </c>
      <c r="U592">
        <f t="shared" si="37"/>
        <v>32.829764420000004</v>
      </c>
    </row>
    <row r="593" spans="1:21" x14ac:dyDescent="0.35">
      <c r="A593">
        <v>2023</v>
      </c>
      <c r="B593" t="s">
        <v>90</v>
      </c>
      <c r="C593" s="6" t="s">
        <v>100</v>
      </c>
      <c r="D593">
        <v>202302</v>
      </c>
      <c r="E593" s="11" t="s">
        <v>24</v>
      </c>
      <c r="F593">
        <v>6.0141E-2</v>
      </c>
      <c r="G593">
        <v>6.0141E-2</v>
      </c>
      <c r="H593">
        <v>0</v>
      </c>
      <c r="I593">
        <v>7.7824859999999996</v>
      </c>
      <c r="J593">
        <v>7.6508000000000007E-2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T593" t="str">
        <f t="shared" si="36"/>
        <v>040036202302</v>
      </c>
      <c r="U593">
        <f t="shared" si="37"/>
        <v>7.9191349999999989</v>
      </c>
    </row>
    <row r="594" spans="1:21" x14ac:dyDescent="0.35">
      <c r="A594">
        <v>2023</v>
      </c>
      <c r="B594" t="s">
        <v>90</v>
      </c>
      <c r="C594" s="6" t="s">
        <v>100</v>
      </c>
      <c r="D594">
        <v>202302</v>
      </c>
      <c r="E594" s="11" t="s">
        <v>25</v>
      </c>
      <c r="F594">
        <v>0</v>
      </c>
      <c r="G594">
        <v>0</v>
      </c>
      <c r="H594">
        <v>0</v>
      </c>
      <c r="I594">
        <v>1.199333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T594" t="str">
        <f t="shared" si="36"/>
        <v>040042202302</v>
      </c>
      <c r="U594">
        <f t="shared" si="37"/>
        <v>1.199333</v>
      </c>
    </row>
    <row r="595" spans="1:21" x14ac:dyDescent="0.35">
      <c r="A595">
        <v>2023</v>
      </c>
      <c r="B595" t="s">
        <v>90</v>
      </c>
      <c r="C595" s="6" t="s">
        <v>100</v>
      </c>
      <c r="D595">
        <v>202302</v>
      </c>
      <c r="E595" s="11" t="s">
        <v>26</v>
      </c>
      <c r="F595">
        <v>4.1942589999999997</v>
      </c>
      <c r="G595">
        <v>4.1942589999999997</v>
      </c>
      <c r="H595">
        <v>0</v>
      </c>
      <c r="I595">
        <v>93.696096999999995</v>
      </c>
      <c r="J595">
        <v>19.326298000000001</v>
      </c>
      <c r="K595">
        <v>0</v>
      </c>
      <c r="L595">
        <v>19.182442999999999</v>
      </c>
      <c r="M595">
        <v>19.182442999999999</v>
      </c>
      <c r="N595">
        <v>0</v>
      </c>
      <c r="O595">
        <v>0</v>
      </c>
      <c r="P595">
        <v>10.890502</v>
      </c>
      <c r="Q595">
        <v>4.1337149999999996</v>
      </c>
      <c r="R595">
        <v>0</v>
      </c>
      <c r="T595" t="str">
        <f t="shared" si="36"/>
        <v>040044202302</v>
      </c>
      <c r="U595">
        <f t="shared" si="37"/>
        <v>117.21665400000001</v>
      </c>
    </row>
    <row r="596" spans="1:21" x14ac:dyDescent="0.35">
      <c r="A596">
        <v>2023</v>
      </c>
      <c r="B596" t="s">
        <v>90</v>
      </c>
      <c r="C596" s="6" t="s">
        <v>100</v>
      </c>
      <c r="D596">
        <v>202302</v>
      </c>
      <c r="E596" s="11" t="s">
        <v>27</v>
      </c>
      <c r="F596">
        <v>51.989725790000001</v>
      </c>
      <c r="G596">
        <v>51.989725790000001</v>
      </c>
      <c r="H596">
        <v>0</v>
      </c>
      <c r="I596">
        <v>30.554654719999998</v>
      </c>
      <c r="J596">
        <v>6.89479489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T596" t="str">
        <f t="shared" si="36"/>
        <v>040058202302</v>
      </c>
      <c r="U596">
        <f t="shared" si="37"/>
        <v>89.439175399999996</v>
      </c>
    </row>
    <row r="597" spans="1:21" x14ac:dyDescent="0.35">
      <c r="A597">
        <v>2023</v>
      </c>
      <c r="B597" t="s">
        <v>90</v>
      </c>
      <c r="C597" s="6" t="s">
        <v>100</v>
      </c>
      <c r="D597">
        <v>202302</v>
      </c>
      <c r="E597" s="11" t="s">
        <v>28</v>
      </c>
      <c r="F597">
        <v>0</v>
      </c>
      <c r="G597">
        <v>0</v>
      </c>
      <c r="H597">
        <v>0</v>
      </c>
      <c r="I597">
        <v>50.148330999999999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T597" t="str">
        <f t="shared" si="36"/>
        <v>040059202302</v>
      </c>
      <c r="U597">
        <f t="shared" si="37"/>
        <v>50.148330999999999</v>
      </c>
    </row>
    <row r="598" spans="1:21" x14ac:dyDescent="0.35">
      <c r="A598">
        <v>2023</v>
      </c>
      <c r="B598" t="s">
        <v>90</v>
      </c>
      <c r="C598" s="6" t="s">
        <v>100</v>
      </c>
      <c r="D598">
        <v>202302</v>
      </c>
      <c r="E598" s="11" t="s">
        <v>62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T598" t="str">
        <f t="shared" si="36"/>
        <v>040060202302</v>
      </c>
      <c r="U598">
        <f t="shared" si="37"/>
        <v>0</v>
      </c>
    </row>
    <row r="599" spans="1:21" x14ac:dyDescent="0.35">
      <c r="A599">
        <v>2023</v>
      </c>
      <c r="B599" t="s">
        <v>90</v>
      </c>
      <c r="C599" s="6" t="s">
        <v>100</v>
      </c>
      <c r="D599">
        <v>202302</v>
      </c>
      <c r="E599" s="11" t="s">
        <v>29</v>
      </c>
      <c r="F599">
        <v>0.27916800000000003</v>
      </c>
      <c r="G599">
        <v>0.27916800000000003</v>
      </c>
      <c r="H599">
        <v>0</v>
      </c>
      <c r="I599">
        <v>48.474846999999997</v>
      </c>
      <c r="J599">
        <v>3.8928999999999998E-2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T599" t="str">
        <f t="shared" si="36"/>
        <v>040062202302</v>
      </c>
      <c r="U599">
        <f t="shared" si="37"/>
        <v>48.792943999999999</v>
      </c>
    </row>
    <row r="600" spans="1:21" x14ac:dyDescent="0.35">
      <c r="A600">
        <v>2023</v>
      </c>
      <c r="B600" t="s">
        <v>90</v>
      </c>
      <c r="C600" s="6" t="s">
        <v>100</v>
      </c>
      <c r="D600">
        <v>202302</v>
      </c>
      <c r="E600" s="11" t="s">
        <v>30</v>
      </c>
      <c r="F600">
        <v>65.38812811999999</v>
      </c>
      <c r="G600">
        <v>65.38812811999999</v>
      </c>
      <c r="H600">
        <v>0</v>
      </c>
      <c r="I600">
        <v>1069.3183936299999</v>
      </c>
      <c r="J600">
        <v>147.05222943999999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T600" t="str">
        <f t="shared" si="36"/>
        <v>040072202302</v>
      </c>
      <c r="U600">
        <f t="shared" si="37"/>
        <v>1281.7587511899999</v>
      </c>
    </row>
    <row r="601" spans="1:21" x14ac:dyDescent="0.35">
      <c r="A601">
        <v>2023</v>
      </c>
      <c r="B601" t="s">
        <v>90</v>
      </c>
      <c r="C601" s="6" t="s">
        <v>100</v>
      </c>
      <c r="D601">
        <v>202302</v>
      </c>
      <c r="E601" s="11" t="s">
        <v>31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T601" t="str">
        <f t="shared" si="36"/>
        <v>040106202302</v>
      </c>
      <c r="U601">
        <f t="shared" si="37"/>
        <v>0</v>
      </c>
    </row>
    <row r="602" spans="1:21" x14ac:dyDescent="0.35">
      <c r="A602">
        <v>2023</v>
      </c>
      <c r="B602" t="s">
        <v>90</v>
      </c>
      <c r="C602" s="6" t="s">
        <v>100</v>
      </c>
      <c r="D602">
        <v>202302</v>
      </c>
      <c r="E602" s="11" t="s">
        <v>32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T602" t="str">
        <f t="shared" si="36"/>
        <v>040108202302</v>
      </c>
      <c r="U602">
        <f t="shared" si="37"/>
        <v>0</v>
      </c>
    </row>
    <row r="603" spans="1:21" x14ac:dyDescent="0.35">
      <c r="A603">
        <v>2023</v>
      </c>
      <c r="B603" t="s">
        <v>90</v>
      </c>
      <c r="C603" s="6" t="s">
        <v>100</v>
      </c>
      <c r="D603">
        <v>202302</v>
      </c>
      <c r="E603" s="11" t="s">
        <v>33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T603" t="str">
        <f t="shared" si="36"/>
        <v>040110202302</v>
      </c>
      <c r="U603">
        <f t="shared" si="37"/>
        <v>0</v>
      </c>
    </row>
    <row r="604" spans="1:21" x14ac:dyDescent="0.35">
      <c r="A604">
        <v>2023</v>
      </c>
      <c r="B604" t="s">
        <v>90</v>
      </c>
      <c r="C604" s="6" t="s">
        <v>100</v>
      </c>
      <c r="D604">
        <v>202302</v>
      </c>
      <c r="E604" s="11" t="s">
        <v>34</v>
      </c>
      <c r="F604">
        <v>97.277559909999994</v>
      </c>
      <c r="G604">
        <v>97.277559909999994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T604" t="str">
        <f t="shared" si="36"/>
        <v>040112202302</v>
      </c>
      <c r="U604">
        <f t="shared" si="37"/>
        <v>97.277559909999994</v>
      </c>
    </row>
    <row r="605" spans="1:21" x14ac:dyDescent="0.35">
      <c r="A605">
        <v>2023</v>
      </c>
      <c r="B605" t="s">
        <v>90</v>
      </c>
      <c r="C605" s="6" t="s">
        <v>100</v>
      </c>
      <c r="D605">
        <v>202302</v>
      </c>
      <c r="E605" s="11" t="s">
        <v>35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T605" t="str">
        <f t="shared" si="36"/>
        <v>040113202302</v>
      </c>
      <c r="U605">
        <f t="shared" si="37"/>
        <v>0</v>
      </c>
    </row>
    <row r="606" spans="1:21" x14ac:dyDescent="0.35">
      <c r="A606">
        <v>2023</v>
      </c>
      <c r="B606" t="s">
        <v>90</v>
      </c>
      <c r="C606" s="6" t="s">
        <v>100</v>
      </c>
      <c r="D606">
        <v>202302</v>
      </c>
      <c r="E606" s="11" t="s">
        <v>36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T606" t="str">
        <f t="shared" si="36"/>
        <v>040126202302</v>
      </c>
      <c r="U606">
        <f t="shared" si="37"/>
        <v>0</v>
      </c>
    </row>
    <row r="607" spans="1:21" x14ac:dyDescent="0.35">
      <c r="A607">
        <v>2023</v>
      </c>
      <c r="B607" t="s">
        <v>90</v>
      </c>
      <c r="C607" s="6" t="s">
        <v>100</v>
      </c>
      <c r="D607">
        <v>202302</v>
      </c>
      <c r="E607" s="11" t="s">
        <v>37</v>
      </c>
      <c r="F607">
        <v>0</v>
      </c>
      <c r="G607">
        <v>0</v>
      </c>
      <c r="H607">
        <v>0</v>
      </c>
      <c r="I607">
        <v>800.06596524999998</v>
      </c>
      <c r="J607">
        <v>5.7070200000000001E-3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T607" t="str">
        <f t="shared" si="36"/>
        <v>040127202302</v>
      </c>
      <c r="U607">
        <f t="shared" si="37"/>
        <v>800.07167227000002</v>
      </c>
    </row>
    <row r="608" spans="1:21" x14ac:dyDescent="0.35">
      <c r="A608">
        <v>2023</v>
      </c>
      <c r="B608" t="s">
        <v>90</v>
      </c>
      <c r="C608" s="6" t="s">
        <v>100</v>
      </c>
      <c r="D608">
        <v>202302</v>
      </c>
      <c r="E608" s="11" t="s">
        <v>39</v>
      </c>
      <c r="F608">
        <v>0</v>
      </c>
      <c r="G608">
        <v>0</v>
      </c>
      <c r="H608">
        <v>0</v>
      </c>
      <c r="I608">
        <v>267.22709900000001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4.3939570000000003</v>
      </c>
      <c r="Q608">
        <v>0</v>
      </c>
      <c r="R608">
        <v>0</v>
      </c>
      <c r="T608" t="str">
        <f t="shared" si="36"/>
        <v>040130202302</v>
      </c>
      <c r="U608">
        <f t="shared" si="37"/>
        <v>267.22709900000001</v>
      </c>
    </row>
    <row r="609" spans="1:21" x14ac:dyDescent="0.35">
      <c r="A609">
        <v>2023</v>
      </c>
      <c r="B609" t="s">
        <v>90</v>
      </c>
      <c r="C609" s="6" t="s">
        <v>100</v>
      </c>
      <c r="D609">
        <v>202302</v>
      </c>
      <c r="E609" s="11" t="s">
        <v>40</v>
      </c>
      <c r="F609">
        <v>0.70550599999999997</v>
      </c>
      <c r="G609">
        <v>0.70550599999999997</v>
      </c>
      <c r="H609">
        <v>0</v>
      </c>
      <c r="I609">
        <v>0.20596100000000001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T609" t="str">
        <f t="shared" si="36"/>
        <v>040132202302</v>
      </c>
      <c r="U609">
        <f t="shared" si="37"/>
        <v>0.91146700000000003</v>
      </c>
    </row>
    <row r="610" spans="1:21" x14ac:dyDescent="0.35">
      <c r="A610">
        <v>2023</v>
      </c>
      <c r="B610" t="s">
        <v>90</v>
      </c>
      <c r="C610" s="6" t="s">
        <v>100</v>
      </c>
      <c r="D610">
        <v>202302</v>
      </c>
      <c r="E610" s="11" t="s">
        <v>41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T610" t="str">
        <f t="shared" si="36"/>
        <v>040133202302</v>
      </c>
      <c r="U610">
        <f t="shared" si="37"/>
        <v>0</v>
      </c>
    </row>
    <row r="611" spans="1:21" x14ac:dyDescent="0.35">
      <c r="A611">
        <v>2023</v>
      </c>
      <c r="B611" t="s">
        <v>90</v>
      </c>
      <c r="C611" s="6" t="s">
        <v>100</v>
      </c>
      <c r="D611">
        <v>202302</v>
      </c>
      <c r="E611" s="11" t="s">
        <v>42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T611" t="str">
        <f t="shared" si="36"/>
        <v>040136202302</v>
      </c>
      <c r="U611">
        <f t="shared" si="37"/>
        <v>0</v>
      </c>
    </row>
    <row r="612" spans="1:21" x14ac:dyDescent="0.35">
      <c r="A612">
        <v>2023</v>
      </c>
      <c r="B612" t="s">
        <v>90</v>
      </c>
      <c r="C612" s="6" t="s">
        <v>100</v>
      </c>
      <c r="D612">
        <v>202302</v>
      </c>
      <c r="E612" s="11" t="s">
        <v>43</v>
      </c>
      <c r="F612">
        <v>0</v>
      </c>
      <c r="G612">
        <v>0</v>
      </c>
      <c r="H612">
        <v>0</v>
      </c>
      <c r="I612">
        <v>1.76874599</v>
      </c>
      <c r="J612">
        <v>4.2754489999999999E-2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T612" t="str">
        <f t="shared" si="36"/>
        <v>040137202302</v>
      </c>
      <c r="U612">
        <f t="shared" si="37"/>
        <v>1.8115004800000001</v>
      </c>
    </row>
    <row r="613" spans="1:21" x14ac:dyDescent="0.35">
      <c r="A613">
        <v>2023</v>
      </c>
      <c r="B613" t="s">
        <v>90</v>
      </c>
      <c r="C613" s="6" t="s">
        <v>100</v>
      </c>
      <c r="D613">
        <v>202302</v>
      </c>
      <c r="E613" s="11" t="s">
        <v>44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T613" t="str">
        <f t="shared" si="36"/>
        <v>040138202302</v>
      </c>
      <c r="U613">
        <f t="shared" si="37"/>
        <v>0</v>
      </c>
    </row>
    <row r="614" spans="1:21" x14ac:dyDescent="0.35">
      <c r="A614">
        <v>2023</v>
      </c>
      <c r="B614" t="s">
        <v>90</v>
      </c>
      <c r="C614" s="6" t="s">
        <v>100</v>
      </c>
      <c r="D614">
        <v>202302</v>
      </c>
      <c r="E614" s="11" t="s">
        <v>45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T614" t="str">
        <f t="shared" si="36"/>
        <v>040139202302</v>
      </c>
      <c r="U614">
        <f t="shared" si="37"/>
        <v>0</v>
      </c>
    </row>
    <row r="615" spans="1:21" x14ac:dyDescent="0.35">
      <c r="A615">
        <v>2023</v>
      </c>
      <c r="B615" t="s">
        <v>90</v>
      </c>
      <c r="C615" s="6" t="s">
        <v>100</v>
      </c>
      <c r="D615">
        <v>202302</v>
      </c>
      <c r="E615" s="11" t="s">
        <v>46</v>
      </c>
      <c r="F615">
        <v>0</v>
      </c>
      <c r="G615">
        <v>0</v>
      </c>
      <c r="H615">
        <v>0</v>
      </c>
      <c r="I615">
        <v>13.94824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T615" t="str">
        <f t="shared" si="36"/>
        <v>040140202302</v>
      </c>
      <c r="U615">
        <f t="shared" si="37"/>
        <v>13.94824</v>
      </c>
    </row>
    <row r="616" spans="1:21" x14ac:dyDescent="0.35">
      <c r="A616">
        <v>2023</v>
      </c>
      <c r="B616" t="s">
        <v>90</v>
      </c>
      <c r="C616" s="6" t="s">
        <v>100</v>
      </c>
      <c r="D616">
        <v>202302</v>
      </c>
      <c r="E616" s="11" t="s">
        <v>47</v>
      </c>
      <c r="F616">
        <v>0</v>
      </c>
      <c r="G616">
        <v>0</v>
      </c>
      <c r="H616">
        <v>0</v>
      </c>
      <c r="I616">
        <v>0.184528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T616" t="str">
        <f t="shared" si="36"/>
        <v>040141202302</v>
      </c>
      <c r="U616">
        <f t="shared" si="37"/>
        <v>0.184528</v>
      </c>
    </row>
    <row r="617" spans="1:21" x14ac:dyDescent="0.35">
      <c r="A617">
        <v>2023</v>
      </c>
      <c r="B617" t="s">
        <v>90</v>
      </c>
      <c r="C617" s="6" t="s">
        <v>100</v>
      </c>
      <c r="D617">
        <v>202302</v>
      </c>
      <c r="E617" s="11" t="s">
        <v>48</v>
      </c>
      <c r="F617">
        <v>1.4462186499999998</v>
      </c>
      <c r="G617">
        <v>0.53445565000000006</v>
      </c>
      <c r="H617">
        <v>0.91176299999999999</v>
      </c>
      <c r="I617">
        <v>2.94713235</v>
      </c>
      <c r="J617">
        <v>0.13082033000000001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4.3303536399999993</v>
      </c>
      <c r="Q617">
        <v>0.43408806</v>
      </c>
      <c r="R617">
        <v>0</v>
      </c>
      <c r="T617" t="str">
        <f t="shared" si="36"/>
        <v>040143202302</v>
      </c>
      <c r="U617">
        <f t="shared" si="37"/>
        <v>4.5241713299999997</v>
      </c>
    </row>
    <row r="618" spans="1:21" x14ac:dyDescent="0.35">
      <c r="A618">
        <v>2023</v>
      </c>
      <c r="B618" t="s">
        <v>90</v>
      </c>
      <c r="C618" s="6" t="s">
        <v>100</v>
      </c>
      <c r="D618">
        <v>202302</v>
      </c>
      <c r="E618" s="11" t="s">
        <v>49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T618" t="str">
        <f t="shared" si="36"/>
        <v>040145202302</v>
      </c>
      <c r="U618">
        <f t="shared" si="37"/>
        <v>0</v>
      </c>
    </row>
    <row r="619" spans="1:21" x14ac:dyDescent="0.35">
      <c r="A619">
        <v>2023</v>
      </c>
      <c r="B619" t="s">
        <v>90</v>
      </c>
      <c r="C619" s="6" t="s">
        <v>100</v>
      </c>
      <c r="D619">
        <v>202302</v>
      </c>
      <c r="E619" s="11" t="s">
        <v>50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T619" t="str">
        <f t="shared" si="36"/>
        <v>040147202302</v>
      </c>
      <c r="U619">
        <f t="shared" si="37"/>
        <v>0</v>
      </c>
    </row>
    <row r="620" spans="1:21" x14ac:dyDescent="0.35">
      <c r="A620">
        <v>2023</v>
      </c>
      <c r="B620" t="s">
        <v>90</v>
      </c>
      <c r="C620" s="6" t="s">
        <v>100</v>
      </c>
      <c r="D620">
        <v>202302</v>
      </c>
      <c r="E620" s="11" t="s">
        <v>51</v>
      </c>
      <c r="F620">
        <v>0</v>
      </c>
      <c r="G620">
        <v>0</v>
      </c>
      <c r="H620">
        <v>0</v>
      </c>
      <c r="I620">
        <v>13.280151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0.121422</v>
      </c>
      <c r="Q620">
        <v>0</v>
      </c>
      <c r="R620">
        <v>0</v>
      </c>
      <c r="T620" t="str">
        <f t="shared" si="36"/>
        <v>040149202302</v>
      </c>
      <c r="U620">
        <f t="shared" si="37"/>
        <v>13.280151</v>
      </c>
    </row>
    <row r="621" spans="1:21" x14ac:dyDescent="0.35">
      <c r="A621">
        <v>2023</v>
      </c>
      <c r="B621" t="s">
        <v>90</v>
      </c>
      <c r="C621" s="6" t="s">
        <v>100</v>
      </c>
      <c r="D621">
        <v>202302</v>
      </c>
      <c r="E621" s="11" t="s">
        <v>52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T621" t="str">
        <f t="shared" si="36"/>
        <v>040150202302</v>
      </c>
      <c r="U621">
        <f t="shared" si="37"/>
        <v>0</v>
      </c>
    </row>
    <row r="622" spans="1:21" x14ac:dyDescent="0.35">
      <c r="A622">
        <v>2023</v>
      </c>
      <c r="B622" t="s">
        <v>90</v>
      </c>
      <c r="C622" s="6" t="s">
        <v>100</v>
      </c>
      <c r="D622">
        <v>202302</v>
      </c>
      <c r="E622" s="11" t="s">
        <v>53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T622" t="str">
        <f t="shared" si="36"/>
        <v>040151202302</v>
      </c>
      <c r="U622">
        <f t="shared" si="37"/>
        <v>0</v>
      </c>
    </row>
    <row r="623" spans="1:21" x14ac:dyDescent="0.35">
      <c r="A623">
        <v>2023</v>
      </c>
      <c r="B623" t="s">
        <v>90</v>
      </c>
      <c r="C623" s="6" t="s">
        <v>100</v>
      </c>
      <c r="D623">
        <v>202302</v>
      </c>
      <c r="E623" s="11" t="s">
        <v>54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T623" t="str">
        <f t="shared" si="36"/>
        <v>040152202302</v>
      </c>
      <c r="U623">
        <f t="shared" si="37"/>
        <v>0</v>
      </c>
    </row>
    <row r="624" spans="1:21" x14ac:dyDescent="0.35">
      <c r="A624">
        <v>2023</v>
      </c>
      <c r="B624" t="s">
        <v>90</v>
      </c>
      <c r="C624" s="6" t="s">
        <v>100</v>
      </c>
      <c r="D624">
        <v>202302</v>
      </c>
      <c r="E624" s="11" t="s">
        <v>55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T624" t="str">
        <f t="shared" si="36"/>
        <v>040154202302</v>
      </c>
      <c r="U624">
        <f t="shared" si="37"/>
        <v>0</v>
      </c>
    </row>
    <row r="625" spans="1:21" x14ac:dyDescent="0.35">
      <c r="A625">
        <v>2023</v>
      </c>
      <c r="B625" t="s">
        <v>90</v>
      </c>
      <c r="C625" s="6" t="s">
        <v>100</v>
      </c>
      <c r="D625">
        <v>202302</v>
      </c>
      <c r="E625" s="11" t="s">
        <v>56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T625" t="str">
        <f t="shared" si="36"/>
        <v>040155202302</v>
      </c>
      <c r="U625">
        <f t="shared" si="37"/>
        <v>0</v>
      </c>
    </row>
    <row r="626" spans="1:21" x14ac:dyDescent="0.35">
      <c r="A626">
        <v>2023</v>
      </c>
      <c r="B626" t="s">
        <v>90</v>
      </c>
      <c r="C626" s="6" t="s">
        <v>100</v>
      </c>
      <c r="D626">
        <v>202302</v>
      </c>
      <c r="E626" s="11" t="s">
        <v>57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T626" t="str">
        <f t="shared" si="36"/>
        <v>040156202302</v>
      </c>
      <c r="U626">
        <f t="shared" si="37"/>
        <v>0</v>
      </c>
    </row>
    <row r="627" spans="1:21" x14ac:dyDescent="0.35">
      <c r="A627">
        <v>2023</v>
      </c>
      <c r="B627" t="s">
        <v>90</v>
      </c>
      <c r="C627" s="6" t="s">
        <v>100</v>
      </c>
      <c r="D627">
        <v>202302</v>
      </c>
      <c r="E627" s="11" t="s">
        <v>58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T627" t="str">
        <f t="shared" si="36"/>
        <v>040157202302</v>
      </c>
      <c r="U627">
        <f t="shared" si="37"/>
        <v>0</v>
      </c>
    </row>
    <row r="628" spans="1:21" x14ac:dyDescent="0.35">
      <c r="A628">
        <v>2023</v>
      </c>
      <c r="B628" t="s">
        <v>90</v>
      </c>
      <c r="C628" s="6" t="s">
        <v>100</v>
      </c>
      <c r="D628">
        <v>202302</v>
      </c>
      <c r="E628" s="11" t="s">
        <v>59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T628" t="str">
        <f t="shared" si="36"/>
        <v>040158202302</v>
      </c>
      <c r="U628">
        <f t="shared" si="37"/>
        <v>0</v>
      </c>
    </row>
    <row r="629" spans="1:21" x14ac:dyDescent="0.35">
      <c r="A629">
        <v>2023</v>
      </c>
      <c r="B629" t="s">
        <v>90</v>
      </c>
      <c r="C629" s="6" t="s">
        <v>100</v>
      </c>
      <c r="D629">
        <v>202302</v>
      </c>
      <c r="E629" s="11" t="s">
        <v>60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T629" t="str">
        <f t="shared" si="36"/>
        <v>040159202302</v>
      </c>
      <c r="U629">
        <f t="shared" si="37"/>
        <v>0</v>
      </c>
    </row>
    <row r="630" spans="1:21" x14ac:dyDescent="0.35">
      <c r="A630">
        <v>2023</v>
      </c>
      <c r="B630" t="s">
        <v>90</v>
      </c>
      <c r="C630" s="6" t="s">
        <v>100</v>
      </c>
      <c r="D630">
        <v>202302</v>
      </c>
      <c r="E630" s="11" t="s">
        <v>63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T630" t="str">
        <f t="shared" si="36"/>
        <v>040160202302</v>
      </c>
      <c r="U630">
        <f t="shared" si="37"/>
        <v>0</v>
      </c>
    </row>
    <row r="631" spans="1:21" x14ac:dyDescent="0.35">
      <c r="A631">
        <v>2023</v>
      </c>
      <c r="B631" t="s">
        <v>90</v>
      </c>
      <c r="C631" s="6" t="s">
        <v>100</v>
      </c>
      <c r="D631">
        <v>202302</v>
      </c>
      <c r="E631" s="11" t="s">
        <v>61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T631" t="str">
        <f t="shared" si="36"/>
        <v>040162202302</v>
      </c>
      <c r="U631">
        <f t="shared" si="37"/>
        <v>0</v>
      </c>
    </row>
    <row r="632" spans="1:21" x14ac:dyDescent="0.35">
      <c r="A632">
        <v>2023</v>
      </c>
      <c r="B632" s="7" t="s">
        <v>91</v>
      </c>
      <c r="C632" s="6" t="s">
        <v>101</v>
      </c>
      <c r="D632">
        <v>202303</v>
      </c>
      <c r="E632" s="11">
        <v>5</v>
      </c>
      <c r="F632">
        <v>1845.95701779</v>
      </c>
      <c r="G632">
        <v>1843.8473701600001</v>
      </c>
      <c r="H632">
        <v>1.7498510600000001</v>
      </c>
      <c r="I632">
        <v>7650.5253853699996</v>
      </c>
      <c r="J632">
        <v>665.17498424999997</v>
      </c>
      <c r="K632">
        <v>44.872920999999998</v>
      </c>
      <c r="L632">
        <v>0.87045300000000003</v>
      </c>
      <c r="M632">
        <v>0.87045300000000003</v>
      </c>
      <c r="N632">
        <v>0</v>
      </c>
      <c r="O632">
        <v>0</v>
      </c>
      <c r="P632">
        <v>45.985236590000007</v>
      </c>
      <c r="Q632">
        <v>50.255448740000006</v>
      </c>
      <c r="R632">
        <v>0</v>
      </c>
      <c r="T632" t="str">
        <f t="shared" si="36"/>
        <v>5202303</v>
      </c>
      <c r="U632">
        <f t="shared" si="37"/>
        <v>10161.65738741</v>
      </c>
    </row>
    <row r="633" spans="1:21" x14ac:dyDescent="0.35">
      <c r="A633">
        <v>2023</v>
      </c>
      <c r="B633" s="7" t="s">
        <v>91</v>
      </c>
      <c r="C633" s="6" t="s">
        <v>101</v>
      </c>
      <c r="D633">
        <v>202303</v>
      </c>
      <c r="E633" s="12" t="s">
        <v>19</v>
      </c>
      <c r="F633">
        <v>825.41568099999995</v>
      </c>
      <c r="G633">
        <v>825.41568099999995</v>
      </c>
      <c r="H633">
        <v>0</v>
      </c>
      <c r="I633">
        <v>293.31332300000003</v>
      </c>
      <c r="J633">
        <v>67.456547999999998</v>
      </c>
      <c r="K633">
        <v>44.872920999999998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T633" t="str">
        <f>+E633&amp;D633</f>
        <v>040002202303</v>
      </c>
      <c r="U633">
        <f t="shared" si="37"/>
        <v>1186.1855519999999</v>
      </c>
    </row>
    <row r="634" spans="1:21" x14ac:dyDescent="0.35">
      <c r="A634">
        <v>2023</v>
      </c>
      <c r="B634" s="7" t="s">
        <v>91</v>
      </c>
      <c r="C634" s="6" t="s">
        <v>101</v>
      </c>
      <c r="D634">
        <v>202303</v>
      </c>
      <c r="E634" s="12" t="s">
        <v>20</v>
      </c>
      <c r="F634">
        <v>134.37653696000001</v>
      </c>
      <c r="G634">
        <v>134.37653696000001</v>
      </c>
      <c r="H634">
        <v>0</v>
      </c>
      <c r="I634">
        <v>2693.3505759999998</v>
      </c>
      <c r="J634">
        <v>306.16191641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T634" t="str">
        <f t="shared" si="36"/>
        <v>040012202303</v>
      </c>
      <c r="U634">
        <f t="shared" si="37"/>
        <v>3133.8890293699997</v>
      </c>
    </row>
    <row r="635" spans="1:21" x14ac:dyDescent="0.35">
      <c r="A635">
        <v>2023</v>
      </c>
      <c r="B635" s="7" t="s">
        <v>91</v>
      </c>
      <c r="C635" s="6" t="s">
        <v>101</v>
      </c>
      <c r="D635">
        <v>202303</v>
      </c>
      <c r="E635" s="12" t="s">
        <v>21</v>
      </c>
      <c r="F635">
        <v>653.40623900000003</v>
      </c>
      <c r="G635">
        <v>653.40623900000003</v>
      </c>
      <c r="H635">
        <v>0</v>
      </c>
      <c r="I635">
        <v>1179.707353</v>
      </c>
      <c r="J635">
        <v>105.97737100000001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T635" t="str">
        <f t="shared" si="36"/>
        <v>040014202303</v>
      </c>
      <c r="U635">
        <f t="shared" si="37"/>
        <v>1939.0909630000001</v>
      </c>
    </row>
    <row r="636" spans="1:21" x14ac:dyDescent="0.35">
      <c r="A636">
        <v>2023</v>
      </c>
      <c r="B636" s="7" t="s">
        <v>91</v>
      </c>
      <c r="C636" s="6" t="s">
        <v>101</v>
      </c>
      <c r="D636">
        <v>202303</v>
      </c>
      <c r="E636" s="12" t="s">
        <v>22</v>
      </c>
      <c r="F636">
        <v>37.158051999999998</v>
      </c>
      <c r="G636">
        <v>36.798454999999997</v>
      </c>
      <c r="H636">
        <v>0</v>
      </c>
      <c r="I636">
        <v>720.55395299999998</v>
      </c>
      <c r="J636">
        <v>23.532340000000001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25.095198</v>
      </c>
      <c r="Q636">
        <v>20.649345</v>
      </c>
      <c r="R636">
        <v>0</v>
      </c>
      <c r="T636" t="str">
        <f t="shared" si="36"/>
        <v>040021202303</v>
      </c>
      <c r="U636">
        <f t="shared" si="37"/>
        <v>781.24434499999995</v>
      </c>
    </row>
    <row r="637" spans="1:21" x14ac:dyDescent="0.35">
      <c r="A637">
        <v>2023</v>
      </c>
      <c r="B637" s="7" t="s">
        <v>91</v>
      </c>
      <c r="C637" s="6" t="s">
        <v>101</v>
      </c>
      <c r="D637">
        <v>202303</v>
      </c>
      <c r="E637" s="12" t="s">
        <v>23</v>
      </c>
      <c r="F637">
        <v>2.42404201</v>
      </c>
      <c r="G637">
        <v>2.42404201</v>
      </c>
      <c r="H637">
        <v>0</v>
      </c>
      <c r="I637">
        <v>25.08661871</v>
      </c>
      <c r="J637">
        <v>2.6897248500000002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0.57526741000000003</v>
      </c>
      <c r="R637">
        <v>0</v>
      </c>
      <c r="T637" t="str">
        <f t="shared" si="36"/>
        <v>040030202303</v>
      </c>
      <c r="U637">
        <f t="shared" si="37"/>
        <v>30.200385570000002</v>
      </c>
    </row>
    <row r="638" spans="1:21" x14ac:dyDescent="0.35">
      <c r="A638">
        <v>2023</v>
      </c>
      <c r="B638" s="7" t="s">
        <v>91</v>
      </c>
      <c r="C638" s="6" t="s">
        <v>101</v>
      </c>
      <c r="D638">
        <v>202303</v>
      </c>
      <c r="E638" s="12" t="s">
        <v>24</v>
      </c>
      <c r="F638">
        <v>0</v>
      </c>
      <c r="G638">
        <v>0</v>
      </c>
      <c r="H638">
        <v>0</v>
      </c>
      <c r="I638">
        <v>5.0290920000000003</v>
      </c>
      <c r="J638">
        <v>8.4042000000000006E-2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T638" t="str">
        <f t="shared" si="36"/>
        <v>040036202303</v>
      </c>
      <c r="U638">
        <f t="shared" si="37"/>
        <v>5.1131340000000005</v>
      </c>
    </row>
    <row r="639" spans="1:21" x14ac:dyDescent="0.35">
      <c r="A639">
        <v>2023</v>
      </c>
      <c r="B639" s="7" t="s">
        <v>91</v>
      </c>
      <c r="C639" s="6" t="s">
        <v>101</v>
      </c>
      <c r="D639">
        <v>202303</v>
      </c>
      <c r="E639" s="12" t="s">
        <v>25</v>
      </c>
      <c r="F639">
        <v>14.503830000000001</v>
      </c>
      <c r="G639">
        <v>14.503830000000001</v>
      </c>
      <c r="H639">
        <v>0</v>
      </c>
      <c r="I639">
        <v>0.79379200000000005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T639" t="str">
        <f t="shared" si="36"/>
        <v>040042202303</v>
      </c>
      <c r="U639">
        <f t="shared" si="37"/>
        <v>15.297622</v>
      </c>
    </row>
    <row r="640" spans="1:21" x14ac:dyDescent="0.35">
      <c r="A640">
        <v>2023</v>
      </c>
      <c r="B640" s="7" t="s">
        <v>91</v>
      </c>
      <c r="C640" s="6" t="s">
        <v>101</v>
      </c>
      <c r="D640">
        <v>202303</v>
      </c>
      <c r="E640" s="12" t="s">
        <v>26</v>
      </c>
      <c r="F640">
        <v>3.9651239999999999</v>
      </c>
      <c r="G640">
        <v>3.9651239999999999</v>
      </c>
      <c r="H640">
        <v>0</v>
      </c>
      <c r="I640">
        <v>158.595708</v>
      </c>
      <c r="J640">
        <v>18.121794000000001</v>
      </c>
      <c r="K640">
        <v>0</v>
      </c>
      <c r="L640">
        <v>0.87045300000000003</v>
      </c>
      <c r="M640">
        <v>0.87045300000000003</v>
      </c>
      <c r="N640">
        <v>0</v>
      </c>
      <c r="O640">
        <v>0</v>
      </c>
      <c r="P640">
        <v>9.9024009999999993</v>
      </c>
      <c r="Q640">
        <v>27.504511000000001</v>
      </c>
      <c r="R640">
        <v>0</v>
      </c>
      <c r="T640" t="str">
        <f t="shared" si="36"/>
        <v>040044202303</v>
      </c>
      <c r="U640">
        <f t="shared" si="37"/>
        <v>180.682626</v>
      </c>
    </row>
    <row r="641" spans="1:21" x14ac:dyDescent="0.35">
      <c r="A641">
        <v>2023</v>
      </c>
      <c r="B641" s="7" t="s">
        <v>91</v>
      </c>
      <c r="C641" s="6" t="s">
        <v>101</v>
      </c>
      <c r="D641">
        <v>202303</v>
      </c>
      <c r="E641" s="12" t="s">
        <v>27</v>
      </c>
      <c r="F641">
        <v>32.073962080000001</v>
      </c>
      <c r="G641">
        <v>32.073962080000001</v>
      </c>
      <c r="H641">
        <v>0</v>
      </c>
      <c r="I641">
        <v>21.858664699999999</v>
      </c>
      <c r="J641">
        <v>0.56153308999999996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T641" t="str">
        <f t="shared" si="36"/>
        <v>040058202303</v>
      </c>
      <c r="U641">
        <f t="shared" si="37"/>
        <v>54.494159869999997</v>
      </c>
    </row>
    <row r="642" spans="1:21" x14ac:dyDescent="0.35">
      <c r="A642">
        <v>2023</v>
      </c>
      <c r="B642" s="7" t="s">
        <v>91</v>
      </c>
      <c r="C642" s="6" t="s">
        <v>101</v>
      </c>
      <c r="D642">
        <v>202303</v>
      </c>
      <c r="E642" s="12" t="s">
        <v>28</v>
      </c>
      <c r="F642">
        <v>0</v>
      </c>
      <c r="G642">
        <v>0</v>
      </c>
      <c r="H642">
        <v>0</v>
      </c>
      <c r="I642">
        <v>50.547992000000001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T642" t="str">
        <f t="shared" si="36"/>
        <v>040059202303</v>
      </c>
      <c r="U642">
        <f t="shared" si="37"/>
        <v>50.547992000000001</v>
      </c>
    </row>
    <row r="643" spans="1:21" x14ac:dyDescent="0.35">
      <c r="A643">
        <v>2023</v>
      </c>
      <c r="B643" s="7" t="s">
        <v>91</v>
      </c>
      <c r="C643" s="6" t="s">
        <v>101</v>
      </c>
      <c r="D643">
        <v>202303</v>
      </c>
      <c r="E643" s="12" t="s">
        <v>62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T643" t="str">
        <f t="shared" ref="T643:T677" si="38">+E643&amp;D643</f>
        <v>040060202303</v>
      </c>
      <c r="U643">
        <f t="shared" ref="U643:U677" si="39">+F643+I643+J643</f>
        <v>0</v>
      </c>
    </row>
    <row r="644" spans="1:21" x14ac:dyDescent="0.35">
      <c r="A644">
        <v>2023</v>
      </c>
      <c r="B644" s="7" t="s">
        <v>91</v>
      </c>
      <c r="C644" s="6" t="s">
        <v>101</v>
      </c>
      <c r="D644">
        <v>202303</v>
      </c>
      <c r="E644" s="12" t="s">
        <v>29</v>
      </c>
      <c r="F644">
        <v>3.3119999999999998E-3</v>
      </c>
      <c r="G644">
        <v>3.3119999999999998E-3</v>
      </c>
      <c r="H644">
        <v>0</v>
      </c>
      <c r="I644">
        <v>63.256033000000002</v>
      </c>
      <c r="J644">
        <v>0.11637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T644" t="str">
        <f t="shared" si="38"/>
        <v>040062202303</v>
      </c>
      <c r="U644">
        <f t="shared" si="39"/>
        <v>63.375715000000007</v>
      </c>
    </row>
    <row r="645" spans="1:21" x14ac:dyDescent="0.35">
      <c r="A645">
        <v>2023</v>
      </c>
      <c r="B645" s="7" t="s">
        <v>91</v>
      </c>
      <c r="C645" s="6" t="s">
        <v>101</v>
      </c>
      <c r="D645">
        <v>202303</v>
      </c>
      <c r="E645" s="12" t="s">
        <v>30</v>
      </c>
      <c r="F645">
        <v>78.740011249999995</v>
      </c>
      <c r="G645">
        <v>78.740011249999995</v>
      </c>
      <c r="H645">
        <v>0</v>
      </c>
      <c r="I645">
        <v>1154.1886167499999</v>
      </c>
      <c r="J645">
        <v>139.12339034999999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T645" t="str">
        <f t="shared" si="38"/>
        <v>040072202303</v>
      </c>
      <c r="U645">
        <f t="shared" si="39"/>
        <v>1372.0520183499998</v>
      </c>
    </row>
    <row r="646" spans="1:21" x14ac:dyDescent="0.35">
      <c r="A646">
        <v>2023</v>
      </c>
      <c r="B646" s="7" t="s">
        <v>91</v>
      </c>
      <c r="C646" s="6" t="s">
        <v>101</v>
      </c>
      <c r="D646">
        <v>202303</v>
      </c>
      <c r="E646" s="12" t="s">
        <v>31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T646" t="str">
        <f t="shared" si="38"/>
        <v>040106202303</v>
      </c>
      <c r="U646">
        <f t="shared" si="39"/>
        <v>0</v>
      </c>
    </row>
    <row r="647" spans="1:21" x14ac:dyDescent="0.35">
      <c r="A647">
        <v>2023</v>
      </c>
      <c r="B647" s="7" t="s">
        <v>91</v>
      </c>
      <c r="C647" s="6" t="s">
        <v>101</v>
      </c>
      <c r="D647">
        <v>202303</v>
      </c>
      <c r="E647" s="12" t="s">
        <v>32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T647" t="str">
        <f t="shared" si="38"/>
        <v>040108202303</v>
      </c>
      <c r="U647">
        <f t="shared" si="39"/>
        <v>0</v>
      </c>
    </row>
    <row r="648" spans="1:21" x14ac:dyDescent="0.35">
      <c r="A648">
        <v>2023</v>
      </c>
      <c r="B648" s="7" t="s">
        <v>91</v>
      </c>
      <c r="C648" s="6" t="s">
        <v>101</v>
      </c>
      <c r="D648">
        <v>202303</v>
      </c>
      <c r="E648" s="12" t="s">
        <v>33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T648" t="str">
        <f t="shared" si="38"/>
        <v>040110202303</v>
      </c>
      <c r="U648">
        <f t="shared" si="39"/>
        <v>0</v>
      </c>
    </row>
    <row r="649" spans="1:21" x14ac:dyDescent="0.35">
      <c r="A649">
        <v>2023</v>
      </c>
      <c r="B649" s="7" t="s">
        <v>91</v>
      </c>
      <c r="C649" s="6" t="s">
        <v>101</v>
      </c>
      <c r="D649">
        <v>202303</v>
      </c>
      <c r="E649" s="12" t="s">
        <v>34</v>
      </c>
      <c r="F649">
        <v>0.38659729999999998</v>
      </c>
      <c r="G649">
        <v>0.38637539000000004</v>
      </c>
      <c r="H649">
        <v>2.234E-5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T649" t="str">
        <f t="shared" si="38"/>
        <v>040112202303</v>
      </c>
      <c r="U649">
        <f t="shared" si="39"/>
        <v>0.38659729999999998</v>
      </c>
    </row>
    <row r="650" spans="1:21" x14ac:dyDescent="0.35">
      <c r="A650">
        <v>2023</v>
      </c>
      <c r="B650" s="7" t="s">
        <v>91</v>
      </c>
      <c r="C650" s="6" t="s">
        <v>101</v>
      </c>
      <c r="D650">
        <v>202303</v>
      </c>
      <c r="E650" s="12" t="s">
        <v>35</v>
      </c>
      <c r="F650">
        <v>45.001497000000001</v>
      </c>
      <c r="G650">
        <v>45.001497000000001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1.4667300000000001</v>
      </c>
      <c r="R650">
        <v>0</v>
      </c>
      <c r="T650" t="str">
        <f t="shared" si="38"/>
        <v>040113202303</v>
      </c>
      <c r="U650">
        <f t="shared" si="39"/>
        <v>45.001497000000001</v>
      </c>
    </row>
    <row r="651" spans="1:21" x14ac:dyDescent="0.35">
      <c r="A651">
        <v>2023</v>
      </c>
      <c r="B651" s="7" t="s">
        <v>91</v>
      </c>
      <c r="C651" s="6" t="s">
        <v>101</v>
      </c>
      <c r="D651">
        <v>202303</v>
      </c>
      <c r="E651" s="12" t="s">
        <v>36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T651" t="str">
        <f t="shared" si="38"/>
        <v>040126202303</v>
      </c>
      <c r="U651">
        <f t="shared" si="39"/>
        <v>0</v>
      </c>
    </row>
    <row r="652" spans="1:21" x14ac:dyDescent="0.35">
      <c r="A652">
        <v>2023</v>
      </c>
      <c r="B652" s="7" t="s">
        <v>91</v>
      </c>
      <c r="C652" s="6" t="s">
        <v>101</v>
      </c>
      <c r="D652">
        <v>202303</v>
      </c>
      <c r="E652" s="12" t="s">
        <v>37</v>
      </c>
      <c r="F652">
        <v>0</v>
      </c>
      <c r="G652">
        <v>0</v>
      </c>
      <c r="H652">
        <v>0</v>
      </c>
      <c r="I652">
        <v>935.77093290999994</v>
      </c>
      <c r="J652">
        <v>2.2131439999999999E-2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T652" t="str">
        <f t="shared" si="38"/>
        <v>040127202303</v>
      </c>
      <c r="U652">
        <f t="shared" si="39"/>
        <v>935.7930643499999</v>
      </c>
    </row>
    <row r="653" spans="1:21" x14ac:dyDescent="0.35">
      <c r="A653">
        <v>2023</v>
      </c>
      <c r="B653" s="7" t="s">
        <v>91</v>
      </c>
      <c r="C653" s="6" t="s">
        <v>101</v>
      </c>
      <c r="D653">
        <v>202303</v>
      </c>
      <c r="E653" s="12" t="s">
        <v>38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T653" t="str">
        <f t="shared" si="38"/>
        <v>040128202303</v>
      </c>
      <c r="U653">
        <f t="shared" si="39"/>
        <v>0</v>
      </c>
    </row>
    <row r="654" spans="1:21" x14ac:dyDescent="0.35">
      <c r="A654">
        <v>2023</v>
      </c>
      <c r="B654" s="7" t="s">
        <v>91</v>
      </c>
      <c r="C654" s="6" t="s">
        <v>101</v>
      </c>
      <c r="D654">
        <v>202303</v>
      </c>
      <c r="E654" s="12" t="s">
        <v>39</v>
      </c>
      <c r="F654">
        <v>0</v>
      </c>
      <c r="G654">
        <v>0</v>
      </c>
      <c r="H654">
        <v>0</v>
      </c>
      <c r="I654">
        <v>255.853905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4.492934</v>
      </c>
      <c r="Q654">
        <v>0</v>
      </c>
      <c r="R654">
        <v>0</v>
      </c>
      <c r="T654" t="str">
        <f t="shared" si="38"/>
        <v>040130202303</v>
      </c>
      <c r="U654">
        <f t="shared" si="39"/>
        <v>255.853905</v>
      </c>
    </row>
    <row r="655" spans="1:21" x14ac:dyDescent="0.35">
      <c r="A655">
        <v>2023</v>
      </c>
      <c r="B655" s="7" t="s">
        <v>91</v>
      </c>
      <c r="C655" s="6" t="s">
        <v>101</v>
      </c>
      <c r="D655">
        <v>202303</v>
      </c>
      <c r="E655" s="12" t="s">
        <v>40</v>
      </c>
      <c r="F655">
        <v>14.294027</v>
      </c>
      <c r="G655">
        <v>14.294027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T655" t="str">
        <f t="shared" si="38"/>
        <v>040132202303</v>
      </c>
      <c r="U655">
        <f t="shared" si="39"/>
        <v>14.294027</v>
      </c>
    </row>
    <row r="656" spans="1:21" x14ac:dyDescent="0.35">
      <c r="A656">
        <v>2023</v>
      </c>
      <c r="B656" s="7" t="s">
        <v>91</v>
      </c>
      <c r="C656" s="6" t="s">
        <v>101</v>
      </c>
      <c r="D656">
        <v>202303</v>
      </c>
      <c r="E656" s="12" t="s">
        <v>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T656" t="str">
        <f t="shared" si="38"/>
        <v>040133202303</v>
      </c>
      <c r="U656">
        <f t="shared" si="39"/>
        <v>0</v>
      </c>
    </row>
    <row r="657" spans="1:21" x14ac:dyDescent="0.35">
      <c r="A657">
        <v>2023</v>
      </c>
      <c r="B657" s="7" t="s">
        <v>91</v>
      </c>
      <c r="C657" s="6" t="s">
        <v>101</v>
      </c>
      <c r="D657">
        <v>202303</v>
      </c>
      <c r="E657" s="12" t="s">
        <v>42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T657" t="str">
        <f t="shared" si="38"/>
        <v>040136202303</v>
      </c>
      <c r="U657">
        <f t="shared" si="39"/>
        <v>0</v>
      </c>
    </row>
    <row r="658" spans="1:21" x14ac:dyDescent="0.35">
      <c r="A658">
        <v>2023</v>
      </c>
      <c r="B658" s="7" t="s">
        <v>91</v>
      </c>
      <c r="C658" s="6" t="s">
        <v>101</v>
      </c>
      <c r="D658">
        <v>202303</v>
      </c>
      <c r="E658" s="12" t="s">
        <v>43</v>
      </c>
      <c r="F658">
        <v>0</v>
      </c>
      <c r="G658">
        <v>0</v>
      </c>
      <c r="H658">
        <v>0</v>
      </c>
      <c r="I658">
        <v>1.9748626499999999</v>
      </c>
      <c r="J658">
        <v>1.2789073500000001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T658" t="str">
        <f t="shared" si="38"/>
        <v>040137202303</v>
      </c>
      <c r="U658">
        <f t="shared" si="39"/>
        <v>3.2537700000000003</v>
      </c>
    </row>
    <row r="659" spans="1:21" x14ac:dyDescent="0.35">
      <c r="A659">
        <v>2023</v>
      </c>
      <c r="B659" s="7" t="s">
        <v>91</v>
      </c>
      <c r="C659" s="6" t="s">
        <v>101</v>
      </c>
      <c r="D659">
        <v>202303</v>
      </c>
      <c r="E659" s="12" t="s">
        <v>44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T659" t="str">
        <f t="shared" si="38"/>
        <v>040138202303</v>
      </c>
      <c r="U659">
        <f t="shared" si="39"/>
        <v>0</v>
      </c>
    </row>
    <row r="660" spans="1:21" x14ac:dyDescent="0.35">
      <c r="A660">
        <v>2023</v>
      </c>
      <c r="B660" s="7" t="s">
        <v>91</v>
      </c>
      <c r="C660" s="6" t="s">
        <v>101</v>
      </c>
      <c r="D660">
        <v>202303</v>
      </c>
      <c r="E660" s="12" t="s">
        <v>45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T660" t="str">
        <f t="shared" si="38"/>
        <v>040139202303</v>
      </c>
      <c r="U660">
        <f t="shared" si="39"/>
        <v>0</v>
      </c>
    </row>
    <row r="661" spans="1:21" x14ac:dyDescent="0.35">
      <c r="A661">
        <v>2023</v>
      </c>
      <c r="B661" s="7" t="s">
        <v>91</v>
      </c>
      <c r="C661" s="6" t="s">
        <v>101</v>
      </c>
      <c r="D661">
        <v>202303</v>
      </c>
      <c r="E661" s="12" t="s">
        <v>46</v>
      </c>
      <c r="F661">
        <v>0</v>
      </c>
      <c r="G661">
        <v>0</v>
      </c>
      <c r="H661">
        <v>0</v>
      </c>
      <c r="I661">
        <v>39.422324000000003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T661" t="str">
        <f t="shared" si="38"/>
        <v>040140202303</v>
      </c>
      <c r="U661">
        <f t="shared" si="39"/>
        <v>39.422324000000003</v>
      </c>
    </row>
    <row r="662" spans="1:21" x14ac:dyDescent="0.35">
      <c r="A662">
        <v>2023</v>
      </c>
      <c r="B662" s="7" t="s">
        <v>91</v>
      </c>
      <c r="C662" s="6" t="s">
        <v>101</v>
      </c>
      <c r="D662">
        <v>202303</v>
      </c>
      <c r="E662" s="12" t="s">
        <v>47</v>
      </c>
      <c r="F662">
        <v>0</v>
      </c>
      <c r="G662">
        <v>0</v>
      </c>
      <c r="H662">
        <v>0</v>
      </c>
      <c r="I662">
        <v>31.794884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T662" t="str">
        <f t="shared" si="38"/>
        <v>040141202303</v>
      </c>
      <c r="U662">
        <f t="shared" si="39"/>
        <v>31.794884</v>
      </c>
    </row>
    <row r="663" spans="1:21" x14ac:dyDescent="0.35">
      <c r="A663">
        <v>2023</v>
      </c>
      <c r="B663" s="7" t="s">
        <v>91</v>
      </c>
      <c r="C663" s="6" t="s">
        <v>101</v>
      </c>
      <c r="D663">
        <v>202303</v>
      </c>
      <c r="E663" s="12" t="s">
        <v>48</v>
      </c>
      <c r="F663">
        <v>4.2081061900000005</v>
      </c>
      <c r="G663">
        <v>2.4582774700000001</v>
      </c>
      <c r="H663">
        <v>1.74982872</v>
      </c>
      <c r="I663">
        <v>7.4922846500000002</v>
      </c>
      <c r="J663">
        <v>4.8915760000000003E-2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6.3664025899999999</v>
      </c>
      <c r="Q663">
        <v>5.9595330000000002E-2</v>
      </c>
      <c r="R663">
        <v>0</v>
      </c>
      <c r="T663" t="str">
        <f t="shared" si="38"/>
        <v>040143202303</v>
      </c>
      <c r="U663">
        <f t="shared" si="39"/>
        <v>11.749306600000001</v>
      </c>
    </row>
    <row r="664" spans="1:21" x14ac:dyDescent="0.35">
      <c r="A664">
        <v>2023</v>
      </c>
      <c r="B664" s="7" t="s">
        <v>91</v>
      </c>
      <c r="C664" s="6" t="s">
        <v>101</v>
      </c>
      <c r="D664">
        <v>202303</v>
      </c>
      <c r="E664" s="12" t="s">
        <v>49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T664" t="str">
        <f t="shared" si="38"/>
        <v>040145202303</v>
      </c>
      <c r="U664">
        <f t="shared" si="39"/>
        <v>0</v>
      </c>
    </row>
    <row r="665" spans="1:21" x14ac:dyDescent="0.35">
      <c r="A665">
        <v>2023</v>
      </c>
      <c r="B665" s="7" t="s">
        <v>91</v>
      </c>
      <c r="C665" s="6" t="s">
        <v>101</v>
      </c>
      <c r="D665">
        <v>202303</v>
      </c>
      <c r="E665" s="12" t="s">
        <v>50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T665" t="str">
        <f t="shared" si="38"/>
        <v>040147202303</v>
      </c>
      <c r="U665">
        <f t="shared" si="39"/>
        <v>0</v>
      </c>
    </row>
    <row r="666" spans="1:21" x14ac:dyDescent="0.35">
      <c r="A666">
        <v>2023</v>
      </c>
      <c r="B666" s="7" t="s">
        <v>91</v>
      </c>
      <c r="C666" s="6" t="s">
        <v>101</v>
      </c>
      <c r="D666">
        <v>202303</v>
      </c>
      <c r="E666" s="12" t="s">
        <v>51</v>
      </c>
      <c r="F666">
        <v>0</v>
      </c>
      <c r="G666">
        <v>0</v>
      </c>
      <c r="H666">
        <v>0</v>
      </c>
      <c r="I666">
        <v>11.934469999999999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0.128301</v>
      </c>
      <c r="Q666">
        <v>0</v>
      </c>
      <c r="R666">
        <v>0</v>
      </c>
      <c r="T666" t="str">
        <f t="shared" si="38"/>
        <v>040149202303</v>
      </c>
      <c r="U666">
        <f t="shared" si="39"/>
        <v>11.934469999999999</v>
      </c>
    </row>
    <row r="667" spans="1:21" x14ac:dyDescent="0.35">
      <c r="A667">
        <v>2023</v>
      </c>
      <c r="B667" s="7" t="s">
        <v>91</v>
      </c>
      <c r="C667" s="6" t="s">
        <v>101</v>
      </c>
      <c r="D667">
        <v>202303</v>
      </c>
      <c r="E667" s="12" t="s">
        <v>52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T667" t="str">
        <f t="shared" si="38"/>
        <v>040150202303</v>
      </c>
      <c r="U667">
        <f t="shared" si="39"/>
        <v>0</v>
      </c>
    </row>
    <row r="668" spans="1:21" x14ac:dyDescent="0.35">
      <c r="A668">
        <v>2023</v>
      </c>
      <c r="B668" s="7" t="s">
        <v>91</v>
      </c>
      <c r="C668" s="6" t="s">
        <v>101</v>
      </c>
      <c r="D668">
        <v>202303</v>
      </c>
      <c r="E668" s="12" t="s">
        <v>53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T668" t="str">
        <f t="shared" si="38"/>
        <v>040151202303</v>
      </c>
      <c r="U668">
        <f t="shared" si="39"/>
        <v>0</v>
      </c>
    </row>
    <row r="669" spans="1:21" x14ac:dyDescent="0.35">
      <c r="A669">
        <v>2023</v>
      </c>
      <c r="B669" s="7" t="s">
        <v>91</v>
      </c>
      <c r="C669" s="6" t="s">
        <v>101</v>
      </c>
      <c r="D669">
        <v>202303</v>
      </c>
      <c r="E669" s="12" t="s">
        <v>54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T669" t="str">
        <f t="shared" si="38"/>
        <v>040152202303</v>
      </c>
      <c r="U669">
        <f t="shared" si="39"/>
        <v>0</v>
      </c>
    </row>
    <row r="670" spans="1:21" x14ac:dyDescent="0.35">
      <c r="A670">
        <v>2023</v>
      </c>
      <c r="B670" s="7" t="s">
        <v>91</v>
      </c>
      <c r="C670" s="6" t="s">
        <v>101</v>
      </c>
      <c r="D670">
        <v>202303</v>
      </c>
      <c r="E670" s="12" t="s">
        <v>55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T670" t="str">
        <f t="shared" si="38"/>
        <v>040154202303</v>
      </c>
      <c r="U670">
        <f t="shared" si="39"/>
        <v>0</v>
      </c>
    </row>
    <row r="671" spans="1:21" x14ac:dyDescent="0.35">
      <c r="A671">
        <v>2023</v>
      </c>
      <c r="B671" s="7" t="s">
        <v>91</v>
      </c>
      <c r="C671" s="6" t="s">
        <v>101</v>
      </c>
      <c r="D671">
        <v>202303</v>
      </c>
      <c r="E671" s="12" t="s">
        <v>56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T671" t="str">
        <f t="shared" si="38"/>
        <v>040155202303</v>
      </c>
      <c r="U671">
        <f t="shared" si="39"/>
        <v>0</v>
      </c>
    </row>
    <row r="672" spans="1:21" x14ac:dyDescent="0.35">
      <c r="A672">
        <v>2023</v>
      </c>
      <c r="B672" s="7" t="s">
        <v>91</v>
      </c>
      <c r="C672" s="6" t="s">
        <v>101</v>
      </c>
      <c r="D672">
        <v>202303</v>
      </c>
      <c r="E672" s="12" t="s">
        <v>57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T672" t="str">
        <f t="shared" si="38"/>
        <v>040156202303</v>
      </c>
      <c r="U672">
        <f t="shared" si="39"/>
        <v>0</v>
      </c>
    </row>
    <row r="673" spans="1:21" x14ac:dyDescent="0.35">
      <c r="A673">
        <v>2023</v>
      </c>
      <c r="B673" s="7" t="s">
        <v>91</v>
      </c>
      <c r="C673" s="6" t="s">
        <v>101</v>
      </c>
      <c r="D673">
        <v>202303</v>
      </c>
      <c r="E673" s="12" t="s">
        <v>58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T673" t="str">
        <f t="shared" si="38"/>
        <v>040157202303</v>
      </c>
      <c r="U673">
        <f t="shared" si="39"/>
        <v>0</v>
      </c>
    </row>
    <row r="674" spans="1:21" x14ac:dyDescent="0.35">
      <c r="A674">
        <v>2023</v>
      </c>
      <c r="B674" s="7" t="s">
        <v>91</v>
      </c>
      <c r="C674" s="6" t="s">
        <v>101</v>
      </c>
      <c r="D674">
        <v>202303</v>
      </c>
      <c r="E674" s="12" t="s">
        <v>59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T674" t="str">
        <f t="shared" si="38"/>
        <v>040158202303</v>
      </c>
      <c r="U674">
        <f t="shared" si="39"/>
        <v>0</v>
      </c>
    </row>
    <row r="675" spans="1:21" x14ac:dyDescent="0.35">
      <c r="A675">
        <v>2023</v>
      </c>
      <c r="B675" s="7" t="s">
        <v>91</v>
      </c>
      <c r="C675" s="6" t="s">
        <v>101</v>
      </c>
      <c r="D675">
        <v>202303</v>
      </c>
      <c r="E675" s="12" t="s">
        <v>60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T675" t="str">
        <f t="shared" si="38"/>
        <v>040159202303</v>
      </c>
      <c r="U675">
        <f t="shared" si="39"/>
        <v>0</v>
      </c>
    </row>
    <row r="676" spans="1:21" x14ac:dyDescent="0.35">
      <c r="A676">
        <v>2023</v>
      </c>
      <c r="B676" s="7" t="s">
        <v>91</v>
      </c>
      <c r="C676" s="6" t="s">
        <v>101</v>
      </c>
      <c r="D676">
        <v>202303</v>
      </c>
      <c r="E676" s="12" t="s">
        <v>63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T676" t="str">
        <f t="shared" si="38"/>
        <v>040160202303</v>
      </c>
      <c r="U676">
        <f t="shared" si="39"/>
        <v>0</v>
      </c>
    </row>
    <row r="677" spans="1:21" x14ac:dyDescent="0.35">
      <c r="A677">
        <v>2023</v>
      </c>
      <c r="B677" s="7" t="s">
        <v>91</v>
      </c>
      <c r="C677" s="6" t="s">
        <v>101</v>
      </c>
      <c r="D677">
        <v>202303</v>
      </c>
      <c r="E677" s="12" t="s">
        <v>61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T677" t="str">
        <f t="shared" si="38"/>
        <v>040162202303</v>
      </c>
      <c r="U677">
        <f t="shared" si="39"/>
        <v>0</v>
      </c>
    </row>
    <row r="678" spans="1:21" x14ac:dyDescent="0.35">
      <c r="A678">
        <v>2023</v>
      </c>
      <c r="B678" s="7" t="s">
        <v>92</v>
      </c>
      <c r="C678" s="6" t="s">
        <v>102</v>
      </c>
      <c r="D678">
        <v>202304</v>
      </c>
      <c r="E678" s="11">
        <v>5</v>
      </c>
      <c r="F678">
        <v>1142.0647924300001</v>
      </c>
      <c r="G678">
        <v>1141.45915393</v>
      </c>
      <c r="H678">
        <v>0.5628571</v>
      </c>
      <c r="I678">
        <v>7256.1583190800002</v>
      </c>
      <c r="J678">
        <v>379.55073866000004</v>
      </c>
      <c r="K678">
        <v>32.786583</v>
      </c>
      <c r="L678">
        <v>1.5510662800000001</v>
      </c>
      <c r="M678">
        <v>1.54760528</v>
      </c>
      <c r="N678">
        <v>3.4610000000000001E-3</v>
      </c>
      <c r="O678">
        <v>0</v>
      </c>
      <c r="P678">
        <v>54.58737747</v>
      </c>
      <c r="Q678">
        <v>50.111218829999999</v>
      </c>
      <c r="R678">
        <v>0</v>
      </c>
      <c r="T678" t="str">
        <f t="shared" ref="T678:T741" si="40">+E678&amp;D678</f>
        <v>5202304</v>
      </c>
      <c r="U678">
        <f>+F678+I678+J678</f>
        <v>8777.7738501700005</v>
      </c>
    </row>
    <row r="679" spans="1:21" x14ac:dyDescent="0.35">
      <c r="A679">
        <v>2023</v>
      </c>
      <c r="B679" s="7" t="s">
        <v>92</v>
      </c>
      <c r="C679" s="6" t="s">
        <v>102</v>
      </c>
      <c r="D679">
        <v>202304</v>
      </c>
      <c r="E679" s="12" t="s">
        <v>19</v>
      </c>
      <c r="F679">
        <v>58.567163999999998</v>
      </c>
      <c r="G679">
        <v>58.567126000000002</v>
      </c>
      <c r="H679">
        <v>3.1999999999999999E-5</v>
      </c>
      <c r="I679">
        <v>231.29386099999999</v>
      </c>
      <c r="J679">
        <v>96.545029999999997</v>
      </c>
      <c r="K679">
        <v>32.786583</v>
      </c>
      <c r="L679">
        <v>9.0000000000000002E-6</v>
      </c>
      <c r="M679">
        <v>0</v>
      </c>
      <c r="N679">
        <v>9.0000000000000002E-6</v>
      </c>
      <c r="O679">
        <v>0</v>
      </c>
      <c r="P679">
        <v>0</v>
      </c>
      <c r="Q679">
        <v>0</v>
      </c>
      <c r="R679">
        <v>0</v>
      </c>
      <c r="T679" t="str">
        <f t="shared" si="40"/>
        <v>040002202304</v>
      </c>
      <c r="U679">
        <f t="shared" ref="U679:U742" si="41">+F679+I679+J679</f>
        <v>386.40605499999998</v>
      </c>
    </row>
    <row r="680" spans="1:21" x14ac:dyDescent="0.35">
      <c r="A680">
        <v>2023</v>
      </c>
      <c r="B680" s="7" t="s">
        <v>92</v>
      </c>
      <c r="C680" s="6" t="s">
        <v>102</v>
      </c>
      <c r="D680">
        <v>202304</v>
      </c>
      <c r="E680" s="12" t="s">
        <v>20</v>
      </c>
      <c r="F680">
        <v>210.24684764</v>
      </c>
      <c r="G680">
        <v>210.24684764</v>
      </c>
      <c r="H680">
        <v>0</v>
      </c>
      <c r="I680">
        <v>2774.6625204800002</v>
      </c>
      <c r="J680">
        <v>47.329356429999997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T680" t="str">
        <f>+E680&amp;D680</f>
        <v>040012202304</v>
      </c>
      <c r="U680">
        <f t="shared" si="41"/>
        <v>3032.2387245500004</v>
      </c>
    </row>
    <row r="681" spans="1:21" x14ac:dyDescent="0.35">
      <c r="A681">
        <v>2023</v>
      </c>
      <c r="B681" s="7" t="s">
        <v>92</v>
      </c>
      <c r="C681" s="6" t="s">
        <v>102</v>
      </c>
      <c r="D681">
        <v>202304</v>
      </c>
      <c r="E681" s="12" t="s">
        <v>21</v>
      </c>
      <c r="F681">
        <v>182.44353599999999</v>
      </c>
      <c r="G681">
        <v>182.44353599999999</v>
      </c>
      <c r="H681">
        <v>0</v>
      </c>
      <c r="I681">
        <v>1102.9768449999999</v>
      </c>
      <c r="J681">
        <v>54.425403000000003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T681" t="str">
        <f t="shared" si="40"/>
        <v>040014202304</v>
      </c>
      <c r="U681">
        <f t="shared" si="41"/>
        <v>1339.8457839999999</v>
      </c>
    </row>
    <row r="682" spans="1:21" x14ac:dyDescent="0.35">
      <c r="A682">
        <v>2023</v>
      </c>
      <c r="B682" s="7" t="s">
        <v>92</v>
      </c>
      <c r="C682" s="6" t="s">
        <v>102</v>
      </c>
      <c r="D682">
        <v>202304</v>
      </c>
      <c r="E682" s="12" t="s">
        <v>22</v>
      </c>
      <c r="F682">
        <v>55.899807000000003</v>
      </c>
      <c r="G682">
        <v>55.899807000000003</v>
      </c>
      <c r="H682">
        <v>0</v>
      </c>
      <c r="I682">
        <v>589.31416200000001</v>
      </c>
      <c r="J682">
        <v>23.180001000000001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22.134093</v>
      </c>
      <c r="Q682">
        <v>16.269570000000002</v>
      </c>
      <c r="R682">
        <v>0</v>
      </c>
      <c r="T682" t="str">
        <f t="shared" si="40"/>
        <v>040021202304</v>
      </c>
      <c r="U682">
        <f t="shared" si="41"/>
        <v>668.39396999999997</v>
      </c>
    </row>
    <row r="683" spans="1:21" x14ac:dyDescent="0.35">
      <c r="A683">
        <v>2023</v>
      </c>
      <c r="B683" s="7" t="s">
        <v>92</v>
      </c>
      <c r="C683" s="6" t="s">
        <v>102</v>
      </c>
      <c r="D683">
        <v>202304</v>
      </c>
      <c r="E683" s="12" t="s">
        <v>23</v>
      </c>
      <c r="F683">
        <v>2.69254185</v>
      </c>
      <c r="G683">
        <v>2.69254185</v>
      </c>
      <c r="H683">
        <v>0</v>
      </c>
      <c r="I683">
        <v>25.34131743</v>
      </c>
      <c r="J683">
        <v>4.7052175999999992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0.50466553999999997</v>
      </c>
      <c r="R683">
        <v>0</v>
      </c>
      <c r="T683" t="str">
        <f t="shared" si="40"/>
        <v>040030202304</v>
      </c>
      <c r="U683">
        <f t="shared" si="41"/>
        <v>32.739076879999999</v>
      </c>
    </row>
    <row r="684" spans="1:21" x14ac:dyDescent="0.35">
      <c r="A684">
        <v>2023</v>
      </c>
      <c r="B684" s="7" t="s">
        <v>92</v>
      </c>
      <c r="C684" s="6" t="s">
        <v>102</v>
      </c>
      <c r="D684">
        <v>202304</v>
      </c>
      <c r="E684" s="12" t="s">
        <v>24</v>
      </c>
      <c r="F684">
        <v>0</v>
      </c>
      <c r="G684">
        <v>0</v>
      </c>
      <c r="H684">
        <v>0</v>
      </c>
      <c r="I684">
        <v>6.9311530000000001</v>
      </c>
      <c r="J684">
        <v>0.13506000000000001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T684" t="str">
        <f t="shared" si="40"/>
        <v>040036202304</v>
      </c>
      <c r="U684">
        <f t="shared" si="41"/>
        <v>7.0662130000000003</v>
      </c>
    </row>
    <row r="685" spans="1:21" x14ac:dyDescent="0.35">
      <c r="A685">
        <v>2023</v>
      </c>
      <c r="B685" s="7" t="s">
        <v>92</v>
      </c>
      <c r="C685" s="6" t="s">
        <v>102</v>
      </c>
      <c r="D685">
        <v>202304</v>
      </c>
      <c r="E685" s="12" t="s">
        <v>25</v>
      </c>
      <c r="F685">
        <v>0</v>
      </c>
      <c r="G685">
        <v>0</v>
      </c>
      <c r="H685">
        <v>0</v>
      </c>
      <c r="I685">
        <v>1.603458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T685" t="str">
        <f t="shared" si="40"/>
        <v>040042202304</v>
      </c>
      <c r="U685">
        <f t="shared" si="41"/>
        <v>1.603458</v>
      </c>
    </row>
    <row r="686" spans="1:21" x14ac:dyDescent="0.35">
      <c r="A686">
        <v>2023</v>
      </c>
      <c r="B686" s="7" t="s">
        <v>92</v>
      </c>
      <c r="C686" s="6" t="s">
        <v>102</v>
      </c>
      <c r="D686">
        <v>202304</v>
      </c>
      <c r="E686" s="12" t="s">
        <v>26</v>
      </c>
      <c r="F686">
        <v>2.4431029999999998</v>
      </c>
      <c r="G686">
        <v>2.4431029999999998</v>
      </c>
      <c r="H686">
        <v>0</v>
      </c>
      <c r="I686">
        <v>122.585314</v>
      </c>
      <c r="J686">
        <v>8.1639949999999999</v>
      </c>
      <c r="K686">
        <v>0</v>
      </c>
      <c r="L686">
        <v>1.3351999999999999E-2</v>
      </c>
      <c r="M686">
        <v>9.9000000000000008E-3</v>
      </c>
      <c r="N686">
        <v>3.4520000000000002E-3</v>
      </c>
      <c r="O686">
        <v>0</v>
      </c>
      <c r="P686">
        <v>22.185722999999999</v>
      </c>
      <c r="Q686">
        <v>32.668612000000003</v>
      </c>
      <c r="R686">
        <v>0</v>
      </c>
      <c r="T686" t="str">
        <f t="shared" si="40"/>
        <v>040044202304</v>
      </c>
      <c r="U686">
        <f t="shared" si="41"/>
        <v>133.19241199999999</v>
      </c>
    </row>
    <row r="687" spans="1:21" x14ac:dyDescent="0.35">
      <c r="A687">
        <v>2023</v>
      </c>
      <c r="B687" s="7" t="s">
        <v>92</v>
      </c>
      <c r="C687" s="6" t="s">
        <v>102</v>
      </c>
      <c r="D687">
        <v>202304</v>
      </c>
      <c r="E687" s="12" t="s">
        <v>27</v>
      </c>
      <c r="F687">
        <v>20.181631760000002</v>
      </c>
      <c r="G687">
        <v>20.181631760000002</v>
      </c>
      <c r="H687">
        <v>0</v>
      </c>
      <c r="I687">
        <v>29.527265059999998</v>
      </c>
      <c r="J687">
        <v>3.5081294300000003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T687" t="str">
        <f t="shared" si="40"/>
        <v>040058202304</v>
      </c>
      <c r="U687">
        <f t="shared" si="41"/>
        <v>53.217026250000004</v>
      </c>
    </row>
    <row r="688" spans="1:21" x14ac:dyDescent="0.35">
      <c r="A688">
        <v>2023</v>
      </c>
      <c r="B688" s="7" t="s">
        <v>92</v>
      </c>
      <c r="C688" s="6" t="s">
        <v>102</v>
      </c>
      <c r="D688">
        <v>202304</v>
      </c>
      <c r="E688" s="12" t="s">
        <v>28</v>
      </c>
      <c r="F688">
        <v>0</v>
      </c>
      <c r="G688">
        <v>0</v>
      </c>
      <c r="H688">
        <v>0</v>
      </c>
      <c r="I688">
        <v>51.683405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T688" t="str">
        <f t="shared" si="40"/>
        <v>040059202304</v>
      </c>
      <c r="U688">
        <f t="shared" si="41"/>
        <v>51.683405</v>
      </c>
    </row>
    <row r="689" spans="1:21" x14ac:dyDescent="0.35">
      <c r="A689">
        <v>2023</v>
      </c>
      <c r="B689" s="7" t="s">
        <v>92</v>
      </c>
      <c r="C689" s="6" t="s">
        <v>102</v>
      </c>
      <c r="D689">
        <v>202304</v>
      </c>
      <c r="E689" s="12" t="s">
        <v>62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T689" t="str">
        <f t="shared" si="40"/>
        <v>040060202304</v>
      </c>
      <c r="U689">
        <f t="shared" si="41"/>
        <v>0</v>
      </c>
    </row>
    <row r="690" spans="1:21" x14ac:dyDescent="0.35">
      <c r="A690">
        <v>2023</v>
      </c>
      <c r="B690" s="7" t="s">
        <v>92</v>
      </c>
      <c r="C690" s="6" t="s">
        <v>102</v>
      </c>
      <c r="D690">
        <v>202304</v>
      </c>
      <c r="E690" s="12" t="s">
        <v>29</v>
      </c>
      <c r="F690">
        <v>400.939752</v>
      </c>
      <c r="G690">
        <v>400.939752</v>
      </c>
      <c r="H690">
        <v>0</v>
      </c>
      <c r="I690">
        <v>62.709291999999998</v>
      </c>
      <c r="J690">
        <v>0.31920100000000001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T690" t="str">
        <f t="shared" si="40"/>
        <v>040062202304</v>
      </c>
      <c r="U690">
        <f t="shared" si="41"/>
        <v>463.96824500000002</v>
      </c>
    </row>
    <row r="691" spans="1:21" x14ac:dyDescent="0.35">
      <c r="A691">
        <v>2023</v>
      </c>
      <c r="B691" s="7" t="s">
        <v>92</v>
      </c>
      <c r="C691" s="6" t="s">
        <v>102</v>
      </c>
      <c r="D691">
        <v>202304</v>
      </c>
      <c r="E691" s="12" t="s">
        <v>30</v>
      </c>
      <c r="F691">
        <v>154.9043508</v>
      </c>
      <c r="G691">
        <v>154.9043508</v>
      </c>
      <c r="H691">
        <v>0</v>
      </c>
      <c r="I691">
        <v>1104.4182933699999</v>
      </c>
      <c r="J691">
        <v>135.47045365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T691" t="str">
        <f t="shared" si="40"/>
        <v>040072202304</v>
      </c>
      <c r="U691">
        <f t="shared" si="41"/>
        <v>1394.79309782</v>
      </c>
    </row>
    <row r="692" spans="1:21" x14ac:dyDescent="0.35">
      <c r="A692">
        <v>2023</v>
      </c>
      <c r="B692" s="7" t="s">
        <v>92</v>
      </c>
      <c r="C692" s="6" t="s">
        <v>102</v>
      </c>
      <c r="D692">
        <v>202304</v>
      </c>
      <c r="E692" s="12" t="s">
        <v>31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T692" t="str">
        <f t="shared" si="40"/>
        <v>040106202304</v>
      </c>
      <c r="U692">
        <f t="shared" si="41"/>
        <v>0</v>
      </c>
    </row>
    <row r="693" spans="1:21" x14ac:dyDescent="0.35">
      <c r="A693">
        <v>2023</v>
      </c>
      <c r="B693" s="7" t="s">
        <v>92</v>
      </c>
      <c r="C693" s="6" t="s">
        <v>102</v>
      </c>
      <c r="D693">
        <v>202304</v>
      </c>
      <c r="E693" s="12" t="s">
        <v>32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T693" t="str">
        <f t="shared" si="40"/>
        <v>040108202304</v>
      </c>
      <c r="U693">
        <f t="shared" si="41"/>
        <v>0</v>
      </c>
    </row>
    <row r="694" spans="1:21" x14ac:dyDescent="0.35">
      <c r="A694">
        <v>2023</v>
      </c>
      <c r="B694" s="7" t="s">
        <v>92</v>
      </c>
      <c r="C694" s="6" t="s">
        <v>102</v>
      </c>
      <c r="D694">
        <v>202304</v>
      </c>
      <c r="E694" s="12" t="s">
        <v>33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T694" t="str">
        <f t="shared" si="40"/>
        <v>040110202304</v>
      </c>
      <c r="U694">
        <f t="shared" si="41"/>
        <v>0</v>
      </c>
    </row>
    <row r="695" spans="1:21" x14ac:dyDescent="0.35">
      <c r="A695">
        <v>2023</v>
      </c>
      <c r="B695" s="7" t="s">
        <v>92</v>
      </c>
      <c r="C695" s="6" t="s">
        <v>102</v>
      </c>
      <c r="D695">
        <v>202304</v>
      </c>
      <c r="E695" s="12" t="s">
        <v>34</v>
      </c>
      <c r="F695">
        <v>0.21229901000000001</v>
      </c>
      <c r="G695">
        <v>0.16168110999999999</v>
      </c>
      <c r="H695">
        <v>7.8425000000000005E-3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T695" t="str">
        <f t="shared" si="40"/>
        <v>040112202304</v>
      </c>
      <c r="U695">
        <f t="shared" si="41"/>
        <v>0.21229901000000001</v>
      </c>
    </row>
    <row r="696" spans="1:21" x14ac:dyDescent="0.35">
      <c r="A696">
        <v>2023</v>
      </c>
      <c r="B696" s="7" t="s">
        <v>92</v>
      </c>
      <c r="C696" s="6" t="s">
        <v>102</v>
      </c>
      <c r="D696">
        <v>202304</v>
      </c>
      <c r="E696" s="12" t="s">
        <v>35</v>
      </c>
      <c r="F696">
        <v>25.152932</v>
      </c>
      <c r="G696">
        <v>25.152932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T696" t="str">
        <f t="shared" si="40"/>
        <v>040113202304</v>
      </c>
      <c r="U696">
        <f t="shared" si="41"/>
        <v>25.152932</v>
      </c>
    </row>
    <row r="697" spans="1:21" x14ac:dyDescent="0.35">
      <c r="A697">
        <v>2023</v>
      </c>
      <c r="B697" s="7" t="s">
        <v>92</v>
      </c>
      <c r="C697" s="6" t="s">
        <v>102</v>
      </c>
      <c r="D697">
        <v>202304</v>
      </c>
      <c r="E697" s="12" t="s">
        <v>36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T697" t="str">
        <f t="shared" si="40"/>
        <v>040126202304</v>
      </c>
      <c r="U697">
        <f t="shared" si="41"/>
        <v>0</v>
      </c>
    </row>
    <row r="698" spans="1:21" x14ac:dyDescent="0.35">
      <c r="A698">
        <v>2023</v>
      </c>
      <c r="B698" s="7" t="s">
        <v>92</v>
      </c>
      <c r="C698" s="6" t="s">
        <v>102</v>
      </c>
      <c r="D698">
        <v>202304</v>
      </c>
      <c r="E698" s="12" t="s">
        <v>37</v>
      </c>
      <c r="F698">
        <v>0</v>
      </c>
      <c r="G698">
        <v>0</v>
      </c>
      <c r="H698">
        <v>0</v>
      </c>
      <c r="I698">
        <v>827.05487578999998</v>
      </c>
      <c r="J698">
        <v>6.3753400000000002E-3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T698" t="str">
        <f t="shared" si="40"/>
        <v>040127202304</v>
      </c>
      <c r="U698">
        <f t="shared" si="41"/>
        <v>827.06125112999996</v>
      </c>
    </row>
    <row r="699" spans="1:21" x14ac:dyDescent="0.35">
      <c r="A699">
        <v>2023</v>
      </c>
      <c r="B699" s="7" t="s">
        <v>92</v>
      </c>
      <c r="C699" s="6" t="s">
        <v>102</v>
      </c>
      <c r="D699">
        <v>202304</v>
      </c>
      <c r="E699" s="12" t="s">
        <v>38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T699" t="str">
        <f t="shared" si="40"/>
        <v>040128202304</v>
      </c>
      <c r="U699">
        <f t="shared" si="41"/>
        <v>0</v>
      </c>
    </row>
    <row r="700" spans="1:21" x14ac:dyDescent="0.35">
      <c r="A700">
        <v>2023</v>
      </c>
      <c r="B700" s="7" t="s">
        <v>92</v>
      </c>
      <c r="C700" s="6" t="s">
        <v>102</v>
      </c>
      <c r="D700">
        <v>202304</v>
      </c>
      <c r="E700" s="12" t="s">
        <v>39</v>
      </c>
      <c r="F700">
        <v>0</v>
      </c>
      <c r="G700">
        <v>0</v>
      </c>
      <c r="H700">
        <v>0</v>
      </c>
      <c r="I700">
        <v>292.21497299999999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3.9937680000000002</v>
      </c>
      <c r="Q700">
        <v>0</v>
      </c>
      <c r="R700">
        <v>0</v>
      </c>
      <c r="T700" t="str">
        <f t="shared" si="40"/>
        <v>040130202304</v>
      </c>
      <c r="U700">
        <f t="shared" si="41"/>
        <v>292.21497299999999</v>
      </c>
    </row>
    <row r="701" spans="1:21" x14ac:dyDescent="0.35">
      <c r="A701">
        <v>2023</v>
      </c>
      <c r="B701" s="7" t="s">
        <v>92</v>
      </c>
      <c r="C701" s="6" t="s">
        <v>102</v>
      </c>
      <c r="D701">
        <v>202304</v>
      </c>
      <c r="E701" s="12" t="s">
        <v>40</v>
      </c>
      <c r="F701">
        <v>0</v>
      </c>
      <c r="G701">
        <v>0</v>
      </c>
      <c r="H701">
        <v>0</v>
      </c>
      <c r="I701">
        <v>1.2999999999999999E-5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T701" t="str">
        <f t="shared" si="40"/>
        <v>040132202304</v>
      </c>
      <c r="U701">
        <f t="shared" si="41"/>
        <v>1.2999999999999999E-5</v>
      </c>
    </row>
    <row r="702" spans="1:21" x14ac:dyDescent="0.35">
      <c r="A702">
        <v>2023</v>
      </c>
      <c r="B702" s="7" t="s">
        <v>92</v>
      </c>
      <c r="C702" s="6" t="s">
        <v>102</v>
      </c>
      <c r="D702">
        <v>202304</v>
      </c>
      <c r="E702" s="12" t="s">
        <v>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T702" t="str">
        <f t="shared" si="40"/>
        <v>040133202304</v>
      </c>
      <c r="U702">
        <f t="shared" si="41"/>
        <v>0</v>
      </c>
    </row>
    <row r="703" spans="1:21" x14ac:dyDescent="0.35">
      <c r="A703">
        <v>2023</v>
      </c>
      <c r="B703" s="7" t="s">
        <v>92</v>
      </c>
      <c r="C703" s="6" t="s">
        <v>102</v>
      </c>
      <c r="D703">
        <v>202304</v>
      </c>
      <c r="E703" s="12" t="s">
        <v>42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T703" t="str">
        <f t="shared" si="40"/>
        <v>040136202304</v>
      </c>
      <c r="U703">
        <f t="shared" si="41"/>
        <v>0</v>
      </c>
    </row>
    <row r="704" spans="1:21" x14ac:dyDescent="0.35">
      <c r="A704">
        <v>2023</v>
      </c>
      <c r="B704" s="7" t="s">
        <v>92</v>
      </c>
      <c r="C704" s="6" t="s">
        <v>102</v>
      </c>
      <c r="D704">
        <v>202304</v>
      </c>
      <c r="E704" s="12" t="s">
        <v>43</v>
      </c>
      <c r="F704">
        <v>0</v>
      </c>
      <c r="G704">
        <v>0</v>
      </c>
      <c r="H704">
        <v>0</v>
      </c>
      <c r="I704">
        <v>3.4295075399999999</v>
      </c>
      <c r="J704">
        <v>1.0226754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T704" t="str">
        <f t="shared" si="40"/>
        <v>040137202304</v>
      </c>
      <c r="U704">
        <f t="shared" si="41"/>
        <v>4.4521829400000001</v>
      </c>
    </row>
    <row r="705" spans="1:21" x14ac:dyDescent="0.35">
      <c r="A705">
        <v>2023</v>
      </c>
      <c r="B705" s="7" t="s">
        <v>92</v>
      </c>
      <c r="C705" s="6" t="s">
        <v>102</v>
      </c>
      <c r="D705">
        <v>202304</v>
      </c>
      <c r="E705" s="12" t="s">
        <v>44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T705" t="str">
        <f t="shared" si="40"/>
        <v>040138202304</v>
      </c>
      <c r="U705">
        <f t="shared" si="41"/>
        <v>0</v>
      </c>
    </row>
    <row r="706" spans="1:21" x14ac:dyDescent="0.35">
      <c r="A706">
        <v>2023</v>
      </c>
      <c r="B706" s="7" t="s">
        <v>92</v>
      </c>
      <c r="C706" s="6" t="s">
        <v>102</v>
      </c>
      <c r="D706">
        <v>202304</v>
      </c>
      <c r="E706" s="12" t="s">
        <v>45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T706" t="str">
        <f t="shared" si="40"/>
        <v>040139202304</v>
      </c>
      <c r="U706">
        <f t="shared" si="41"/>
        <v>0</v>
      </c>
    </row>
    <row r="707" spans="1:21" x14ac:dyDescent="0.35">
      <c r="A707">
        <v>2023</v>
      </c>
      <c r="B707" s="7" t="s">
        <v>92</v>
      </c>
      <c r="C707" s="6" t="s">
        <v>102</v>
      </c>
      <c r="D707">
        <v>202304</v>
      </c>
      <c r="E707" s="12" t="s">
        <v>46</v>
      </c>
      <c r="F707">
        <v>0</v>
      </c>
      <c r="G707">
        <v>0</v>
      </c>
      <c r="H707">
        <v>0</v>
      </c>
      <c r="I707">
        <v>16.787412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T707" t="str">
        <f t="shared" si="40"/>
        <v>040140202304</v>
      </c>
      <c r="U707">
        <f t="shared" si="41"/>
        <v>16.787412</v>
      </c>
    </row>
    <row r="708" spans="1:21" x14ac:dyDescent="0.35">
      <c r="A708">
        <v>2023</v>
      </c>
      <c r="B708" s="7" t="s">
        <v>92</v>
      </c>
      <c r="C708" s="6" t="s">
        <v>102</v>
      </c>
      <c r="D708">
        <v>202304</v>
      </c>
      <c r="E708" s="12" t="s">
        <v>47</v>
      </c>
      <c r="F708">
        <v>0</v>
      </c>
      <c r="G708">
        <v>0</v>
      </c>
      <c r="H708">
        <v>0</v>
      </c>
      <c r="I708">
        <v>0.261322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T708" t="str">
        <f t="shared" si="40"/>
        <v>040141202304</v>
      </c>
      <c r="U708">
        <f t="shared" si="41"/>
        <v>0.261322</v>
      </c>
    </row>
    <row r="709" spans="1:21" x14ac:dyDescent="0.35">
      <c r="A709">
        <v>2023</v>
      </c>
      <c r="B709" s="7" t="s">
        <v>92</v>
      </c>
      <c r="C709" s="6" t="s">
        <v>102</v>
      </c>
      <c r="D709">
        <v>202304</v>
      </c>
      <c r="E709" s="12" t="s">
        <v>48</v>
      </c>
      <c r="F709">
        <v>28.380827370000002</v>
      </c>
      <c r="G709">
        <v>27.82584477</v>
      </c>
      <c r="H709">
        <v>0.55498259999999999</v>
      </c>
      <c r="I709">
        <v>1.6520114099999998</v>
      </c>
      <c r="J709">
        <v>4.7398408099999996</v>
      </c>
      <c r="K709">
        <v>0</v>
      </c>
      <c r="L709">
        <v>1.53770528</v>
      </c>
      <c r="M709">
        <v>1.53770528</v>
      </c>
      <c r="N709">
        <v>0</v>
      </c>
      <c r="O709">
        <v>0</v>
      </c>
      <c r="P709">
        <v>6.2177594699999998</v>
      </c>
      <c r="Q709">
        <v>0.66837129000000006</v>
      </c>
      <c r="R709">
        <v>0</v>
      </c>
      <c r="T709" t="str">
        <f t="shared" si="40"/>
        <v>040143202304</v>
      </c>
      <c r="U709">
        <f t="shared" si="41"/>
        <v>34.772679590000003</v>
      </c>
    </row>
    <row r="710" spans="1:21" x14ac:dyDescent="0.35">
      <c r="A710">
        <v>2023</v>
      </c>
      <c r="B710" s="7" t="s">
        <v>92</v>
      </c>
      <c r="C710" s="6" t="s">
        <v>102</v>
      </c>
      <c r="D710">
        <v>202304</v>
      </c>
      <c r="E710" s="12" t="s">
        <v>49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T710" t="str">
        <f t="shared" si="40"/>
        <v>040145202304</v>
      </c>
      <c r="U710">
        <f t="shared" si="41"/>
        <v>0</v>
      </c>
    </row>
    <row r="711" spans="1:21" x14ac:dyDescent="0.35">
      <c r="A711">
        <v>2023</v>
      </c>
      <c r="B711" s="7" t="s">
        <v>92</v>
      </c>
      <c r="C711" s="6" t="s">
        <v>102</v>
      </c>
      <c r="D711">
        <v>202304</v>
      </c>
      <c r="E711" s="12" t="s">
        <v>50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T711" t="str">
        <f t="shared" si="40"/>
        <v>040147202304</v>
      </c>
      <c r="U711">
        <f t="shared" si="41"/>
        <v>0</v>
      </c>
    </row>
    <row r="712" spans="1:21" x14ac:dyDescent="0.35">
      <c r="A712">
        <v>2023</v>
      </c>
      <c r="B712" s="7" t="s">
        <v>92</v>
      </c>
      <c r="C712" s="6" t="s">
        <v>102</v>
      </c>
      <c r="D712">
        <v>202304</v>
      </c>
      <c r="E712" s="12" t="s">
        <v>51</v>
      </c>
      <c r="F712">
        <v>0</v>
      </c>
      <c r="G712">
        <v>0</v>
      </c>
      <c r="H712">
        <v>0</v>
      </c>
      <c r="I712">
        <v>11.711318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5.6034E-2</v>
      </c>
      <c r="Q712">
        <v>0</v>
      </c>
      <c r="R712">
        <v>0</v>
      </c>
      <c r="T712" t="str">
        <f t="shared" si="40"/>
        <v>040149202304</v>
      </c>
      <c r="U712">
        <f t="shared" si="41"/>
        <v>11.711318</v>
      </c>
    </row>
    <row r="713" spans="1:21" x14ac:dyDescent="0.35">
      <c r="A713">
        <v>2023</v>
      </c>
      <c r="B713" s="7" t="s">
        <v>92</v>
      </c>
      <c r="C713" s="6" t="s">
        <v>102</v>
      </c>
      <c r="D713">
        <v>202304</v>
      </c>
      <c r="E713" s="12" t="s">
        <v>52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T713" t="str">
        <f t="shared" si="40"/>
        <v>040150202304</v>
      </c>
      <c r="U713">
        <f t="shared" si="41"/>
        <v>0</v>
      </c>
    </row>
    <row r="714" spans="1:21" x14ac:dyDescent="0.35">
      <c r="A714">
        <v>2023</v>
      </c>
      <c r="B714" s="7" t="s">
        <v>92</v>
      </c>
      <c r="C714" s="6" t="s">
        <v>102</v>
      </c>
      <c r="D714">
        <v>202304</v>
      </c>
      <c r="E714" s="12" t="s">
        <v>53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T714" t="str">
        <f t="shared" si="40"/>
        <v>040151202304</v>
      </c>
      <c r="U714">
        <f t="shared" si="41"/>
        <v>0</v>
      </c>
    </row>
    <row r="715" spans="1:21" x14ac:dyDescent="0.35">
      <c r="A715">
        <v>2023</v>
      </c>
      <c r="B715" s="7" t="s">
        <v>92</v>
      </c>
      <c r="C715" s="6" t="s">
        <v>102</v>
      </c>
      <c r="D715">
        <v>202304</v>
      </c>
      <c r="E715" s="12" t="s">
        <v>54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T715" t="str">
        <f t="shared" si="40"/>
        <v>040152202304</v>
      </c>
      <c r="U715">
        <f t="shared" si="41"/>
        <v>0</v>
      </c>
    </row>
    <row r="716" spans="1:21" x14ac:dyDescent="0.35">
      <c r="A716">
        <v>2023</v>
      </c>
      <c r="B716" s="7" t="s">
        <v>92</v>
      </c>
      <c r="C716" s="6" t="s">
        <v>102</v>
      </c>
      <c r="D716">
        <v>202304</v>
      </c>
      <c r="E716" s="12" t="s">
        <v>55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T716" t="str">
        <f t="shared" si="40"/>
        <v>040154202304</v>
      </c>
      <c r="U716">
        <f t="shared" si="41"/>
        <v>0</v>
      </c>
    </row>
    <row r="717" spans="1:21" x14ac:dyDescent="0.35">
      <c r="A717">
        <v>2023</v>
      </c>
      <c r="B717" s="7" t="s">
        <v>92</v>
      </c>
      <c r="C717" s="6" t="s">
        <v>102</v>
      </c>
      <c r="D717">
        <v>202304</v>
      </c>
      <c r="E717" s="12" t="s">
        <v>56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T717" t="str">
        <f t="shared" si="40"/>
        <v>040155202304</v>
      </c>
      <c r="U717">
        <f t="shared" si="41"/>
        <v>0</v>
      </c>
    </row>
    <row r="718" spans="1:21" x14ac:dyDescent="0.35">
      <c r="A718">
        <v>2023</v>
      </c>
      <c r="B718" s="7" t="s">
        <v>92</v>
      </c>
      <c r="C718" s="6" t="s">
        <v>102</v>
      </c>
      <c r="D718">
        <v>202304</v>
      </c>
      <c r="E718" s="12" t="s">
        <v>57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T718" t="str">
        <f t="shared" si="40"/>
        <v>040156202304</v>
      </c>
      <c r="U718">
        <f t="shared" si="41"/>
        <v>0</v>
      </c>
    </row>
    <row r="719" spans="1:21" x14ac:dyDescent="0.35">
      <c r="A719">
        <v>2023</v>
      </c>
      <c r="B719" s="7" t="s">
        <v>92</v>
      </c>
      <c r="C719" s="6" t="s">
        <v>102</v>
      </c>
      <c r="D719">
        <v>202304</v>
      </c>
      <c r="E719" s="12" t="s">
        <v>58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T719" t="str">
        <f t="shared" si="40"/>
        <v>040157202304</v>
      </c>
      <c r="U719">
        <f t="shared" si="41"/>
        <v>0</v>
      </c>
    </row>
    <row r="720" spans="1:21" x14ac:dyDescent="0.35">
      <c r="A720">
        <v>2023</v>
      </c>
      <c r="B720" s="7" t="s">
        <v>92</v>
      </c>
      <c r="C720" s="6" t="s">
        <v>102</v>
      </c>
      <c r="D720">
        <v>202304</v>
      </c>
      <c r="E720" s="12" t="s">
        <v>59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T720" t="str">
        <f t="shared" si="40"/>
        <v>040158202304</v>
      </c>
      <c r="U720">
        <f t="shared" si="41"/>
        <v>0</v>
      </c>
    </row>
    <row r="721" spans="1:21" x14ac:dyDescent="0.35">
      <c r="A721">
        <v>2023</v>
      </c>
      <c r="B721" s="7" t="s">
        <v>92</v>
      </c>
      <c r="C721" s="6" t="s">
        <v>102</v>
      </c>
      <c r="D721">
        <v>202304</v>
      </c>
      <c r="E721" s="12" t="s">
        <v>60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T721" t="str">
        <f t="shared" si="40"/>
        <v>040159202304</v>
      </c>
      <c r="U721">
        <f t="shared" si="41"/>
        <v>0</v>
      </c>
    </row>
    <row r="722" spans="1:21" x14ac:dyDescent="0.35">
      <c r="A722">
        <v>2023</v>
      </c>
      <c r="B722" s="7" t="s">
        <v>92</v>
      </c>
      <c r="C722" s="6" t="s">
        <v>102</v>
      </c>
      <c r="D722">
        <v>202304</v>
      </c>
      <c r="E722" s="12" t="s">
        <v>63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T722" t="str">
        <f t="shared" si="40"/>
        <v>040160202304</v>
      </c>
      <c r="U722">
        <f t="shared" si="41"/>
        <v>0</v>
      </c>
    </row>
    <row r="723" spans="1:21" x14ac:dyDescent="0.35">
      <c r="A723">
        <v>2023</v>
      </c>
      <c r="B723" s="7" t="s">
        <v>92</v>
      </c>
      <c r="C723" s="6" t="s">
        <v>102</v>
      </c>
      <c r="D723">
        <v>202304</v>
      </c>
      <c r="E723" s="12" t="s">
        <v>61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T723" t="str">
        <f t="shared" si="40"/>
        <v>040162202304</v>
      </c>
      <c r="U723">
        <f t="shared" si="41"/>
        <v>0</v>
      </c>
    </row>
    <row r="724" spans="1:21" x14ac:dyDescent="0.35">
      <c r="A724">
        <v>2023</v>
      </c>
      <c r="B724" s="7" t="s">
        <v>94</v>
      </c>
      <c r="C724" s="6" t="s">
        <v>103</v>
      </c>
      <c r="D724">
        <v>202305</v>
      </c>
      <c r="E724" s="11">
        <v>5</v>
      </c>
      <c r="F724">
        <v>1497.6335559900001</v>
      </c>
      <c r="G724">
        <v>1468.40560684</v>
      </c>
      <c r="H724">
        <v>29.227261239999997</v>
      </c>
      <c r="I724">
        <v>7779.7299175600001</v>
      </c>
      <c r="J724">
        <v>726.59964129999992</v>
      </c>
      <c r="K724">
        <v>45.419184000000001</v>
      </c>
      <c r="L724">
        <v>2.7052520800000002</v>
      </c>
      <c r="M724">
        <v>2.7052520800000002</v>
      </c>
      <c r="N724">
        <v>0</v>
      </c>
      <c r="O724">
        <v>0</v>
      </c>
      <c r="P724">
        <v>59.97279752</v>
      </c>
      <c r="Q724">
        <v>63.443441610000001</v>
      </c>
      <c r="R724">
        <v>0</v>
      </c>
      <c r="T724" t="str">
        <f t="shared" si="40"/>
        <v>5202305</v>
      </c>
      <c r="U724">
        <f t="shared" si="41"/>
        <v>10003.963114849999</v>
      </c>
    </row>
    <row r="725" spans="1:21" x14ac:dyDescent="0.35">
      <c r="A725">
        <v>2023</v>
      </c>
      <c r="B725" s="7" t="s">
        <v>94</v>
      </c>
      <c r="C725" s="6" t="s">
        <v>103</v>
      </c>
      <c r="D725">
        <v>202305</v>
      </c>
      <c r="E725" s="12" t="s">
        <v>19</v>
      </c>
      <c r="F725">
        <v>99.636230999999995</v>
      </c>
      <c r="G725">
        <v>99.636230999999995</v>
      </c>
      <c r="H725">
        <v>0</v>
      </c>
      <c r="I725">
        <v>353.04458899999997</v>
      </c>
      <c r="J725">
        <v>73.887169999999998</v>
      </c>
      <c r="K725">
        <v>45.419184000000001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T725" t="str">
        <f t="shared" si="40"/>
        <v>040002202305</v>
      </c>
      <c r="U725">
        <f t="shared" si="41"/>
        <v>526.56799000000001</v>
      </c>
    </row>
    <row r="726" spans="1:21" x14ac:dyDescent="0.35">
      <c r="A726">
        <v>2023</v>
      </c>
      <c r="B726" s="7" t="s">
        <v>94</v>
      </c>
      <c r="C726" s="6" t="s">
        <v>103</v>
      </c>
      <c r="D726">
        <v>202305</v>
      </c>
      <c r="E726" s="12" t="s">
        <v>20</v>
      </c>
      <c r="F726">
        <v>210.07694505000001</v>
      </c>
      <c r="G726">
        <v>210.07694505000001</v>
      </c>
      <c r="H726">
        <v>0</v>
      </c>
      <c r="I726">
        <v>2896.4214708099998</v>
      </c>
      <c r="J726">
        <v>355.20814718000003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T726" t="str">
        <f t="shared" si="40"/>
        <v>040012202305</v>
      </c>
      <c r="U726">
        <f t="shared" si="41"/>
        <v>3461.7065630400002</v>
      </c>
    </row>
    <row r="727" spans="1:21" x14ac:dyDescent="0.35">
      <c r="A727">
        <v>2023</v>
      </c>
      <c r="B727" s="7" t="s">
        <v>94</v>
      </c>
      <c r="C727" s="6" t="s">
        <v>103</v>
      </c>
      <c r="D727">
        <v>202305</v>
      </c>
      <c r="E727" s="12" t="s">
        <v>21</v>
      </c>
      <c r="F727">
        <v>383.75870700000002</v>
      </c>
      <c r="G727">
        <v>383.75870700000002</v>
      </c>
      <c r="H727">
        <v>0</v>
      </c>
      <c r="I727">
        <v>1134.815564</v>
      </c>
      <c r="J727">
        <v>69.001991000000004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T727" t="str">
        <f t="shared" si="40"/>
        <v>040014202305</v>
      </c>
      <c r="U727">
        <f t="shared" si="41"/>
        <v>1587.576262</v>
      </c>
    </row>
    <row r="728" spans="1:21" x14ac:dyDescent="0.35">
      <c r="A728">
        <v>2023</v>
      </c>
      <c r="B728" s="7" t="s">
        <v>94</v>
      </c>
      <c r="C728" s="6" t="s">
        <v>103</v>
      </c>
      <c r="D728">
        <v>202305</v>
      </c>
      <c r="E728" s="12" t="s">
        <v>22</v>
      </c>
      <c r="F728">
        <v>57.755479999999999</v>
      </c>
      <c r="G728">
        <v>57.755479999999999</v>
      </c>
      <c r="H728">
        <v>0</v>
      </c>
      <c r="I728">
        <v>762.71400400000005</v>
      </c>
      <c r="J728">
        <v>22.811202000000002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35.300691</v>
      </c>
      <c r="Q728">
        <v>14.485875999999999</v>
      </c>
      <c r="R728">
        <v>0</v>
      </c>
      <c r="T728" t="str">
        <f t="shared" si="40"/>
        <v>040021202305</v>
      </c>
      <c r="U728">
        <f t="shared" si="41"/>
        <v>843.28068600000006</v>
      </c>
    </row>
    <row r="729" spans="1:21" x14ac:dyDescent="0.35">
      <c r="A729">
        <v>2023</v>
      </c>
      <c r="B729" s="7" t="s">
        <v>94</v>
      </c>
      <c r="C729" s="6" t="s">
        <v>103</v>
      </c>
      <c r="D729">
        <v>202305</v>
      </c>
      <c r="E729" s="12" t="s">
        <v>23</v>
      </c>
      <c r="F729">
        <v>3.8260222599999998</v>
      </c>
      <c r="G729">
        <v>3.8260222599999998</v>
      </c>
      <c r="H729">
        <v>0</v>
      </c>
      <c r="I729">
        <v>26.072009789999999</v>
      </c>
      <c r="J729">
        <v>2.7349024100000001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0.55351753000000004</v>
      </c>
      <c r="R729">
        <v>0</v>
      </c>
      <c r="T729" t="str">
        <f t="shared" si="40"/>
        <v>040030202305</v>
      </c>
      <c r="U729">
        <f t="shared" si="41"/>
        <v>32.632934460000001</v>
      </c>
    </row>
    <row r="730" spans="1:21" x14ac:dyDescent="0.35">
      <c r="A730">
        <v>2023</v>
      </c>
      <c r="B730" s="7" t="s">
        <v>94</v>
      </c>
      <c r="C730" s="6" t="s">
        <v>103</v>
      </c>
      <c r="D730">
        <v>202305</v>
      </c>
      <c r="E730" s="12" t="s">
        <v>24</v>
      </c>
      <c r="F730">
        <v>0</v>
      </c>
      <c r="G730">
        <v>0</v>
      </c>
      <c r="H730">
        <v>0</v>
      </c>
      <c r="I730">
        <v>6.552524</v>
      </c>
      <c r="J730">
        <v>0.36279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T730" t="str">
        <f t="shared" si="40"/>
        <v>040036202305</v>
      </c>
      <c r="U730">
        <f t="shared" si="41"/>
        <v>6.9153140000000004</v>
      </c>
    </row>
    <row r="731" spans="1:21" x14ac:dyDescent="0.35">
      <c r="A731">
        <v>2023</v>
      </c>
      <c r="B731" s="7" t="s">
        <v>94</v>
      </c>
      <c r="C731" s="6" t="s">
        <v>103</v>
      </c>
      <c r="D731">
        <v>202305</v>
      </c>
      <c r="E731" s="12" t="s">
        <v>25</v>
      </c>
      <c r="F731">
        <v>6.66676</v>
      </c>
      <c r="G731">
        <v>6.66676</v>
      </c>
      <c r="H731">
        <v>0</v>
      </c>
      <c r="I731">
        <v>1.580141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T731" t="str">
        <f t="shared" si="40"/>
        <v>040042202305</v>
      </c>
      <c r="U731">
        <f t="shared" si="41"/>
        <v>8.2469009999999994</v>
      </c>
    </row>
    <row r="732" spans="1:21" x14ac:dyDescent="0.35">
      <c r="A732">
        <v>2023</v>
      </c>
      <c r="B732" s="7" t="s">
        <v>94</v>
      </c>
      <c r="C732" s="6" t="s">
        <v>103</v>
      </c>
      <c r="D732">
        <v>202305</v>
      </c>
      <c r="E732" s="12" t="s">
        <v>26</v>
      </c>
      <c r="F732">
        <v>0.546539</v>
      </c>
      <c r="G732">
        <v>0.546539</v>
      </c>
      <c r="H732">
        <v>0</v>
      </c>
      <c r="I732">
        <v>157.31024099999999</v>
      </c>
      <c r="J732">
        <v>19.810065999999999</v>
      </c>
      <c r="K732">
        <v>0</v>
      </c>
      <c r="L732">
        <v>0.15144099999999999</v>
      </c>
      <c r="M732">
        <v>0.15144099999999999</v>
      </c>
      <c r="N732">
        <v>0</v>
      </c>
      <c r="O732">
        <v>0</v>
      </c>
      <c r="P732">
        <v>13.965182</v>
      </c>
      <c r="Q732">
        <v>47.542521999999998</v>
      </c>
      <c r="R732">
        <v>0</v>
      </c>
      <c r="T732" t="str">
        <f t="shared" si="40"/>
        <v>040044202305</v>
      </c>
      <c r="U732">
        <f t="shared" si="41"/>
        <v>177.66684599999999</v>
      </c>
    </row>
    <row r="733" spans="1:21" x14ac:dyDescent="0.35">
      <c r="A733">
        <v>2023</v>
      </c>
      <c r="B733" s="7" t="s">
        <v>94</v>
      </c>
      <c r="C733" s="6" t="s">
        <v>103</v>
      </c>
      <c r="D733">
        <v>202305</v>
      </c>
      <c r="E733" s="12" t="s">
        <v>27</v>
      </c>
      <c r="F733">
        <v>38.075817100000002</v>
      </c>
      <c r="G733">
        <v>38.075817100000002</v>
      </c>
      <c r="H733">
        <v>0</v>
      </c>
      <c r="I733">
        <v>31.056322730000002</v>
      </c>
      <c r="J733">
        <v>0.23127861999999999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T733" t="str">
        <f t="shared" si="40"/>
        <v>040058202305</v>
      </c>
      <c r="U733">
        <f t="shared" si="41"/>
        <v>69.363418449999998</v>
      </c>
    </row>
    <row r="734" spans="1:21" x14ac:dyDescent="0.35">
      <c r="A734">
        <v>2023</v>
      </c>
      <c r="B734" s="7" t="s">
        <v>94</v>
      </c>
      <c r="C734" s="6" t="s">
        <v>103</v>
      </c>
      <c r="D734">
        <v>202305</v>
      </c>
      <c r="E734" s="12" t="s">
        <v>28</v>
      </c>
      <c r="F734">
        <v>0</v>
      </c>
      <c r="G734">
        <v>0</v>
      </c>
      <c r="H734">
        <v>0</v>
      </c>
      <c r="I734">
        <v>60.665329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T734" t="str">
        <f t="shared" si="40"/>
        <v>040059202305</v>
      </c>
      <c r="U734">
        <f t="shared" si="41"/>
        <v>60.665329</v>
      </c>
    </row>
    <row r="735" spans="1:21" x14ac:dyDescent="0.35">
      <c r="A735">
        <v>2023</v>
      </c>
      <c r="B735" s="7" t="s">
        <v>94</v>
      </c>
      <c r="C735" s="6" t="s">
        <v>103</v>
      </c>
      <c r="D735">
        <v>202305</v>
      </c>
      <c r="E735" s="12" t="s">
        <v>62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T735" t="str">
        <f t="shared" si="40"/>
        <v>040060202305</v>
      </c>
      <c r="U735">
        <f t="shared" si="41"/>
        <v>0</v>
      </c>
    </row>
    <row r="736" spans="1:21" x14ac:dyDescent="0.35">
      <c r="A736">
        <v>2023</v>
      </c>
      <c r="B736" s="7" t="s">
        <v>94</v>
      </c>
      <c r="C736" s="6" t="s">
        <v>103</v>
      </c>
      <c r="D736">
        <v>202305</v>
      </c>
      <c r="E736" s="12" t="s">
        <v>29</v>
      </c>
      <c r="F736">
        <v>328.48998399999999</v>
      </c>
      <c r="G736">
        <v>328.48998399999999</v>
      </c>
      <c r="H736">
        <v>0</v>
      </c>
      <c r="I736">
        <v>56.201448999999997</v>
      </c>
      <c r="J736">
        <v>0.576152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T736" t="str">
        <f t="shared" si="40"/>
        <v>040062202305</v>
      </c>
      <c r="U736">
        <f t="shared" si="41"/>
        <v>385.26758499999994</v>
      </c>
    </row>
    <row r="737" spans="1:21" x14ac:dyDescent="0.35">
      <c r="A737">
        <v>2023</v>
      </c>
      <c r="B737" s="7" t="s">
        <v>94</v>
      </c>
      <c r="C737" s="6" t="s">
        <v>103</v>
      </c>
      <c r="D737">
        <v>202305</v>
      </c>
      <c r="E737" s="12" t="s">
        <v>30</v>
      </c>
      <c r="F737">
        <v>311.63356069000002</v>
      </c>
      <c r="G737">
        <v>311.63354742000001</v>
      </c>
      <c r="H737">
        <v>0</v>
      </c>
      <c r="I737">
        <v>1039.4925968099999</v>
      </c>
      <c r="J737">
        <v>181.51969106000001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T737" t="str">
        <f t="shared" si="40"/>
        <v>040072202305</v>
      </c>
      <c r="U737">
        <f t="shared" si="41"/>
        <v>1532.6458485599999</v>
      </c>
    </row>
    <row r="738" spans="1:21" x14ac:dyDescent="0.35">
      <c r="A738">
        <v>2023</v>
      </c>
      <c r="B738" s="7" t="s">
        <v>94</v>
      </c>
      <c r="C738" s="6" t="s">
        <v>103</v>
      </c>
      <c r="D738">
        <v>202305</v>
      </c>
      <c r="E738" s="12" t="s">
        <v>31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T738" t="str">
        <f t="shared" si="40"/>
        <v>040106202305</v>
      </c>
      <c r="U738">
        <f t="shared" si="41"/>
        <v>0</v>
      </c>
    </row>
    <row r="739" spans="1:21" x14ac:dyDescent="0.35">
      <c r="A739">
        <v>2023</v>
      </c>
      <c r="B739" s="7" t="s">
        <v>94</v>
      </c>
      <c r="C739" s="6" t="s">
        <v>103</v>
      </c>
      <c r="D739">
        <v>202305</v>
      </c>
      <c r="E739" s="12" t="s">
        <v>32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T739" t="str">
        <f t="shared" si="40"/>
        <v>040108202305</v>
      </c>
      <c r="U739">
        <f t="shared" si="41"/>
        <v>0</v>
      </c>
    </row>
    <row r="740" spans="1:21" x14ac:dyDescent="0.35">
      <c r="A740">
        <v>2023</v>
      </c>
      <c r="B740" s="7" t="s">
        <v>94</v>
      </c>
      <c r="C740" s="6" t="s">
        <v>103</v>
      </c>
      <c r="D740">
        <v>202305</v>
      </c>
      <c r="E740" s="12" t="s">
        <v>33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T740" t="str">
        <f t="shared" si="40"/>
        <v>040110202305</v>
      </c>
      <c r="U740">
        <f t="shared" si="41"/>
        <v>0</v>
      </c>
    </row>
    <row r="741" spans="1:21" x14ac:dyDescent="0.35">
      <c r="A741">
        <v>2023</v>
      </c>
      <c r="B741" s="7" t="s">
        <v>94</v>
      </c>
      <c r="C741" s="6" t="s">
        <v>103</v>
      </c>
      <c r="D741">
        <v>202305</v>
      </c>
      <c r="E741" s="12" t="s">
        <v>34</v>
      </c>
      <c r="F741">
        <v>2.8948459999999999E-2</v>
      </c>
      <c r="G741">
        <v>2.8273819999999998E-2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T741" t="str">
        <f t="shared" si="40"/>
        <v>040112202305</v>
      </c>
      <c r="U741">
        <f t="shared" si="41"/>
        <v>2.8948459999999999E-2</v>
      </c>
    </row>
    <row r="742" spans="1:21" x14ac:dyDescent="0.35">
      <c r="A742">
        <v>2023</v>
      </c>
      <c r="B742" s="7" t="s">
        <v>94</v>
      </c>
      <c r="C742" s="6" t="s">
        <v>103</v>
      </c>
      <c r="D742">
        <v>202305</v>
      </c>
      <c r="E742" s="12" t="s">
        <v>35</v>
      </c>
      <c r="F742">
        <v>24.996556999999999</v>
      </c>
      <c r="G742">
        <v>24.996556999999999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T742" t="str">
        <f t="shared" ref="T742:T805" si="42">+E742&amp;D742</f>
        <v>040113202305</v>
      </c>
      <c r="U742">
        <f t="shared" si="41"/>
        <v>24.996556999999999</v>
      </c>
    </row>
    <row r="743" spans="1:21" x14ac:dyDescent="0.35">
      <c r="A743">
        <v>2023</v>
      </c>
      <c r="B743" s="7" t="s">
        <v>94</v>
      </c>
      <c r="C743" s="6" t="s">
        <v>103</v>
      </c>
      <c r="D743">
        <v>202305</v>
      </c>
      <c r="E743" s="12" t="s">
        <v>36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T743" t="str">
        <f t="shared" si="42"/>
        <v>040126202305</v>
      </c>
      <c r="U743">
        <f t="shared" ref="U743:U806" si="43">+F743+I743+J743</f>
        <v>0</v>
      </c>
    </row>
    <row r="744" spans="1:21" x14ac:dyDescent="0.35">
      <c r="A744">
        <v>2023</v>
      </c>
      <c r="B744" s="7" t="s">
        <v>94</v>
      </c>
      <c r="C744" s="6" t="s">
        <v>103</v>
      </c>
      <c r="D744">
        <v>202305</v>
      </c>
      <c r="E744" s="12" t="s">
        <v>37</v>
      </c>
      <c r="F744">
        <v>0</v>
      </c>
      <c r="G744">
        <v>0</v>
      </c>
      <c r="H744">
        <v>0</v>
      </c>
      <c r="I744">
        <v>851.33449392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T744" t="str">
        <f t="shared" si="42"/>
        <v>040127202305</v>
      </c>
      <c r="U744">
        <f t="shared" si="43"/>
        <v>851.33449392</v>
      </c>
    </row>
    <row r="745" spans="1:21" x14ac:dyDescent="0.35">
      <c r="A745">
        <v>2023</v>
      </c>
      <c r="B745" s="7" t="s">
        <v>94</v>
      </c>
      <c r="C745" s="6" t="s">
        <v>103</v>
      </c>
      <c r="D745">
        <v>202305</v>
      </c>
      <c r="E745" s="12" t="s">
        <v>38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T745" t="str">
        <f t="shared" si="42"/>
        <v>040128202305</v>
      </c>
      <c r="U745">
        <f t="shared" si="43"/>
        <v>0</v>
      </c>
    </row>
    <row r="746" spans="1:21" x14ac:dyDescent="0.35">
      <c r="A746">
        <v>2023</v>
      </c>
      <c r="B746" s="7" t="s">
        <v>94</v>
      </c>
      <c r="C746" s="6" t="s">
        <v>103</v>
      </c>
      <c r="D746">
        <v>202305</v>
      </c>
      <c r="E746" s="12" t="s">
        <v>39</v>
      </c>
      <c r="F746">
        <v>0</v>
      </c>
      <c r="G746">
        <v>0</v>
      </c>
      <c r="H746">
        <v>0</v>
      </c>
      <c r="I746">
        <v>288.64060000000001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5.4445969999999999</v>
      </c>
      <c r="Q746">
        <v>0</v>
      </c>
      <c r="R746">
        <v>0</v>
      </c>
      <c r="T746" t="str">
        <f t="shared" si="42"/>
        <v>040130202305</v>
      </c>
      <c r="U746">
        <f t="shared" si="43"/>
        <v>288.64060000000001</v>
      </c>
    </row>
    <row r="747" spans="1:21" x14ac:dyDescent="0.35">
      <c r="A747">
        <v>2023</v>
      </c>
      <c r="B747" s="7" t="s">
        <v>94</v>
      </c>
      <c r="C747" s="6" t="s">
        <v>103</v>
      </c>
      <c r="D747">
        <v>202305</v>
      </c>
      <c r="E747" s="12" t="s">
        <v>40</v>
      </c>
      <c r="F747">
        <v>0</v>
      </c>
      <c r="G747">
        <v>0</v>
      </c>
      <c r="H747">
        <v>0</v>
      </c>
      <c r="I747">
        <v>5.1354999999999998E-2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T747" t="str">
        <f t="shared" si="42"/>
        <v>040132202305</v>
      </c>
      <c r="U747">
        <f t="shared" si="43"/>
        <v>5.1354999999999998E-2</v>
      </c>
    </row>
    <row r="748" spans="1:21" x14ac:dyDescent="0.35">
      <c r="A748">
        <v>2023</v>
      </c>
      <c r="B748" s="7" t="s">
        <v>94</v>
      </c>
      <c r="C748" s="6" t="s">
        <v>103</v>
      </c>
      <c r="D748">
        <v>202305</v>
      </c>
      <c r="E748" s="12" t="s">
        <v>41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T748" t="str">
        <f t="shared" si="42"/>
        <v>040133202305</v>
      </c>
      <c r="U748">
        <f t="shared" si="43"/>
        <v>0</v>
      </c>
    </row>
    <row r="749" spans="1:21" x14ac:dyDescent="0.35">
      <c r="A749">
        <v>2023</v>
      </c>
      <c r="B749" s="7" t="s">
        <v>94</v>
      </c>
      <c r="C749" s="6" t="s">
        <v>103</v>
      </c>
      <c r="D749">
        <v>202305</v>
      </c>
      <c r="E749" s="12" t="s">
        <v>42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T749" t="str">
        <f t="shared" si="42"/>
        <v>040136202305</v>
      </c>
      <c r="U749">
        <f t="shared" si="43"/>
        <v>0</v>
      </c>
    </row>
    <row r="750" spans="1:21" x14ac:dyDescent="0.35">
      <c r="A750">
        <v>2023</v>
      </c>
      <c r="B750" s="7" t="s">
        <v>94</v>
      </c>
      <c r="C750" s="6" t="s">
        <v>103</v>
      </c>
      <c r="D750">
        <v>202305</v>
      </c>
      <c r="E750" s="12" t="s">
        <v>43</v>
      </c>
      <c r="F750">
        <v>0</v>
      </c>
      <c r="G750">
        <v>0</v>
      </c>
      <c r="H750">
        <v>0</v>
      </c>
      <c r="I750">
        <v>25.957847010000002</v>
      </c>
      <c r="J750">
        <v>0.38047296999999997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T750" t="str">
        <f t="shared" si="42"/>
        <v>040137202305</v>
      </c>
      <c r="U750">
        <f t="shared" si="43"/>
        <v>26.338319980000001</v>
      </c>
    </row>
    <row r="751" spans="1:21" x14ac:dyDescent="0.35">
      <c r="A751">
        <v>2023</v>
      </c>
      <c r="B751" s="7" t="s">
        <v>94</v>
      </c>
      <c r="C751" s="6" t="s">
        <v>103</v>
      </c>
      <c r="D751">
        <v>202305</v>
      </c>
      <c r="E751" s="12" t="s">
        <v>44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T751" t="str">
        <f t="shared" si="42"/>
        <v>040138202305</v>
      </c>
      <c r="U751">
        <f t="shared" si="43"/>
        <v>0</v>
      </c>
    </row>
    <row r="752" spans="1:21" x14ac:dyDescent="0.35">
      <c r="A752">
        <v>2023</v>
      </c>
      <c r="B752" s="7" t="s">
        <v>94</v>
      </c>
      <c r="C752" s="6" t="s">
        <v>103</v>
      </c>
      <c r="D752">
        <v>202305</v>
      </c>
      <c r="E752" s="12" t="s">
        <v>45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T752" t="str">
        <f t="shared" si="42"/>
        <v>040139202305</v>
      </c>
      <c r="U752">
        <f t="shared" si="43"/>
        <v>0</v>
      </c>
    </row>
    <row r="753" spans="1:21" x14ac:dyDescent="0.35">
      <c r="A753">
        <v>2023</v>
      </c>
      <c r="B753" s="7" t="s">
        <v>94</v>
      </c>
      <c r="C753" s="6" t="s">
        <v>103</v>
      </c>
      <c r="D753">
        <v>202305</v>
      </c>
      <c r="E753" s="12" t="s">
        <v>46</v>
      </c>
      <c r="F753">
        <v>0</v>
      </c>
      <c r="G753">
        <v>0</v>
      </c>
      <c r="H753">
        <v>0</v>
      </c>
      <c r="I753">
        <v>67.929903999999993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T753" t="str">
        <f t="shared" si="42"/>
        <v>040140202305</v>
      </c>
      <c r="U753">
        <f t="shared" si="43"/>
        <v>67.929903999999993</v>
      </c>
    </row>
    <row r="754" spans="1:21" x14ac:dyDescent="0.35">
      <c r="A754">
        <v>2023</v>
      </c>
      <c r="B754" s="7" t="s">
        <v>94</v>
      </c>
      <c r="C754" s="6" t="s">
        <v>103</v>
      </c>
      <c r="D754">
        <v>202305</v>
      </c>
      <c r="E754" s="12" t="s">
        <v>47</v>
      </c>
      <c r="F754">
        <v>0</v>
      </c>
      <c r="G754">
        <v>0</v>
      </c>
      <c r="H754">
        <v>0</v>
      </c>
      <c r="I754">
        <v>4.7019999999999999E-2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T754" t="str">
        <f t="shared" si="42"/>
        <v>040141202305</v>
      </c>
      <c r="U754">
        <f t="shared" si="43"/>
        <v>4.7019999999999999E-2</v>
      </c>
    </row>
    <row r="755" spans="1:21" x14ac:dyDescent="0.35">
      <c r="A755">
        <v>2023</v>
      </c>
      <c r="B755" s="7" t="s">
        <v>94</v>
      </c>
      <c r="C755" s="6" t="s">
        <v>103</v>
      </c>
      <c r="D755">
        <v>202305</v>
      </c>
      <c r="E755" s="12" t="s">
        <v>48</v>
      </c>
      <c r="F755">
        <v>3.6412784300000003</v>
      </c>
      <c r="G755">
        <v>2.9147431899999998</v>
      </c>
      <c r="H755">
        <v>0.72653524000000003</v>
      </c>
      <c r="I755">
        <v>10.15610349</v>
      </c>
      <c r="J755">
        <v>7.5778059999999994E-2</v>
      </c>
      <c r="K755">
        <v>0</v>
      </c>
      <c r="L755">
        <v>1.93385696</v>
      </c>
      <c r="M755">
        <v>1.93385696</v>
      </c>
      <c r="N755">
        <v>0</v>
      </c>
      <c r="O755">
        <v>0</v>
      </c>
      <c r="P755">
        <v>5.1303595199999998</v>
      </c>
      <c r="Q755">
        <v>0.86152607999999997</v>
      </c>
      <c r="R755">
        <v>0</v>
      </c>
      <c r="T755" t="str">
        <f t="shared" si="42"/>
        <v>040143202305</v>
      </c>
      <c r="U755">
        <f t="shared" si="43"/>
        <v>13.873159979999999</v>
      </c>
    </row>
    <row r="756" spans="1:21" x14ac:dyDescent="0.35">
      <c r="A756">
        <v>2023</v>
      </c>
      <c r="B756" s="7" t="s">
        <v>94</v>
      </c>
      <c r="C756" s="6" t="s">
        <v>103</v>
      </c>
      <c r="D756">
        <v>202305</v>
      </c>
      <c r="E756" s="12" t="s">
        <v>49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T756" t="str">
        <f t="shared" si="42"/>
        <v>040145202305</v>
      </c>
      <c r="U756">
        <f t="shared" si="43"/>
        <v>0</v>
      </c>
    </row>
    <row r="757" spans="1:21" x14ac:dyDescent="0.35">
      <c r="A757">
        <v>2023</v>
      </c>
      <c r="B757" s="7" t="s">
        <v>94</v>
      </c>
      <c r="C757" s="6" t="s">
        <v>103</v>
      </c>
      <c r="D757">
        <v>202305</v>
      </c>
      <c r="E757" s="12" t="s">
        <v>50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T757" t="str">
        <f t="shared" si="42"/>
        <v>040147202305</v>
      </c>
      <c r="U757">
        <f t="shared" si="43"/>
        <v>0</v>
      </c>
    </row>
    <row r="758" spans="1:21" x14ac:dyDescent="0.35">
      <c r="A758">
        <v>2023</v>
      </c>
      <c r="B758" s="7" t="s">
        <v>94</v>
      </c>
      <c r="C758" s="6" t="s">
        <v>103</v>
      </c>
      <c r="D758">
        <v>202305</v>
      </c>
      <c r="E758" s="12" t="s">
        <v>51</v>
      </c>
      <c r="F758">
        <v>0</v>
      </c>
      <c r="G758">
        <v>0</v>
      </c>
      <c r="H758">
        <v>0</v>
      </c>
      <c r="I758">
        <v>9.6863530000000004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0.131968</v>
      </c>
      <c r="Q758">
        <v>0</v>
      </c>
      <c r="R758">
        <v>0</v>
      </c>
      <c r="T758" t="str">
        <f t="shared" si="42"/>
        <v>040149202305</v>
      </c>
      <c r="U758">
        <f t="shared" si="43"/>
        <v>9.6863530000000004</v>
      </c>
    </row>
    <row r="759" spans="1:21" x14ac:dyDescent="0.35">
      <c r="A759">
        <v>2023</v>
      </c>
      <c r="B759" s="7" t="s">
        <v>94</v>
      </c>
      <c r="C759" s="6" t="s">
        <v>103</v>
      </c>
      <c r="D759">
        <v>202305</v>
      </c>
      <c r="E759" s="12" t="s">
        <v>52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T759" t="str">
        <f t="shared" si="42"/>
        <v>040150202305</v>
      </c>
      <c r="U759">
        <f t="shared" si="43"/>
        <v>0</v>
      </c>
    </row>
    <row r="760" spans="1:21" x14ac:dyDescent="0.35">
      <c r="A760">
        <v>2023</v>
      </c>
      <c r="B760" s="7" t="s">
        <v>94</v>
      </c>
      <c r="C760" s="6" t="s">
        <v>103</v>
      </c>
      <c r="D760">
        <v>202305</v>
      </c>
      <c r="E760" s="12" t="s">
        <v>53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T760" t="str">
        <f t="shared" si="42"/>
        <v>040151202305</v>
      </c>
      <c r="U760">
        <f t="shared" si="43"/>
        <v>0</v>
      </c>
    </row>
    <row r="761" spans="1:21" x14ac:dyDescent="0.35">
      <c r="A761">
        <v>2023</v>
      </c>
      <c r="B761" s="7" t="s">
        <v>94</v>
      </c>
      <c r="C761" s="6" t="s">
        <v>103</v>
      </c>
      <c r="D761">
        <v>202305</v>
      </c>
      <c r="E761" s="12" t="s">
        <v>54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T761" t="str">
        <f t="shared" si="42"/>
        <v>040152202305</v>
      </c>
      <c r="U761">
        <f t="shared" si="43"/>
        <v>0</v>
      </c>
    </row>
    <row r="762" spans="1:21" x14ac:dyDescent="0.35">
      <c r="A762">
        <v>2023</v>
      </c>
      <c r="B762" s="7" t="s">
        <v>94</v>
      </c>
      <c r="C762" s="6" t="s">
        <v>103</v>
      </c>
      <c r="D762">
        <v>202305</v>
      </c>
      <c r="E762" s="12" t="s">
        <v>55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0.61995411999999994</v>
      </c>
      <c r="M762">
        <v>0.61995411999999994</v>
      </c>
      <c r="N762">
        <v>0</v>
      </c>
      <c r="O762">
        <v>0</v>
      </c>
      <c r="P762">
        <v>0</v>
      </c>
      <c r="Q762">
        <v>0</v>
      </c>
      <c r="R762">
        <v>0</v>
      </c>
      <c r="T762" t="str">
        <f t="shared" si="42"/>
        <v>040154202305</v>
      </c>
      <c r="U762">
        <f t="shared" si="43"/>
        <v>0</v>
      </c>
    </row>
    <row r="763" spans="1:21" x14ac:dyDescent="0.35">
      <c r="A763">
        <v>2023</v>
      </c>
      <c r="B763" s="7" t="s">
        <v>94</v>
      </c>
      <c r="C763" s="6" t="s">
        <v>103</v>
      </c>
      <c r="D763">
        <v>202305</v>
      </c>
      <c r="E763" s="12" t="s">
        <v>56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T763" t="str">
        <f t="shared" si="42"/>
        <v>040155202305</v>
      </c>
      <c r="U763">
        <f t="shared" si="43"/>
        <v>0</v>
      </c>
    </row>
    <row r="764" spans="1:21" x14ac:dyDescent="0.35">
      <c r="A764">
        <v>2023</v>
      </c>
      <c r="B764" s="7" t="s">
        <v>94</v>
      </c>
      <c r="C764" s="6" t="s">
        <v>103</v>
      </c>
      <c r="D764">
        <v>202305</v>
      </c>
      <c r="E764" s="12" t="s">
        <v>57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T764" t="str">
        <f t="shared" si="42"/>
        <v>040156202305</v>
      </c>
      <c r="U764">
        <f t="shared" si="43"/>
        <v>0</v>
      </c>
    </row>
    <row r="765" spans="1:21" x14ac:dyDescent="0.35">
      <c r="A765">
        <v>2023</v>
      </c>
      <c r="B765" s="7" t="s">
        <v>94</v>
      </c>
      <c r="C765" s="6" t="s">
        <v>103</v>
      </c>
      <c r="D765">
        <v>202305</v>
      </c>
      <c r="E765" s="12" t="s">
        <v>58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T765" t="str">
        <f t="shared" si="42"/>
        <v>040157202305</v>
      </c>
      <c r="U765">
        <f t="shared" si="43"/>
        <v>0</v>
      </c>
    </row>
    <row r="766" spans="1:21" x14ac:dyDescent="0.35">
      <c r="A766">
        <v>2023</v>
      </c>
      <c r="B766" s="7" t="s">
        <v>94</v>
      </c>
      <c r="C766" s="6" t="s">
        <v>103</v>
      </c>
      <c r="D766">
        <v>202305</v>
      </c>
      <c r="E766" s="12" t="s">
        <v>59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T766" t="str">
        <f t="shared" si="42"/>
        <v>040158202305</v>
      </c>
      <c r="U766">
        <f t="shared" si="43"/>
        <v>0</v>
      </c>
    </row>
    <row r="767" spans="1:21" x14ac:dyDescent="0.35">
      <c r="A767">
        <v>2023</v>
      </c>
      <c r="B767" s="7" t="s">
        <v>94</v>
      </c>
      <c r="C767" s="6" t="s">
        <v>103</v>
      </c>
      <c r="D767">
        <v>202305</v>
      </c>
      <c r="E767" s="12" t="s">
        <v>60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T767" t="str">
        <f t="shared" si="42"/>
        <v>040159202305</v>
      </c>
      <c r="U767">
        <f t="shared" si="43"/>
        <v>0</v>
      </c>
    </row>
    <row r="768" spans="1:21" x14ac:dyDescent="0.35">
      <c r="A768">
        <v>2023</v>
      </c>
      <c r="B768" s="7" t="s">
        <v>94</v>
      </c>
      <c r="C768" s="6" t="s">
        <v>103</v>
      </c>
      <c r="D768">
        <v>202305</v>
      </c>
      <c r="E768" s="12" t="s">
        <v>63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T768" t="str">
        <f t="shared" si="42"/>
        <v>040160202305</v>
      </c>
      <c r="U768">
        <f t="shared" si="43"/>
        <v>0</v>
      </c>
    </row>
    <row r="769" spans="1:21" x14ac:dyDescent="0.35">
      <c r="A769">
        <v>2023</v>
      </c>
      <c r="B769" s="7" t="s">
        <v>94</v>
      </c>
      <c r="C769" s="6" t="s">
        <v>103</v>
      </c>
      <c r="D769">
        <v>202305</v>
      </c>
      <c r="E769" s="12" t="s">
        <v>61</v>
      </c>
      <c r="F769">
        <v>28.500726</v>
      </c>
      <c r="G769">
        <v>0</v>
      </c>
      <c r="H769">
        <v>28.500726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T769" t="str">
        <f t="shared" si="42"/>
        <v>040162202305</v>
      </c>
      <c r="U769">
        <f t="shared" si="43"/>
        <v>28.500726</v>
      </c>
    </row>
    <row r="770" spans="1:21" x14ac:dyDescent="0.35">
      <c r="A770">
        <v>2023</v>
      </c>
      <c r="B770" s="7" t="s">
        <v>95</v>
      </c>
      <c r="C770" s="6" t="s">
        <v>104</v>
      </c>
      <c r="D770">
        <v>202306</v>
      </c>
      <c r="E770" s="11">
        <v>5</v>
      </c>
      <c r="F770">
        <v>1000.37479683</v>
      </c>
      <c r="G770">
        <v>997.42541724</v>
      </c>
      <c r="H770">
        <v>2.9460672099999998</v>
      </c>
      <c r="I770">
        <v>7836.56636428</v>
      </c>
      <c r="J770">
        <v>552.39477376000002</v>
      </c>
      <c r="K770">
        <v>42.020611000000002</v>
      </c>
      <c r="L770">
        <v>0.280084</v>
      </c>
      <c r="M770">
        <v>0.280084</v>
      </c>
      <c r="N770">
        <v>0</v>
      </c>
      <c r="O770">
        <v>0</v>
      </c>
      <c r="P770">
        <v>73.406462140000002</v>
      </c>
      <c r="Q770">
        <v>72.446288019999997</v>
      </c>
      <c r="R770">
        <v>0</v>
      </c>
      <c r="T770" t="str">
        <f t="shared" si="42"/>
        <v>5202306</v>
      </c>
      <c r="U770">
        <f t="shared" si="43"/>
        <v>9389.3359348699996</v>
      </c>
    </row>
    <row r="771" spans="1:21" x14ac:dyDescent="0.35">
      <c r="A771">
        <v>2023</v>
      </c>
      <c r="B771" s="7" t="s">
        <v>95</v>
      </c>
      <c r="C771" s="6" t="s">
        <v>104</v>
      </c>
      <c r="D771">
        <v>202306</v>
      </c>
      <c r="E771" s="12" t="s">
        <v>19</v>
      </c>
      <c r="F771">
        <v>64.177037999999996</v>
      </c>
      <c r="G771">
        <v>64.177037999999996</v>
      </c>
      <c r="H771">
        <v>0</v>
      </c>
      <c r="I771">
        <v>332.20844599999998</v>
      </c>
      <c r="J771">
        <v>69.347588999999999</v>
      </c>
      <c r="K771">
        <v>42.020611000000002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T771" t="str">
        <f t="shared" si="42"/>
        <v>040002202306</v>
      </c>
      <c r="U771">
        <f t="shared" si="43"/>
        <v>465.73307299999999</v>
      </c>
    </row>
    <row r="772" spans="1:21" x14ac:dyDescent="0.35">
      <c r="A772">
        <v>2023</v>
      </c>
      <c r="B772" s="7" t="s">
        <v>95</v>
      </c>
      <c r="C772" s="6" t="s">
        <v>104</v>
      </c>
      <c r="D772">
        <v>202306</v>
      </c>
      <c r="E772" s="12" t="s">
        <v>20</v>
      </c>
      <c r="F772">
        <v>241.42846233</v>
      </c>
      <c r="G772">
        <v>241.42846233</v>
      </c>
      <c r="H772">
        <v>0</v>
      </c>
      <c r="I772">
        <v>2873.4929323699998</v>
      </c>
      <c r="J772">
        <v>179.22674631000001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T772" t="str">
        <f t="shared" si="42"/>
        <v>040012202306</v>
      </c>
      <c r="U772">
        <f t="shared" si="43"/>
        <v>3294.14814101</v>
      </c>
    </row>
    <row r="773" spans="1:21" x14ac:dyDescent="0.35">
      <c r="A773">
        <v>2023</v>
      </c>
      <c r="B773" s="7" t="s">
        <v>95</v>
      </c>
      <c r="C773" s="6" t="s">
        <v>104</v>
      </c>
      <c r="D773">
        <v>202306</v>
      </c>
      <c r="E773" s="12" t="s">
        <v>21</v>
      </c>
      <c r="F773">
        <v>267.53667200000001</v>
      </c>
      <c r="G773">
        <v>267.53667200000001</v>
      </c>
      <c r="H773">
        <v>0</v>
      </c>
      <c r="I773">
        <v>1120.777554</v>
      </c>
      <c r="J773">
        <v>55.851331000000002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T773" t="str">
        <f t="shared" si="42"/>
        <v>040014202306</v>
      </c>
      <c r="U773">
        <f t="shared" si="43"/>
        <v>1444.165557</v>
      </c>
    </row>
    <row r="774" spans="1:21" x14ac:dyDescent="0.35">
      <c r="A774">
        <v>2023</v>
      </c>
      <c r="B774" s="7" t="s">
        <v>95</v>
      </c>
      <c r="C774" s="6" t="s">
        <v>104</v>
      </c>
      <c r="D774">
        <v>202306</v>
      </c>
      <c r="E774" s="12" t="s">
        <v>22</v>
      </c>
      <c r="F774">
        <v>115.619913</v>
      </c>
      <c r="G774">
        <v>115.619913</v>
      </c>
      <c r="H774">
        <v>0</v>
      </c>
      <c r="I774">
        <v>935.19856000000004</v>
      </c>
      <c r="J774">
        <v>43.52037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46.173515000000002</v>
      </c>
      <c r="Q774">
        <v>33.010478999999997</v>
      </c>
      <c r="R774">
        <v>0</v>
      </c>
      <c r="T774" t="str">
        <f t="shared" si="42"/>
        <v>040021202306</v>
      </c>
      <c r="U774">
        <f t="shared" si="43"/>
        <v>1094.338843</v>
      </c>
    </row>
    <row r="775" spans="1:21" x14ac:dyDescent="0.35">
      <c r="A775">
        <v>2023</v>
      </c>
      <c r="B775" s="7" t="s">
        <v>95</v>
      </c>
      <c r="C775" s="6" t="s">
        <v>104</v>
      </c>
      <c r="D775">
        <v>202306</v>
      </c>
      <c r="E775" s="12" t="s">
        <v>23</v>
      </c>
      <c r="F775">
        <v>28.460459800000002</v>
      </c>
      <c r="G775">
        <v>28.460459800000002</v>
      </c>
      <c r="H775">
        <v>0</v>
      </c>
      <c r="I775">
        <v>30.044346090000001</v>
      </c>
      <c r="J775">
        <v>-0.16657131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0.99196582999999994</v>
      </c>
      <c r="R775">
        <v>0</v>
      </c>
      <c r="T775" t="str">
        <f t="shared" si="42"/>
        <v>040030202306</v>
      </c>
      <c r="U775">
        <f t="shared" si="43"/>
        <v>58.338234579999998</v>
      </c>
    </row>
    <row r="776" spans="1:21" x14ac:dyDescent="0.35">
      <c r="A776">
        <v>2023</v>
      </c>
      <c r="B776" s="7" t="s">
        <v>95</v>
      </c>
      <c r="C776" s="6" t="s">
        <v>104</v>
      </c>
      <c r="D776">
        <v>202306</v>
      </c>
      <c r="E776" s="12" t="s">
        <v>24</v>
      </c>
      <c r="F776">
        <v>0</v>
      </c>
      <c r="G776">
        <v>0</v>
      </c>
      <c r="H776">
        <v>0</v>
      </c>
      <c r="I776">
        <v>7.8248160000000002</v>
      </c>
      <c r="J776">
        <v>2.6770000000000001E-3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T776" t="str">
        <f t="shared" si="42"/>
        <v>040036202306</v>
      </c>
      <c r="U776">
        <f t="shared" si="43"/>
        <v>7.8274930000000005</v>
      </c>
    </row>
    <row r="777" spans="1:21" x14ac:dyDescent="0.35">
      <c r="A777">
        <v>2023</v>
      </c>
      <c r="B777" s="7" t="s">
        <v>95</v>
      </c>
      <c r="C777" s="6" t="s">
        <v>104</v>
      </c>
      <c r="D777">
        <v>202306</v>
      </c>
      <c r="E777" s="12" t="s">
        <v>25</v>
      </c>
      <c r="F777">
        <v>35.421396000000001</v>
      </c>
      <c r="G777">
        <v>35.421396000000001</v>
      </c>
      <c r="H777">
        <v>0</v>
      </c>
      <c r="I777">
        <v>2.5559850000000002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T777" t="str">
        <f t="shared" si="42"/>
        <v>040042202306</v>
      </c>
      <c r="U777">
        <f t="shared" si="43"/>
        <v>37.977381000000001</v>
      </c>
    </row>
    <row r="778" spans="1:21" x14ac:dyDescent="0.35">
      <c r="A778">
        <v>2023</v>
      </c>
      <c r="B778" s="7" t="s">
        <v>95</v>
      </c>
      <c r="C778" s="6" t="s">
        <v>104</v>
      </c>
      <c r="D778">
        <v>202306</v>
      </c>
      <c r="E778" s="12" t="s">
        <v>26</v>
      </c>
      <c r="F778">
        <v>3.7346780000000002</v>
      </c>
      <c r="G778">
        <v>3.7346780000000002</v>
      </c>
      <c r="H778">
        <v>0</v>
      </c>
      <c r="I778">
        <v>140.18099799999999</v>
      </c>
      <c r="J778">
        <v>21.945139999999999</v>
      </c>
      <c r="K778">
        <v>0</v>
      </c>
      <c r="L778">
        <v>0.280084</v>
      </c>
      <c r="M778">
        <v>0.280084</v>
      </c>
      <c r="N778">
        <v>0</v>
      </c>
      <c r="O778">
        <v>0</v>
      </c>
      <c r="P778">
        <v>17.030228999999999</v>
      </c>
      <c r="Q778">
        <v>38.198222000000001</v>
      </c>
      <c r="R778">
        <v>0</v>
      </c>
      <c r="T778" t="str">
        <f t="shared" si="42"/>
        <v>040044202306</v>
      </c>
      <c r="U778">
        <f t="shared" si="43"/>
        <v>165.860816</v>
      </c>
    </row>
    <row r="779" spans="1:21" x14ac:dyDescent="0.35">
      <c r="A779">
        <v>2023</v>
      </c>
      <c r="B779" s="7" t="s">
        <v>95</v>
      </c>
      <c r="C779" s="6" t="s">
        <v>104</v>
      </c>
      <c r="D779">
        <v>202306</v>
      </c>
      <c r="E779" s="12" t="s">
        <v>27</v>
      </c>
      <c r="F779">
        <v>29.780670969999999</v>
      </c>
      <c r="G779">
        <v>29.780670969999999</v>
      </c>
      <c r="H779">
        <v>0</v>
      </c>
      <c r="I779">
        <v>39.575961799999995</v>
      </c>
      <c r="J779">
        <v>2.2962827200000002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T779" t="str">
        <f t="shared" si="42"/>
        <v>040058202306</v>
      </c>
      <c r="U779">
        <f t="shared" si="43"/>
        <v>71.652915489999984</v>
      </c>
    </row>
    <row r="780" spans="1:21" x14ac:dyDescent="0.35">
      <c r="A780">
        <v>2023</v>
      </c>
      <c r="B780" s="7" t="s">
        <v>95</v>
      </c>
      <c r="C780" s="6" t="s">
        <v>104</v>
      </c>
      <c r="D780">
        <v>202306</v>
      </c>
      <c r="E780" s="12" t="s">
        <v>28</v>
      </c>
      <c r="F780">
        <v>0</v>
      </c>
      <c r="G780">
        <v>0</v>
      </c>
      <c r="H780">
        <v>0</v>
      </c>
      <c r="I780">
        <v>50.328429999999997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T780" t="str">
        <f t="shared" si="42"/>
        <v>040059202306</v>
      </c>
      <c r="U780">
        <f t="shared" si="43"/>
        <v>50.328429999999997</v>
      </c>
    </row>
    <row r="781" spans="1:21" x14ac:dyDescent="0.35">
      <c r="A781">
        <v>2023</v>
      </c>
      <c r="B781" s="7" t="s">
        <v>95</v>
      </c>
      <c r="C781" s="6" t="s">
        <v>104</v>
      </c>
      <c r="D781">
        <v>202306</v>
      </c>
      <c r="E781" s="12" t="s">
        <v>62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T781" t="str">
        <f t="shared" si="42"/>
        <v>040060202306</v>
      </c>
      <c r="U781">
        <f t="shared" si="43"/>
        <v>0</v>
      </c>
    </row>
    <row r="782" spans="1:21" x14ac:dyDescent="0.35">
      <c r="A782">
        <v>2023</v>
      </c>
      <c r="B782" s="7" t="s">
        <v>95</v>
      </c>
      <c r="C782" s="6" t="s">
        <v>104</v>
      </c>
      <c r="D782">
        <v>202306</v>
      </c>
      <c r="E782" s="12" t="s">
        <v>29</v>
      </c>
      <c r="F782">
        <v>2.7202299999999999</v>
      </c>
      <c r="G782">
        <v>2.7202299999999999</v>
      </c>
      <c r="H782">
        <v>0</v>
      </c>
      <c r="I782">
        <v>71.739356000000001</v>
      </c>
      <c r="J782">
        <v>2.7557999999999999E-2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T782" t="str">
        <f t="shared" si="42"/>
        <v>040062202306</v>
      </c>
      <c r="U782">
        <f t="shared" si="43"/>
        <v>74.487144000000001</v>
      </c>
    </row>
    <row r="783" spans="1:21" x14ac:dyDescent="0.35">
      <c r="A783">
        <v>2023</v>
      </c>
      <c r="B783" s="7" t="s">
        <v>95</v>
      </c>
      <c r="C783" s="6" t="s">
        <v>104</v>
      </c>
      <c r="D783">
        <v>202306</v>
      </c>
      <c r="E783" s="12" t="s">
        <v>30</v>
      </c>
      <c r="F783">
        <v>48.666432409999999</v>
      </c>
      <c r="G783">
        <v>48.666432409999999</v>
      </c>
      <c r="H783">
        <v>0</v>
      </c>
      <c r="I783">
        <v>1000.46120487</v>
      </c>
      <c r="J783">
        <v>177.78889483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T783" t="str">
        <f t="shared" si="42"/>
        <v>040072202306</v>
      </c>
      <c r="U783">
        <f t="shared" si="43"/>
        <v>1226.9165321099999</v>
      </c>
    </row>
    <row r="784" spans="1:21" x14ac:dyDescent="0.35">
      <c r="A784">
        <v>2023</v>
      </c>
      <c r="B784" s="7" t="s">
        <v>95</v>
      </c>
      <c r="C784" s="6" t="s">
        <v>104</v>
      </c>
      <c r="D784">
        <v>202306</v>
      </c>
      <c r="E784" s="12" t="s">
        <v>31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T784" t="str">
        <f t="shared" si="42"/>
        <v>040106202306</v>
      </c>
      <c r="U784">
        <f t="shared" si="43"/>
        <v>0</v>
      </c>
    </row>
    <row r="785" spans="1:21" x14ac:dyDescent="0.35">
      <c r="A785">
        <v>2023</v>
      </c>
      <c r="B785" s="7" t="s">
        <v>95</v>
      </c>
      <c r="C785" s="6" t="s">
        <v>104</v>
      </c>
      <c r="D785">
        <v>202306</v>
      </c>
      <c r="E785" s="12" t="s">
        <v>32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T785" t="str">
        <f t="shared" si="42"/>
        <v>040108202306</v>
      </c>
      <c r="U785">
        <f t="shared" si="43"/>
        <v>0</v>
      </c>
    </row>
    <row r="786" spans="1:21" x14ac:dyDescent="0.35">
      <c r="A786">
        <v>2023</v>
      </c>
      <c r="B786" s="7" t="s">
        <v>95</v>
      </c>
      <c r="C786" s="6" t="s">
        <v>104</v>
      </c>
      <c r="D786">
        <v>202306</v>
      </c>
      <c r="E786" s="12" t="s">
        <v>33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T786" t="str">
        <f t="shared" si="42"/>
        <v>040110202306</v>
      </c>
      <c r="U786">
        <f t="shared" si="43"/>
        <v>0</v>
      </c>
    </row>
    <row r="787" spans="1:21" x14ac:dyDescent="0.35">
      <c r="A787">
        <v>2023</v>
      </c>
      <c r="B787" s="7" t="s">
        <v>95</v>
      </c>
      <c r="C787" s="6" t="s">
        <v>104</v>
      </c>
      <c r="D787">
        <v>202306</v>
      </c>
      <c r="E787" s="12" t="s">
        <v>34</v>
      </c>
      <c r="F787">
        <v>49.024877279999998</v>
      </c>
      <c r="G787">
        <v>48.945877729999999</v>
      </c>
      <c r="H787">
        <v>7.5687169999999998E-2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T787" t="str">
        <f t="shared" si="42"/>
        <v>040112202306</v>
      </c>
      <c r="U787">
        <f t="shared" si="43"/>
        <v>49.024877279999998</v>
      </c>
    </row>
    <row r="788" spans="1:21" x14ac:dyDescent="0.35">
      <c r="A788">
        <v>2023</v>
      </c>
      <c r="B788" s="7" t="s">
        <v>95</v>
      </c>
      <c r="C788" s="6" t="s">
        <v>104</v>
      </c>
      <c r="D788">
        <v>202306</v>
      </c>
      <c r="E788" s="12" t="s">
        <v>35</v>
      </c>
      <c r="F788">
        <v>25.044187999999998</v>
      </c>
      <c r="G788">
        <v>25.044187999999998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9.4878000000000004E-2</v>
      </c>
      <c r="R788">
        <v>0</v>
      </c>
      <c r="T788" t="str">
        <f t="shared" si="42"/>
        <v>040113202306</v>
      </c>
      <c r="U788">
        <f t="shared" si="43"/>
        <v>25.044187999999998</v>
      </c>
    </row>
    <row r="789" spans="1:21" x14ac:dyDescent="0.35">
      <c r="A789">
        <v>2023</v>
      </c>
      <c r="B789" s="7" t="s">
        <v>95</v>
      </c>
      <c r="C789" s="6" t="s">
        <v>104</v>
      </c>
      <c r="D789">
        <v>202306</v>
      </c>
      <c r="E789" s="12" t="s">
        <v>36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T789" t="str">
        <f t="shared" si="42"/>
        <v>040126202306</v>
      </c>
      <c r="U789">
        <f t="shared" si="43"/>
        <v>0</v>
      </c>
    </row>
    <row r="790" spans="1:21" x14ac:dyDescent="0.35">
      <c r="A790">
        <v>2023</v>
      </c>
      <c r="B790" s="7" t="s">
        <v>95</v>
      </c>
      <c r="C790" s="6" t="s">
        <v>104</v>
      </c>
      <c r="D790">
        <v>202306</v>
      </c>
      <c r="E790" s="12" t="s">
        <v>37</v>
      </c>
      <c r="F790">
        <v>0</v>
      </c>
      <c r="G790">
        <v>0</v>
      </c>
      <c r="H790">
        <v>0</v>
      </c>
      <c r="I790">
        <v>833.88900104999993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T790" t="str">
        <f t="shared" si="42"/>
        <v>040127202306</v>
      </c>
      <c r="U790">
        <f t="shared" si="43"/>
        <v>833.88900104999993</v>
      </c>
    </row>
    <row r="791" spans="1:21" x14ac:dyDescent="0.35">
      <c r="A791">
        <v>2023</v>
      </c>
      <c r="B791" s="7" t="s">
        <v>95</v>
      </c>
      <c r="C791" s="6" t="s">
        <v>104</v>
      </c>
      <c r="D791">
        <v>202306</v>
      </c>
      <c r="E791" s="12" t="s">
        <v>38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T791" t="str">
        <f t="shared" si="42"/>
        <v>040128202306</v>
      </c>
      <c r="U791">
        <f t="shared" si="43"/>
        <v>0</v>
      </c>
    </row>
    <row r="792" spans="1:21" x14ac:dyDescent="0.35">
      <c r="A792">
        <v>2023</v>
      </c>
      <c r="B792" s="7" t="s">
        <v>95</v>
      </c>
      <c r="C792" s="6" t="s">
        <v>104</v>
      </c>
      <c r="D792">
        <v>202306</v>
      </c>
      <c r="E792" s="12" t="s">
        <v>39</v>
      </c>
      <c r="F792">
        <v>0</v>
      </c>
      <c r="G792">
        <v>0</v>
      </c>
      <c r="H792">
        <v>0</v>
      </c>
      <c r="I792">
        <v>325.65071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5.2762640000000003</v>
      </c>
      <c r="Q792">
        <v>0</v>
      </c>
      <c r="R792">
        <v>0</v>
      </c>
      <c r="T792" t="str">
        <f t="shared" si="42"/>
        <v>040130202306</v>
      </c>
      <c r="U792">
        <f t="shared" si="43"/>
        <v>325.65071</v>
      </c>
    </row>
    <row r="793" spans="1:21" x14ac:dyDescent="0.35">
      <c r="A793">
        <v>2023</v>
      </c>
      <c r="B793" s="7" t="s">
        <v>95</v>
      </c>
      <c r="C793" s="6" t="s">
        <v>104</v>
      </c>
      <c r="D793">
        <v>202306</v>
      </c>
      <c r="E793" s="12" t="s">
        <v>40</v>
      </c>
      <c r="F793">
        <v>0.96510300000000004</v>
      </c>
      <c r="G793">
        <v>0.96510300000000004</v>
      </c>
      <c r="H793">
        <v>0</v>
      </c>
      <c r="I793">
        <v>0.73741299999999999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T793" t="str">
        <f t="shared" si="42"/>
        <v>040132202306</v>
      </c>
      <c r="U793">
        <f t="shared" si="43"/>
        <v>1.7025160000000001</v>
      </c>
    </row>
    <row r="794" spans="1:21" x14ac:dyDescent="0.35">
      <c r="A794">
        <v>2023</v>
      </c>
      <c r="B794" s="7" t="s">
        <v>95</v>
      </c>
      <c r="C794" s="6" t="s">
        <v>104</v>
      </c>
      <c r="D794">
        <v>202306</v>
      </c>
      <c r="E794" s="12" t="s">
        <v>41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T794" t="str">
        <f t="shared" si="42"/>
        <v>040133202306</v>
      </c>
      <c r="U794">
        <f t="shared" si="43"/>
        <v>0</v>
      </c>
    </row>
    <row r="795" spans="1:21" x14ac:dyDescent="0.35">
      <c r="A795">
        <v>2023</v>
      </c>
      <c r="B795" s="7" t="s">
        <v>95</v>
      </c>
      <c r="C795" s="6" t="s">
        <v>104</v>
      </c>
      <c r="D795">
        <v>202306</v>
      </c>
      <c r="E795" s="12" t="s">
        <v>42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T795" t="str">
        <f t="shared" si="42"/>
        <v>040136202306</v>
      </c>
      <c r="U795">
        <f t="shared" si="43"/>
        <v>0</v>
      </c>
    </row>
    <row r="796" spans="1:21" x14ac:dyDescent="0.35">
      <c r="A796">
        <v>2023</v>
      </c>
      <c r="B796" s="7" t="s">
        <v>95</v>
      </c>
      <c r="C796" s="6" t="s">
        <v>104</v>
      </c>
      <c r="D796">
        <v>202306</v>
      </c>
      <c r="E796" s="12" t="s">
        <v>43</v>
      </c>
      <c r="F796">
        <v>0</v>
      </c>
      <c r="G796">
        <v>0</v>
      </c>
      <c r="H796">
        <v>0</v>
      </c>
      <c r="I796">
        <v>6.8335383200000006</v>
      </c>
      <c r="J796">
        <v>1.2395726899999999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T796" t="str">
        <f t="shared" si="42"/>
        <v>040137202306</v>
      </c>
      <c r="U796">
        <f t="shared" si="43"/>
        <v>8.0731110099999999</v>
      </c>
    </row>
    <row r="797" spans="1:21" x14ac:dyDescent="0.35">
      <c r="A797">
        <v>2023</v>
      </c>
      <c r="B797" s="7" t="s">
        <v>95</v>
      </c>
      <c r="C797" s="6" t="s">
        <v>104</v>
      </c>
      <c r="D797">
        <v>202306</v>
      </c>
      <c r="E797" s="12" t="s">
        <v>44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T797" t="str">
        <f t="shared" si="42"/>
        <v>040138202306</v>
      </c>
      <c r="U797">
        <f t="shared" si="43"/>
        <v>0</v>
      </c>
    </row>
    <row r="798" spans="1:21" x14ac:dyDescent="0.35">
      <c r="A798">
        <v>2023</v>
      </c>
      <c r="B798" s="7" t="s">
        <v>95</v>
      </c>
      <c r="C798" s="6" t="s">
        <v>104</v>
      </c>
      <c r="D798">
        <v>202306</v>
      </c>
      <c r="E798" s="12" t="s">
        <v>45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T798" t="str">
        <f t="shared" si="42"/>
        <v>040139202306</v>
      </c>
      <c r="U798">
        <f t="shared" si="43"/>
        <v>0</v>
      </c>
    </row>
    <row r="799" spans="1:21" x14ac:dyDescent="0.35">
      <c r="A799">
        <v>2023</v>
      </c>
      <c r="B799" s="7" t="s">
        <v>95</v>
      </c>
      <c r="C799" s="6" t="s">
        <v>104</v>
      </c>
      <c r="D799">
        <v>202306</v>
      </c>
      <c r="E799" s="12" t="s">
        <v>46</v>
      </c>
      <c r="F799">
        <v>0</v>
      </c>
      <c r="G799">
        <v>0</v>
      </c>
      <c r="H799">
        <v>0</v>
      </c>
      <c r="I799">
        <v>15.543079000000001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T799" t="str">
        <f t="shared" si="42"/>
        <v>040140202306</v>
      </c>
      <c r="U799">
        <f t="shared" si="43"/>
        <v>15.543079000000001</v>
      </c>
    </row>
    <row r="800" spans="1:21" x14ac:dyDescent="0.35">
      <c r="A800">
        <v>2023</v>
      </c>
      <c r="B800" s="7" t="s">
        <v>95</v>
      </c>
      <c r="C800" s="6" t="s">
        <v>104</v>
      </c>
      <c r="D800">
        <v>202306</v>
      </c>
      <c r="E800" s="12" t="s">
        <v>47</v>
      </c>
      <c r="F800">
        <v>0</v>
      </c>
      <c r="G800">
        <v>0</v>
      </c>
      <c r="H800">
        <v>0</v>
      </c>
      <c r="I800">
        <v>38.956546000000003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T800" t="str">
        <f t="shared" si="42"/>
        <v>040141202306</v>
      </c>
      <c r="U800">
        <f t="shared" si="43"/>
        <v>38.956546000000003</v>
      </c>
    </row>
    <row r="801" spans="1:21" x14ac:dyDescent="0.35">
      <c r="A801">
        <v>2023</v>
      </c>
      <c r="B801" s="7" t="s">
        <v>95</v>
      </c>
      <c r="C801" s="6" t="s">
        <v>104</v>
      </c>
      <c r="D801">
        <v>202306</v>
      </c>
      <c r="E801" s="12" t="s">
        <v>48</v>
      </c>
      <c r="F801">
        <v>5.9447530400000002</v>
      </c>
      <c r="G801">
        <v>3.074373</v>
      </c>
      <c r="H801">
        <v>2.8703800400000001</v>
      </c>
      <c r="I801">
        <v>2.56498078</v>
      </c>
      <c r="J801">
        <v>1.3151835199999999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4.8794981399999999</v>
      </c>
      <c r="Q801">
        <v>0.15074319</v>
      </c>
      <c r="R801">
        <v>0</v>
      </c>
      <c r="T801" t="str">
        <f t="shared" si="42"/>
        <v>040143202306</v>
      </c>
      <c r="U801">
        <f t="shared" si="43"/>
        <v>9.8249173400000007</v>
      </c>
    </row>
    <row r="802" spans="1:21" x14ac:dyDescent="0.35">
      <c r="A802">
        <v>2023</v>
      </c>
      <c r="B802" s="7" t="s">
        <v>95</v>
      </c>
      <c r="C802" s="6" t="s">
        <v>104</v>
      </c>
      <c r="D802">
        <v>202306</v>
      </c>
      <c r="E802" s="12" t="s">
        <v>49</v>
      </c>
      <c r="F802">
        <v>81.849923000000004</v>
      </c>
      <c r="G802">
        <v>81.849923000000004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T802" t="str">
        <f t="shared" si="42"/>
        <v>040145202306</v>
      </c>
      <c r="U802">
        <f t="shared" si="43"/>
        <v>81.849923000000004</v>
      </c>
    </row>
    <row r="803" spans="1:21" x14ac:dyDescent="0.35">
      <c r="A803">
        <v>2023</v>
      </c>
      <c r="B803" s="7" t="s">
        <v>95</v>
      </c>
      <c r="C803" s="6" t="s">
        <v>104</v>
      </c>
      <c r="D803">
        <v>202306</v>
      </c>
      <c r="E803" s="12" t="s">
        <v>50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T803" t="str">
        <f t="shared" si="42"/>
        <v>040147202306</v>
      </c>
      <c r="U803">
        <f t="shared" si="43"/>
        <v>0</v>
      </c>
    </row>
    <row r="804" spans="1:21" x14ac:dyDescent="0.35">
      <c r="A804">
        <v>2023</v>
      </c>
      <c r="B804" s="7" t="s">
        <v>95</v>
      </c>
      <c r="C804" s="6" t="s">
        <v>104</v>
      </c>
      <c r="D804">
        <v>202306</v>
      </c>
      <c r="E804" s="12" t="s">
        <v>51</v>
      </c>
      <c r="F804">
        <v>0</v>
      </c>
      <c r="G804">
        <v>0</v>
      </c>
      <c r="H804">
        <v>0</v>
      </c>
      <c r="I804">
        <v>8.0025060000000003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4.6955999999999998E-2</v>
      </c>
      <c r="Q804">
        <v>0</v>
      </c>
      <c r="R804">
        <v>0</v>
      </c>
      <c r="T804" t="str">
        <f t="shared" si="42"/>
        <v>040149202306</v>
      </c>
      <c r="U804">
        <f t="shared" si="43"/>
        <v>8.0025060000000003</v>
      </c>
    </row>
    <row r="805" spans="1:21" x14ac:dyDescent="0.35">
      <c r="A805">
        <v>2023</v>
      </c>
      <c r="B805" s="7" t="s">
        <v>95</v>
      </c>
      <c r="C805" s="6" t="s">
        <v>104</v>
      </c>
      <c r="D805">
        <v>202306</v>
      </c>
      <c r="E805" s="12" t="s">
        <v>52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T805" t="str">
        <f t="shared" si="42"/>
        <v>040150202306</v>
      </c>
      <c r="U805">
        <f t="shared" si="43"/>
        <v>0</v>
      </c>
    </row>
    <row r="806" spans="1:21" x14ac:dyDescent="0.35">
      <c r="A806">
        <v>2023</v>
      </c>
      <c r="B806" s="7" t="s">
        <v>95</v>
      </c>
      <c r="C806" s="6" t="s">
        <v>104</v>
      </c>
      <c r="D806">
        <v>202306</v>
      </c>
      <c r="E806" s="12" t="s">
        <v>53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T806" t="str">
        <f t="shared" ref="T806:T815" si="44">+E806&amp;D806</f>
        <v>040151202306</v>
      </c>
      <c r="U806">
        <f t="shared" si="43"/>
        <v>0</v>
      </c>
    </row>
    <row r="807" spans="1:21" x14ac:dyDescent="0.35">
      <c r="A807">
        <v>2023</v>
      </c>
      <c r="B807" s="7" t="s">
        <v>95</v>
      </c>
      <c r="C807" s="6" t="s">
        <v>104</v>
      </c>
      <c r="D807">
        <v>202306</v>
      </c>
      <c r="E807" s="12" t="s">
        <v>54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T807" t="str">
        <f t="shared" si="44"/>
        <v>040152202306</v>
      </c>
      <c r="U807">
        <f t="shared" ref="U807:U815" si="45">+F807+I807+J807</f>
        <v>0</v>
      </c>
    </row>
    <row r="808" spans="1:21" x14ac:dyDescent="0.35">
      <c r="A808">
        <v>2023</v>
      </c>
      <c r="B808" s="7" t="s">
        <v>95</v>
      </c>
      <c r="C808" s="6" t="s">
        <v>104</v>
      </c>
      <c r="D808">
        <v>202306</v>
      </c>
      <c r="E808" s="12" t="s">
        <v>55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T808" t="str">
        <f t="shared" si="44"/>
        <v>040154202306</v>
      </c>
      <c r="U808">
        <f t="shared" si="45"/>
        <v>0</v>
      </c>
    </row>
    <row r="809" spans="1:21" x14ac:dyDescent="0.35">
      <c r="A809">
        <v>2023</v>
      </c>
      <c r="B809" s="7" t="s">
        <v>95</v>
      </c>
      <c r="C809" s="6" t="s">
        <v>104</v>
      </c>
      <c r="D809">
        <v>202306</v>
      </c>
      <c r="E809" s="12" t="s">
        <v>56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T809" t="str">
        <f t="shared" si="44"/>
        <v>040155202306</v>
      </c>
      <c r="U809">
        <f t="shared" si="45"/>
        <v>0</v>
      </c>
    </row>
    <row r="810" spans="1:21" x14ac:dyDescent="0.35">
      <c r="A810">
        <v>2023</v>
      </c>
      <c r="B810" s="7" t="s">
        <v>95</v>
      </c>
      <c r="C810" s="6" t="s">
        <v>104</v>
      </c>
      <c r="D810">
        <v>202306</v>
      </c>
      <c r="E810" s="12" t="s">
        <v>57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T810" t="str">
        <f t="shared" si="44"/>
        <v>040156202306</v>
      </c>
      <c r="U810">
        <f t="shared" si="45"/>
        <v>0</v>
      </c>
    </row>
    <row r="811" spans="1:21" x14ac:dyDescent="0.35">
      <c r="A811">
        <v>2023</v>
      </c>
      <c r="B811" s="7" t="s">
        <v>95</v>
      </c>
      <c r="C811" s="6" t="s">
        <v>104</v>
      </c>
      <c r="D811">
        <v>202306</v>
      </c>
      <c r="E811" s="12" t="s">
        <v>58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T811" t="str">
        <f t="shared" si="44"/>
        <v>040157202306</v>
      </c>
      <c r="U811">
        <f t="shared" si="45"/>
        <v>0</v>
      </c>
    </row>
    <row r="812" spans="1:21" x14ac:dyDescent="0.35">
      <c r="A812">
        <v>2023</v>
      </c>
      <c r="B812" s="7" t="s">
        <v>95</v>
      </c>
      <c r="C812" s="6" t="s">
        <v>104</v>
      </c>
      <c r="D812">
        <v>202306</v>
      </c>
      <c r="E812" s="12" t="s">
        <v>59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T812" t="str">
        <f t="shared" si="44"/>
        <v>040158202306</v>
      </c>
      <c r="U812">
        <f t="shared" si="45"/>
        <v>0</v>
      </c>
    </row>
    <row r="813" spans="1:21" x14ac:dyDescent="0.35">
      <c r="A813">
        <v>2023</v>
      </c>
      <c r="B813" s="7" t="s">
        <v>95</v>
      </c>
      <c r="C813" s="6" t="s">
        <v>104</v>
      </c>
      <c r="D813">
        <v>202306</v>
      </c>
      <c r="E813" s="12" t="s">
        <v>60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T813" t="str">
        <f t="shared" si="44"/>
        <v>040159202306</v>
      </c>
      <c r="U813">
        <f t="shared" si="45"/>
        <v>0</v>
      </c>
    </row>
    <row r="814" spans="1:21" x14ac:dyDescent="0.35">
      <c r="A814">
        <v>2023</v>
      </c>
      <c r="B814" s="7" t="s">
        <v>95</v>
      </c>
      <c r="C814" s="6" t="s">
        <v>104</v>
      </c>
      <c r="D814">
        <v>202306</v>
      </c>
      <c r="E814" s="12" t="s">
        <v>63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T814" t="str">
        <f t="shared" si="44"/>
        <v>040160202306</v>
      </c>
      <c r="U814">
        <f t="shared" si="45"/>
        <v>0</v>
      </c>
    </row>
    <row r="815" spans="1:21" x14ac:dyDescent="0.35">
      <c r="A815">
        <v>2023</v>
      </c>
      <c r="B815" s="7" t="s">
        <v>95</v>
      </c>
      <c r="C815" s="6" t="s">
        <v>104</v>
      </c>
      <c r="D815">
        <v>202306</v>
      </c>
      <c r="E815" s="12" t="s">
        <v>61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T815" t="str">
        <f t="shared" si="44"/>
        <v>040162202306</v>
      </c>
      <c r="U815">
        <f t="shared" si="45"/>
        <v>0</v>
      </c>
    </row>
    <row r="816" spans="1:21" x14ac:dyDescent="0.35">
      <c r="A816">
        <v>2023</v>
      </c>
      <c r="B816" s="7" t="s">
        <v>96</v>
      </c>
      <c r="C816" s="6" t="s">
        <v>105</v>
      </c>
      <c r="D816">
        <v>202307</v>
      </c>
      <c r="E816" s="11">
        <v>5</v>
      </c>
      <c r="F816">
        <v>963.2271384500001</v>
      </c>
      <c r="G816">
        <v>962.39138532000004</v>
      </c>
      <c r="H816">
        <v>0.75783597999999996</v>
      </c>
      <c r="I816">
        <v>8197.2224265599998</v>
      </c>
      <c r="J816">
        <v>627.29572996000002</v>
      </c>
      <c r="K816">
        <v>37.012397999999997</v>
      </c>
      <c r="L816">
        <v>0</v>
      </c>
      <c r="M816">
        <v>0</v>
      </c>
      <c r="N816">
        <v>0</v>
      </c>
      <c r="O816">
        <v>0</v>
      </c>
      <c r="P816">
        <v>75.982559670000001</v>
      </c>
      <c r="Q816">
        <v>45.173221740000002</v>
      </c>
      <c r="R816">
        <v>0</v>
      </c>
      <c r="T816" t="str">
        <f t="shared" ref="T816:T861" si="46">+E816&amp;D816</f>
        <v>5202307</v>
      </c>
      <c r="U816">
        <f t="shared" ref="U816:U861" si="47">+F816+I816+J816</f>
        <v>9787.74529497</v>
      </c>
    </row>
    <row r="817" spans="1:21" x14ac:dyDescent="0.35">
      <c r="A817">
        <v>2023</v>
      </c>
      <c r="B817" s="7" t="s">
        <v>96</v>
      </c>
      <c r="C817" s="6" t="s">
        <v>105</v>
      </c>
      <c r="D817">
        <v>202307</v>
      </c>
      <c r="E817" s="12" t="s">
        <v>19</v>
      </c>
      <c r="F817">
        <v>60.595505000000003</v>
      </c>
      <c r="G817">
        <v>60.595505000000003</v>
      </c>
      <c r="H817">
        <v>0</v>
      </c>
      <c r="I817">
        <v>331.25459599999999</v>
      </c>
      <c r="J817">
        <v>79.777551000000003</v>
      </c>
      <c r="K817">
        <v>37.012397999999997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T817" t="str">
        <f t="shared" si="46"/>
        <v>040002202307</v>
      </c>
      <c r="U817">
        <f t="shared" si="47"/>
        <v>471.62765200000001</v>
      </c>
    </row>
    <row r="818" spans="1:21" x14ac:dyDescent="0.35">
      <c r="A818">
        <v>2023</v>
      </c>
      <c r="B818" s="7" t="s">
        <v>96</v>
      </c>
      <c r="C818" s="6" t="s">
        <v>105</v>
      </c>
      <c r="D818">
        <v>202307</v>
      </c>
      <c r="E818" s="12" t="s">
        <v>20</v>
      </c>
      <c r="F818">
        <v>272.67853758999996</v>
      </c>
      <c r="G818">
        <v>272.51287531999998</v>
      </c>
      <c r="H818">
        <v>9.4723940000000006E-2</v>
      </c>
      <c r="I818">
        <v>2923.8010498899998</v>
      </c>
      <c r="J818">
        <v>207.81907928999999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T818" t="str">
        <f t="shared" si="46"/>
        <v>040012202307</v>
      </c>
      <c r="U818">
        <f t="shared" si="47"/>
        <v>3404.2986667699997</v>
      </c>
    </row>
    <row r="819" spans="1:21" x14ac:dyDescent="0.35">
      <c r="A819">
        <v>2023</v>
      </c>
      <c r="B819" s="7" t="s">
        <v>96</v>
      </c>
      <c r="C819" s="6" t="s">
        <v>105</v>
      </c>
      <c r="D819">
        <v>202307</v>
      </c>
      <c r="E819" s="12" t="s">
        <v>21</v>
      </c>
      <c r="F819">
        <v>395.82596899999999</v>
      </c>
      <c r="G819">
        <v>395.82596899999999</v>
      </c>
      <c r="H819">
        <v>0</v>
      </c>
      <c r="I819">
        <v>1340.577423</v>
      </c>
      <c r="J819">
        <v>89.133178999999998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T819" t="str">
        <f t="shared" si="46"/>
        <v>040014202307</v>
      </c>
      <c r="U819">
        <f t="shared" si="47"/>
        <v>1825.5365709999999</v>
      </c>
    </row>
    <row r="820" spans="1:21" x14ac:dyDescent="0.35">
      <c r="A820">
        <v>2023</v>
      </c>
      <c r="B820" s="7" t="s">
        <v>96</v>
      </c>
      <c r="C820" s="6" t="s">
        <v>105</v>
      </c>
      <c r="D820">
        <v>202307</v>
      </c>
      <c r="E820" s="12" t="s">
        <v>22</v>
      </c>
      <c r="F820">
        <v>78.690799999999996</v>
      </c>
      <c r="G820">
        <v>78.690630999999996</v>
      </c>
      <c r="H820">
        <v>1.6899999999999999E-4</v>
      </c>
      <c r="I820">
        <v>732.25103100000001</v>
      </c>
      <c r="J820">
        <v>13.72406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44.577601000000001</v>
      </c>
      <c r="Q820">
        <v>18.615715000000002</v>
      </c>
      <c r="R820">
        <v>0</v>
      </c>
      <c r="T820" t="str">
        <f t="shared" si="46"/>
        <v>040021202307</v>
      </c>
      <c r="U820">
        <f t="shared" si="47"/>
        <v>824.66589099999999</v>
      </c>
    </row>
    <row r="821" spans="1:21" x14ac:dyDescent="0.35">
      <c r="A821">
        <v>2023</v>
      </c>
      <c r="B821" s="7" t="s">
        <v>96</v>
      </c>
      <c r="C821" s="6" t="s">
        <v>105</v>
      </c>
      <c r="D821">
        <v>202307</v>
      </c>
      <c r="E821" s="12" t="s">
        <v>23</v>
      </c>
      <c r="F821">
        <v>6.7605631299999995</v>
      </c>
      <c r="G821">
        <v>6.7605631299999995</v>
      </c>
      <c r="H821">
        <v>0</v>
      </c>
      <c r="I821">
        <v>33.209587640000002</v>
      </c>
      <c r="J821">
        <v>2.7269842299999998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0.45130317999999997</v>
      </c>
      <c r="R821">
        <v>0</v>
      </c>
      <c r="T821" t="str">
        <f t="shared" si="46"/>
        <v>040030202307</v>
      </c>
      <c r="U821">
        <f t="shared" si="47"/>
        <v>42.697135000000003</v>
      </c>
    </row>
    <row r="822" spans="1:21" x14ac:dyDescent="0.35">
      <c r="A822">
        <v>2023</v>
      </c>
      <c r="B822" s="7" t="s">
        <v>96</v>
      </c>
      <c r="C822" s="6" t="s">
        <v>105</v>
      </c>
      <c r="D822">
        <v>202307</v>
      </c>
      <c r="E822" s="12" t="s">
        <v>24</v>
      </c>
      <c r="F822">
        <v>0</v>
      </c>
      <c r="G822">
        <v>0</v>
      </c>
      <c r="H822">
        <v>0</v>
      </c>
      <c r="I822">
        <v>9.1822040000000005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T822" t="str">
        <f t="shared" si="46"/>
        <v>040036202307</v>
      </c>
      <c r="U822">
        <f t="shared" si="47"/>
        <v>9.1822040000000005</v>
      </c>
    </row>
    <row r="823" spans="1:21" x14ac:dyDescent="0.35">
      <c r="A823">
        <v>2023</v>
      </c>
      <c r="B823" s="7" t="s">
        <v>96</v>
      </c>
      <c r="C823" s="6" t="s">
        <v>105</v>
      </c>
      <c r="D823">
        <v>202307</v>
      </c>
      <c r="E823" s="12" t="s">
        <v>25</v>
      </c>
      <c r="F823">
        <v>0</v>
      </c>
      <c r="G823">
        <v>0</v>
      </c>
      <c r="H823">
        <v>0</v>
      </c>
      <c r="I823">
        <v>1.8856809999999999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T823" t="str">
        <f t="shared" si="46"/>
        <v>040042202307</v>
      </c>
      <c r="U823">
        <f t="shared" si="47"/>
        <v>1.8856809999999999</v>
      </c>
    </row>
    <row r="824" spans="1:21" x14ac:dyDescent="0.35">
      <c r="A824">
        <v>2023</v>
      </c>
      <c r="B824" s="7" t="s">
        <v>96</v>
      </c>
      <c r="C824" s="6" t="s">
        <v>105</v>
      </c>
      <c r="D824">
        <v>202307</v>
      </c>
      <c r="E824" s="12" t="s">
        <v>26</v>
      </c>
      <c r="F824">
        <v>2.5329190000000001</v>
      </c>
      <c r="G824">
        <v>2.5329190000000001</v>
      </c>
      <c r="H824">
        <v>0</v>
      </c>
      <c r="I824">
        <v>137.93648300000001</v>
      </c>
      <c r="J824">
        <v>16.181477000000001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20.636251999999999</v>
      </c>
      <c r="Q824">
        <v>25.642571</v>
      </c>
      <c r="R824">
        <v>0</v>
      </c>
      <c r="T824" t="str">
        <f t="shared" si="46"/>
        <v>040044202307</v>
      </c>
      <c r="U824">
        <f t="shared" si="47"/>
        <v>156.650879</v>
      </c>
    </row>
    <row r="825" spans="1:21" x14ac:dyDescent="0.35">
      <c r="A825">
        <v>2023</v>
      </c>
      <c r="B825" s="7" t="s">
        <v>96</v>
      </c>
      <c r="C825" s="6" t="s">
        <v>105</v>
      </c>
      <c r="D825">
        <v>202307</v>
      </c>
      <c r="E825" s="12" t="s">
        <v>27</v>
      </c>
      <c r="F825">
        <v>28.027537149999997</v>
      </c>
      <c r="G825">
        <v>28.027537149999997</v>
      </c>
      <c r="H825">
        <v>0</v>
      </c>
      <c r="I825">
        <v>43.302821209999998</v>
      </c>
      <c r="J825">
        <v>3.16521696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T825" t="str">
        <f t="shared" si="46"/>
        <v>040058202307</v>
      </c>
      <c r="U825">
        <f t="shared" si="47"/>
        <v>74.495575319999986</v>
      </c>
    </row>
    <row r="826" spans="1:21" x14ac:dyDescent="0.35">
      <c r="A826">
        <v>2023</v>
      </c>
      <c r="B826" s="7" t="s">
        <v>96</v>
      </c>
      <c r="C826" s="6" t="s">
        <v>105</v>
      </c>
      <c r="D826">
        <v>202307</v>
      </c>
      <c r="E826" s="12" t="s">
        <v>28</v>
      </c>
      <c r="F826">
        <v>0</v>
      </c>
      <c r="G826">
        <v>0</v>
      </c>
      <c r="H826">
        <v>0</v>
      </c>
      <c r="I826">
        <v>63.723063000000003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T826" t="str">
        <f t="shared" si="46"/>
        <v>040059202307</v>
      </c>
      <c r="U826">
        <f t="shared" si="47"/>
        <v>63.723063000000003</v>
      </c>
    </row>
    <row r="827" spans="1:21" x14ac:dyDescent="0.35">
      <c r="A827">
        <v>2023</v>
      </c>
      <c r="B827" s="7" t="s">
        <v>96</v>
      </c>
      <c r="C827" s="6" t="s">
        <v>105</v>
      </c>
      <c r="D827">
        <v>202307</v>
      </c>
      <c r="E827" s="12" t="s">
        <v>62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T827" t="str">
        <f t="shared" si="46"/>
        <v>040060202307</v>
      </c>
      <c r="U827">
        <f t="shared" si="47"/>
        <v>0</v>
      </c>
    </row>
    <row r="828" spans="1:21" x14ac:dyDescent="0.35">
      <c r="A828">
        <v>2023</v>
      </c>
      <c r="B828" s="7" t="s">
        <v>96</v>
      </c>
      <c r="C828" s="6" t="s">
        <v>105</v>
      </c>
      <c r="D828">
        <v>202307</v>
      </c>
      <c r="E828" s="12" t="s">
        <v>29</v>
      </c>
      <c r="F828">
        <v>1.5374000000000001E-2</v>
      </c>
      <c r="G828">
        <v>1.5374000000000001E-2</v>
      </c>
      <c r="H828">
        <v>0</v>
      </c>
      <c r="I828">
        <v>88.288724000000002</v>
      </c>
      <c r="J828">
        <v>2.3882E-2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T828" t="str">
        <f t="shared" si="46"/>
        <v>040062202307</v>
      </c>
      <c r="U828">
        <f t="shared" si="47"/>
        <v>88.327979999999997</v>
      </c>
    </row>
    <row r="829" spans="1:21" x14ac:dyDescent="0.35">
      <c r="A829">
        <v>2023</v>
      </c>
      <c r="B829" s="7" t="s">
        <v>96</v>
      </c>
      <c r="C829" s="6" t="s">
        <v>105</v>
      </c>
      <c r="D829">
        <v>202307</v>
      </c>
      <c r="E829" s="12" t="s">
        <v>30</v>
      </c>
      <c r="F829">
        <v>68.397693450000006</v>
      </c>
      <c r="G829">
        <v>68.397693450000006</v>
      </c>
      <c r="H829">
        <v>0</v>
      </c>
      <c r="I829">
        <v>1195.2543662200001</v>
      </c>
      <c r="J829">
        <v>212.8869775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T829" t="str">
        <f t="shared" si="46"/>
        <v>040072202307</v>
      </c>
      <c r="U829">
        <f t="shared" si="47"/>
        <v>1476.53903717</v>
      </c>
    </row>
    <row r="830" spans="1:21" x14ac:dyDescent="0.35">
      <c r="A830">
        <v>2023</v>
      </c>
      <c r="B830" s="7" t="s">
        <v>96</v>
      </c>
      <c r="C830" s="6" t="s">
        <v>105</v>
      </c>
      <c r="D830">
        <v>202307</v>
      </c>
      <c r="E830" s="12" t="s">
        <v>31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T830" t="str">
        <f t="shared" si="46"/>
        <v>040106202307</v>
      </c>
      <c r="U830">
        <f t="shared" si="47"/>
        <v>0</v>
      </c>
    </row>
    <row r="831" spans="1:21" x14ac:dyDescent="0.35">
      <c r="A831">
        <v>2023</v>
      </c>
      <c r="B831" s="7" t="s">
        <v>96</v>
      </c>
      <c r="C831" s="6" t="s">
        <v>105</v>
      </c>
      <c r="D831">
        <v>202307</v>
      </c>
      <c r="E831" s="12" t="s">
        <v>32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T831" t="str">
        <f t="shared" si="46"/>
        <v>040108202307</v>
      </c>
      <c r="U831">
        <f t="shared" si="47"/>
        <v>0</v>
      </c>
    </row>
    <row r="832" spans="1:21" x14ac:dyDescent="0.35">
      <c r="A832">
        <v>2023</v>
      </c>
      <c r="B832" s="7" t="s">
        <v>96</v>
      </c>
      <c r="C832" s="6" t="s">
        <v>105</v>
      </c>
      <c r="D832">
        <v>202307</v>
      </c>
      <c r="E832" s="12" t="s">
        <v>33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T832" t="str">
        <f t="shared" si="46"/>
        <v>040110202307</v>
      </c>
      <c r="U832">
        <f t="shared" si="47"/>
        <v>0</v>
      </c>
    </row>
    <row r="833" spans="1:21" x14ac:dyDescent="0.35">
      <c r="A833">
        <v>2023</v>
      </c>
      <c r="B833" s="7" t="s">
        <v>96</v>
      </c>
      <c r="C833" s="6" t="s">
        <v>105</v>
      </c>
      <c r="D833">
        <v>202307</v>
      </c>
      <c r="E833" s="12" t="s">
        <v>34</v>
      </c>
      <c r="F833">
        <v>0.88549734000000002</v>
      </c>
      <c r="G833">
        <v>0.87654667000000008</v>
      </c>
      <c r="H833">
        <v>1.9718499999999998E-3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T833" t="str">
        <f t="shared" si="46"/>
        <v>040112202307</v>
      </c>
      <c r="U833">
        <f t="shared" si="47"/>
        <v>0.88549734000000002</v>
      </c>
    </row>
    <row r="834" spans="1:21" x14ac:dyDescent="0.35">
      <c r="A834">
        <v>2023</v>
      </c>
      <c r="B834" s="7" t="s">
        <v>96</v>
      </c>
      <c r="C834" s="6" t="s">
        <v>105</v>
      </c>
      <c r="D834">
        <v>202307</v>
      </c>
      <c r="E834" s="12" t="s">
        <v>35</v>
      </c>
      <c r="F834">
        <v>25.015029999999999</v>
      </c>
      <c r="G834">
        <v>25.015029999999999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T834" t="str">
        <f t="shared" si="46"/>
        <v>040113202307</v>
      </c>
      <c r="U834">
        <f t="shared" si="47"/>
        <v>25.015029999999999</v>
      </c>
    </row>
    <row r="835" spans="1:21" x14ac:dyDescent="0.35">
      <c r="A835">
        <v>2023</v>
      </c>
      <c r="B835" s="7" t="s">
        <v>96</v>
      </c>
      <c r="C835" s="6" t="s">
        <v>105</v>
      </c>
      <c r="D835">
        <v>202307</v>
      </c>
      <c r="E835" s="12" t="s">
        <v>36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T835" t="str">
        <f t="shared" si="46"/>
        <v>040126202307</v>
      </c>
      <c r="U835">
        <f t="shared" si="47"/>
        <v>0</v>
      </c>
    </row>
    <row r="836" spans="1:21" x14ac:dyDescent="0.35">
      <c r="A836">
        <v>2023</v>
      </c>
      <c r="B836" s="7" t="s">
        <v>96</v>
      </c>
      <c r="C836" s="6" t="s">
        <v>105</v>
      </c>
      <c r="D836">
        <v>202307</v>
      </c>
      <c r="E836" s="12" t="s">
        <v>37</v>
      </c>
      <c r="F836">
        <v>0</v>
      </c>
      <c r="G836">
        <v>0</v>
      </c>
      <c r="H836">
        <v>0</v>
      </c>
      <c r="I836">
        <v>1022.12082361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T836" t="str">
        <f t="shared" si="46"/>
        <v>040127202307</v>
      </c>
      <c r="U836">
        <f t="shared" si="47"/>
        <v>1022.12082361</v>
      </c>
    </row>
    <row r="837" spans="1:21" x14ac:dyDescent="0.35">
      <c r="A837">
        <v>2023</v>
      </c>
      <c r="B837" s="7" t="s">
        <v>96</v>
      </c>
      <c r="C837" s="6" t="s">
        <v>105</v>
      </c>
      <c r="D837">
        <v>202307</v>
      </c>
      <c r="E837" s="12" t="s">
        <v>38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T837" t="str">
        <f t="shared" si="46"/>
        <v>040128202307</v>
      </c>
      <c r="U837">
        <f t="shared" si="47"/>
        <v>0</v>
      </c>
    </row>
    <row r="838" spans="1:21" x14ac:dyDescent="0.35">
      <c r="A838">
        <v>2023</v>
      </c>
      <c r="B838" s="7" t="s">
        <v>96</v>
      </c>
      <c r="C838" s="6" t="s">
        <v>105</v>
      </c>
      <c r="D838">
        <v>202307</v>
      </c>
      <c r="E838" s="12" t="s">
        <v>39</v>
      </c>
      <c r="F838">
        <v>0</v>
      </c>
      <c r="G838">
        <v>0</v>
      </c>
      <c r="H838">
        <v>0</v>
      </c>
      <c r="I838">
        <v>218.73058599999999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5.0476939999999999</v>
      </c>
      <c r="Q838">
        <v>0</v>
      </c>
      <c r="R838">
        <v>0</v>
      </c>
      <c r="T838" t="str">
        <f t="shared" si="46"/>
        <v>040130202307</v>
      </c>
      <c r="U838">
        <f t="shared" si="47"/>
        <v>218.73058599999999</v>
      </c>
    </row>
    <row r="839" spans="1:21" x14ac:dyDescent="0.35">
      <c r="A839">
        <v>2023</v>
      </c>
      <c r="B839" s="7" t="s">
        <v>96</v>
      </c>
      <c r="C839" s="6" t="s">
        <v>105</v>
      </c>
      <c r="D839">
        <v>202307</v>
      </c>
      <c r="E839" s="12" t="s">
        <v>40</v>
      </c>
      <c r="F839">
        <v>2.0912679999999999</v>
      </c>
      <c r="G839">
        <v>2.0912679999999999</v>
      </c>
      <c r="H839">
        <v>0</v>
      </c>
      <c r="I839">
        <v>0.41208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T839" t="str">
        <f t="shared" si="46"/>
        <v>040132202307</v>
      </c>
      <c r="U839">
        <f t="shared" si="47"/>
        <v>2.5033479999999999</v>
      </c>
    </row>
    <row r="840" spans="1:21" x14ac:dyDescent="0.35">
      <c r="A840">
        <v>2023</v>
      </c>
      <c r="B840" s="7" t="s">
        <v>96</v>
      </c>
      <c r="C840" s="6" t="s">
        <v>105</v>
      </c>
      <c r="D840">
        <v>202307</v>
      </c>
      <c r="E840" s="12" t="s">
        <v>41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T840" t="str">
        <f t="shared" si="46"/>
        <v>040133202307</v>
      </c>
      <c r="U840">
        <f t="shared" si="47"/>
        <v>0</v>
      </c>
    </row>
    <row r="841" spans="1:21" x14ac:dyDescent="0.35">
      <c r="A841">
        <v>2023</v>
      </c>
      <c r="B841" s="7" t="s">
        <v>96</v>
      </c>
      <c r="C841" s="6" t="s">
        <v>105</v>
      </c>
      <c r="D841">
        <v>202307</v>
      </c>
      <c r="E841" s="12" t="s">
        <v>42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T841" t="str">
        <f t="shared" si="46"/>
        <v>040136202307</v>
      </c>
      <c r="U841">
        <f t="shared" si="47"/>
        <v>0</v>
      </c>
    </row>
    <row r="842" spans="1:21" x14ac:dyDescent="0.35">
      <c r="A842">
        <v>2023</v>
      </c>
      <c r="B842" s="7" t="s">
        <v>96</v>
      </c>
      <c r="C842" s="6" t="s">
        <v>105</v>
      </c>
      <c r="D842">
        <v>202307</v>
      </c>
      <c r="E842" s="12" t="s">
        <v>43</v>
      </c>
      <c r="F842">
        <v>0</v>
      </c>
      <c r="G842">
        <v>0</v>
      </c>
      <c r="H842">
        <v>0</v>
      </c>
      <c r="I842">
        <v>8.4191321199999987</v>
      </c>
      <c r="J842">
        <v>1.8336612299999999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T842" t="str">
        <f t="shared" si="46"/>
        <v>040137202307</v>
      </c>
      <c r="U842">
        <f t="shared" si="47"/>
        <v>10.252793349999999</v>
      </c>
    </row>
    <row r="843" spans="1:21" x14ac:dyDescent="0.35">
      <c r="A843">
        <v>2023</v>
      </c>
      <c r="B843" s="7" t="s">
        <v>96</v>
      </c>
      <c r="C843" s="6" t="s">
        <v>105</v>
      </c>
      <c r="D843">
        <v>202307</v>
      </c>
      <c r="E843" s="12" t="s">
        <v>44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T843" t="str">
        <f t="shared" si="46"/>
        <v>040138202307</v>
      </c>
      <c r="U843">
        <f t="shared" si="47"/>
        <v>0</v>
      </c>
    </row>
    <row r="844" spans="1:21" x14ac:dyDescent="0.35">
      <c r="A844">
        <v>2023</v>
      </c>
      <c r="B844" s="7" t="s">
        <v>96</v>
      </c>
      <c r="C844" s="6" t="s">
        <v>105</v>
      </c>
      <c r="D844">
        <v>202307</v>
      </c>
      <c r="E844" s="12" t="s">
        <v>45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T844" t="str">
        <f t="shared" si="46"/>
        <v>040139202307</v>
      </c>
      <c r="U844">
        <f t="shared" si="47"/>
        <v>0</v>
      </c>
    </row>
    <row r="845" spans="1:21" x14ac:dyDescent="0.35">
      <c r="A845">
        <v>2023</v>
      </c>
      <c r="B845" s="7" t="s">
        <v>96</v>
      </c>
      <c r="C845" s="6" t="s">
        <v>105</v>
      </c>
      <c r="D845">
        <v>202307</v>
      </c>
      <c r="E845" s="12" t="s">
        <v>46</v>
      </c>
      <c r="F845">
        <v>0</v>
      </c>
      <c r="G845">
        <v>0</v>
      </c>
      <c r="H845">
        <v>0</v>
      </c>
      <c r="I845">
        <v>32.978158999999998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T845" t="str">
        <f t="shared" si="46"/>
        <v>040140202307</v>
      </c>
      <c r="U845">
        <f t="shared" si="47"/>
        <v>32.978158999999998</v>
      </c>
    </row>
    <row r="846" spans="1:21" x14ac:dyDescent="0.35">
      <c r="A846">
        <v>2023</v>
      </c>
      <c r="B846" s="7" t="s">
        <v>96</v>
      </c>
      <c r="C846" s="6" t="s">
        <v>105</v>
      </c>
      <c r="D846">
        <v>202307</v>
      </c>
      <c r="E846" s="12" t="s">
        <v>47</v>
      </c>
      <c r="F846">
        <v>0</v>
      </c>
      <c r="G846">
        <v>0</v>
      </c>
      <c r="H846">
        <v>0</v>
      </c>
      <c r="I846">
        <v>5.3679999999999999E-2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T846" t="str">
        <f t="shared" si="46"/>
        <v>040141202307</v>
      </c>
      <c r="U846">
        <f t="shared" si="47"/>
        <v>5.3679999999999999E-2</v>
      </c>
    </row>
    <row r="847" spans="1:21" x14ac:dyDescent="0.35">
      <c r="A847">
        <v>2023</v>
      </c>
      <c r="B847" s="7" t="s">
        <v>96</v>
      </c>
      <c r="C847" s="6" t="s">
        <v>105</v>
      </c>
      <c r="D847">
        <v>202307</v>
      </c>
      <c r="E847" s="12" t="s">
        <v>48</v>
      </c>
      <c r="F847">
        <v>21.71044479</v>
      </c>
      <c r="G847">
        <v>21.049473600000002</v>
      </c>
      <c r="H847">
        <v>0.66097118999999993</v>
      </c>
      <c r="I847">
        <v>5.2457588700000004</v>
      </c>
      <c r="J847">
        <v>2.3661749999999999E-2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5.6918456700000002</v>
      </c>
      <c r="Q847">
        <v>0.46363255999999997</v>
      </c>
      <c r="R847">
        <v>0</v>
      </c>
      <c r="T847" t="str">
        <f t="shared" si="46"/>
        <v>040143202307</v>
      </c>
      <c r="U847">
        <f t="shared" si="47"/>
        <v>26.979865409999999</v>
      </c>
    </row>
    <row r="848" spans="1:21" x14ac:dyDescent="0.35">
      <c r="A848">
        <v>2023</v>
      </c>
      <c r="B848" s="7" t="s">
        <v>96</v>
      </c>
      <c r="C848" s="6" t="s">
        <v>105</v>
      </c>
      <c r="D848">
        <v>202307</v>
      </c>
      <c r="E848" s="12" t="s">
        <v>49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T848" t="str">
        <f t="shared" si="46"/>
        <v>040145202307</v>
      </c>
      <c r="U848">
        <f t="shared" si="47"/>
        <v>0</v>
      </c>
    </row>
    <row r="849" spans="1:21" x14ac:dyDescent="0.35">
      <c r="A849">
        <v>2023</v>
      </c>
      <c r="B849" s="7" t="s">
        <v>96</v>
      </c>
      <c r="C849" s="6" t="s">
        <v>105</v>
      </c>
      <c r="D849">
        <v>202307</v>
      </c>
      <c r="E849" s="12" t="s">
        <v>50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T849" t="str">
        <f t="shared" si="46"/>
        <v>040147202307</v>
      </c>
      <c r="U849">
        <f t="shared" si="47"/>
        <v>0</v>
      </c>
    </row>
    <row r="850" spans="1:21" x14ac:dyDescent="0.35">
      <c r="A850">
        <v>2023</v>
      </c>
      <c r="B850" s="7" t="s">
        <v>96</v>
      </c>
      <c r="C850" s="6" t="s">
        <v>105</v>
      </c>
      <c r="D850">
        <v>202307</v>
      </c>
      <c r="E850" s="12" t="s">
        <v>51</v>
      </c>
      <c r="F850">
        <v>0</v>
      </c>
      <c r="G850">
        <v>0</v>
      </c>
      <c r="H850">
        <v>0</v>
      </c>
      <c r="I850">
        <v>8.5951769999999996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2.9166999999999998E-2</v>
      </c>
      <c r="Q850">
        <v>0</v>
      </c>
      <c r="R850">
        <v>0</v>
      </c>
      <c r="T850" t="str">
        <f t="shared" si="46"/>
        <v>040149202307</v>
      </c>
      <c r="U850">
        <f t="shared" si="47"/>
        <v>8.5951769999999996</v>
      </c>
    </row>
    <row r="851" spans="1:21" x14ac:dyDescent="0.35">
      <c r="A851">
        <v>2023</v>
      </c>
      <c r="B851" s="7" t="s">
        <v>96</v>
      </c>
      <c r="C851" s="6" t="s">
        <v>105</v>
      </c>
      <c r="D851">
        <v>202307</v>
      </c>
      <c r="E851" s="12" t="s">
        <v>52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T851" t="str">
        <f t="shared" si="46"/>
        <v>040150202307</v>
      </c>
      <c r="U851">
        <f t="shared" si="47"/>
        <v>0</v>
      </c>
    </row>
    <row r="852" spans="1:21" x14ac:dyDescent="0.35">
      <c r="A852">
        <v>2023</v>
      </c>
      <c r="B852" s="7" t="s">
        <v>96</v>
      </c>
      <c r="C852" s="6" t="s">
        <v>105</v>
      </c>
      <c r="D852">
        <v>202307</v>
      </c>
      <c r="E852" s="12" t="s">
        <v>53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T852" t="str">
        <f t="shared" si="46"/>
        <v>040151202307</v>
      </c>
      <c r="U852">
        <f t="shared" si="47"/>
        <v>0</v>
      </c>
    </row>
    <row r="853" spans="1:21" x14ac:dyDescent="0.35">
      <c r="A853">
        <v>2023</v>
      </c>
      <c r="B853" s="7" t="s">
        <v>96</v>
      </c>
      <c r="C853" s="6" t="s">
        <v>105</v>
      </c>
      <c r="D853">
        <v>202307</v>
      </c>
      <c r="E853" s="12" t="s">
        <v>54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T853" t="str">
        <f t="shared" si="46"/>
        <v>040152202307</v>
      </c>
      <c r="U853">
        <f t="shared" si="47"/>
        <v>0</v>
      </c>
    </row>
    <row r="854" spans="1:21" x14ac:dyDescent="0.35">
      <c r="A854">
        <v>2023</v>
      </c>
      <c r="B854" s="7" t="s">
        <v>96</v>
      </c>
      <c r="C854" s="6" t="s">
        <v>105</v>
      </c>
      <c r="D854">
        <v>202307</v>
      </c>
      <c r="E854" s="12" t="s">
        <v>55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T854" t="str">
        <f t="shared" si="46"/>
        <v>040154202307</v>
      </c>
      <c r="U854">
        <f t="shared" si="47"/>
        <v>0</v>
      </c>
    </row>
    <row r="855" spans="1:21" x14ac:dyDescent="0.35">
      <c r="A855">
        <v>2023</v>
      </c>
      <c r="B855" s="7" t="s">
        <v>96</v>
      </c>
      <c r="C855" s="6" t="s">
        <v>105</v>
      </c>
      <c r="D855">
        <v>202307</v>
      </c>
      <c r="E855" s="12" t="s">
        <v>56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T855" t="str">
        <f t="shared" si="46"/>
        <v>040155202307</v>
      </c>
      <c r="U855">
        <f t="shared" si="47"/>
        <v>0</v>
      </c>
    </row>
    <row r="856" spans="1:21" x14ac:dyDescent="0.35">
      <c r="A856">
        <v>2023</v>
      </c>
      <c r="B856" s="7" t="s">
        <v>96</v>
      </c>
      <c r="C856" s="6" t="s">
        <v>105</v>
      </c>
      <c r="D856">
        <v>202307</v>
      </c>
      <c r="E856" s="12" t="s">
        <v>57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T856" t="str">
        <f t="shared" si="46"/>
        <v>040156202307</v>
      </c>
      <c r="U856">
        <f t="shared" si="47"/>
        <v>0</v>
      </c>
    </row>
    <row r="857" spans="1:21" x14ac:dyDescent="0.35">
      <c r="A857">
        <v>2023</v>
      </c>
      <c r="B857" s="7" t="s">
        <v>96</v>
      </c>
      <c r="C857" s="6" t="s">
        <v>105</v>
      </c>
      <c r="D857">
        <v>202307</v>
      </c>
      <c r="E857" s="12" t="s">
        <v>58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T857" t="str">
        <f t="shared" si="46"/>
        <v>040157202307</v>
      </c>
      <c r="U857">
        <f t="shared" si="47"/>
        <v>0</v>
      </c>
    </row>
    <row r="858" spans="1:21" x14ac:dyDescent="0.35">
      <c r="A858">
        <v>2023</v>
      </c>
      <c r="B858" s="7" t="s">
        <v>96</v>
      </c>
      <c r="C858" s="6" t="s">
        <v>105</v>
      </c>
      <c r="D858">
        <v>202307</v>
      </c>
      <c r="E858" s="12" t="s">
        <v>59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T858" t="str">
        <f t="shared" si="46"/>
        <v>040158202307</v>
      </c>
      <c r="U858">
        <f t="shared" si="47"/>
        <v>0</v>
      </c>
    </row>
    <row r="859" spans="1:21" x14ac:dyDescent="0.35">
      <c r="A859">
        <v>2023</v>
      </c>
      <c r="B859" s="7" t="s">
        <v>96</v>
      </c>
      <c r="C859" s="6" t="s">
        <v>105</v>
      </c>
      <c r="D859">
        <v>202307</v>
      </c>
      <c r="E859" s="12" t="s">
        <v>60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T859" t="str">
        <f t="shared" si="46"/>
        <v>040159202307</v>
      </c>
      <c r="U859">
        <f t="shared" si="47"/>
        <v>0</v>
      </c>
    </row>
    <row r="860" spans="1:21" x14ac:dyDescent="0.35">
      <c r="A860">
        <v>2023</v>
      </c>
      <c r="B860" s="7" t="s">
        <v>96</v>
      </c>
      <c r="C860" s="6" t="s">
        <v>105</v>
      </c>
      <c r="D860">
        <v>202307</v>
      </c>
      <c r="E860" s="12" t="s">
        <v>63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T860" t="str">
        <f t="shared" si="46"/>
        <v>040160202307</v>
      </c>
      <c r="U860">
        <f t="shared" si="47"/>
        <v>0</v>
      </c>
    </row>
    <row r="861" spans="1:21" x14ac:dyDescent="0.35">
      <c r="A861">
        <v>2023</v>
      </c>
      <c r="B861" s="7" t="s">
        <v>96</v>
      </c>
      <c r="C861" s="6" t="s">
        <v>105</v>
      </c>
      <c r="D861">
        <v>202307</v>
      </c>
      <c r="E861" s="12" t="s">
        <v>61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T861" t="str">
        <f t="shared" si="46"/>
        <v>040162202307</v>
      </c>
      <c r="U861">
        <f t="shared" si="47"/>
        <v>0</v>
      </c>
    </row>
    <row r="862" spans="1:21" x14ac:dyDescent="0.35">
      <c r="A862">
        <v>2023</v>
      </c>
      <c r="B862" s="7" t="s">
        <v>97</v>
      </c>
      <c r="C862" s="6" t="s">
        <v>106</v>
      </c>
      <c r="D862">
        <v>202308</v>
      </c>
      <c r="E862" s="11">
        <v>5</v>
      </c>
      <c r="F862">
        <v>1509.6280390899999</v>
      </c>
      <c r="G862">
        <v>1500.2431639500001</v>
      </c>
      <c r="H862">
        <v>9.3389980299999991</v>
      </c>
      <c r="I862">
        <v>8780.5639648700017</v>
      </c>
      <c r="J862">
        <v>533.69401772000003</v>
      </c>
      <c r="K862">
        <v>119.18114199999999</v>
      </c>
      <c r="L862">
        <v>2.5453645599999999</v>
      </c>
      <c r="M862">
        <v>2.5453645599999999</v>
      </c>
      <c r="N862">
        <v>0</v>
      </c>
      <c r="O862">
        <v>0</v>
      </c>
      <c r="P862">
        <v>114.78431821</v>
      </c>
      <c r="Q862">
        <v>52.562159399999999</v>
      </c>
      <c r="R862">
        <v>0</v>
      </c>
      <c r="T862" t="str">
        <f t="shared" ref="T862:T907" si="48">+E862&amp;D862</f>
        <v>5202308</v>
      </c>
      <c r="U862">
        <f t="shared" ref="U862:U907" si="49">+F862+I862+J862</f>
        <v>10823.88602168</v>
      </c>
    </row>
    <row r="863" spans="1:21" x14ac:dyDescent="0.35">
      <c r="A863">
        <v>2023</v>
      </c>
      <c r="B863" s="7" t="s">
        <v>97</v>
      </c>
      <c r="C863" s="6" t="s">
        <v>106</v>
      </c>
      <c r="D863">
        <v>202308</v>
      </c>
      <c r="E863" s="11" t="s">
        <v>19</v>
      </c>
      <c r="F863">
        <v>32.363534999999999</v>
      </c>
      <c r="G863">
        <v>32.363534999999999</v>
      </c>
      <c r="H863">
        <v>0</v>
      </c>
      <c r="I863">
        <v>460.79092300000002</v>
      </c>
      <c r="J863">
        <v>47.812829000000001</v>
      </c>
      <c r="K863">
        <v>119.18114199999999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T863" t="str">
        <f t="shared" si="48"/>
        <v>040002202308</v>
      </c>
      <c r="U863">
        <f t="shared" si="49"/>
        <v>540.96728700000006</v>
      </c>
    </row>
    <row r="864" spans="1:21" x14ac:dyDescent="0.35">
      <c r="A864">
        <v>2023</v>
      </c>
      <c r="B864" s="7" t="s">
        <v>97</v>
      </c>
      <c r="C864" s="6" t="s">
        <v>106</v>
      </c>
      <c r="D864">
        <v>202308</v>
      </c>
      <c r="E864" s="11" t="s">
        <v>20</v>
      </c>
      <c r="F864">
        <v>142.30819009000001</v>
      </c>
      <c r="G864">
        <v>142.30043222</v>
      </c>
      <c r="H864">
        <v>7.7575299999999995E-3</v>
      </c>
      <c r="I864">
        <v>2935.0997006699999</v>
      </c>
      <c r="J864">
        <v>150.5006684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T864" t="str">
        <f t="shared" si="48"/>
        <v>040012202308</v>
      </c>
      <c r="U864">
        <f t="shared" si="49"/>
        <v>3227.9085591600001</v>
      </c>
    </row>
    <row r="865" spans="1:21" x14ac:dyDescent="0.35">
      <c r="A865">
        <v>2023</v>
      </c>
      <c r="B865" s="7" t="s">
        <v>97</v>
      </c>
      <c r="C865" s="6" t="s">
        <v>106</v>
      </c>
      <c r="D865">
        <v>202308</v>
      </c>
      <c r="E865" s="11" t="s">
        <v>21</v>
      </c>
      <c r="F865">
        <v>518.31306900000004</v>
      </c>
      <c r="G865">
        <v>518.31306900000004</v>
      </c>
      <c r="H865">
        <v>0</v>
      </c>
      <c r="I865">
        <v>1648.0635629999999</v>
      </c>
      <c r="J865">
        <v>103.583512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T865" t="str">
        <f t="shared" si="48"/>
        <v>040014202308</v>
      </c>
      <c r="U865">
        <f t="shared" si="49"/>
        <v>2269.9601440000001</v>
      </c>
    </row>
    <row r="866" spans="1:21" x14ac:dyDescent="0.35">
      <c r="A866">
        <v>2023</v>
      </c>
      <c r="B866" s="7" t="s">
        <v>97</v>
      </c>
      <c r="C866" s="6" t="s">
        <v>106</v>
      </c>
      <c r="D866">
        <v>202308</v>
      </c>
      <c r="E866" s="11" t="s">
        <v>22</v>
      </c>
      <c r="F866">
        <v>56.780574000000001</v>
      </c>
      <c r="G866">
        <v>56.780574000000001</v>
      </c>
      <c r="H866">
        <v>0</v>
      </c>
      <c r="I866">
        <v>783.60030600000005</v>
      </c>
      <c r="J866">
        <v>18.470625999999999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46.582675999999999</v>
      </c>
      <c r="Q866">
        <v>16.894138000000002</v>
      </c>
      <c r="R866">
        <v>0</v>
      </c>
      <c r="T866" t="str">
        <f t="shared" si="48"/>
        <v>040021202308</v>
      </c>
      <c r="U866">
        <f t="shared" si="49"/>
        <v>858.85150600000009</v>
      </c>
    </row>
    <row r="867" spans="1:21" x14ac:dyDescent="0.35">
      <c r="A867">
        <v>2023</v>
      </c>
      <c r="B867" s="7" t="s">
        <v>97</v>
      </c>
      <c r="C867" s="6" t="s">
        <v>106</v>
      </c>
      <c r="D867">
        <v>202308</v>
      </c>
      <c r="E867" s="11" t="s">
        <v>23</v>
      </c>
      <c r="F867">
        <v>432.31630968000002</v>
      </c>
      <c r="G867">
        <v>432.31630968000002</v>
      </c>
      <c r="H867">
        <v>0</v>
      </c>
      <c r="I867">
        <v>36.246622080000002</v>
      </c>
      <c r="J867">
        <v>15.259727529999999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0.54019107</v>
      </c>
      <c r="R867">
        <v>0</v>
      </c>
      <c r="T867" t="str">
        <f t="shared" si="48"/>
        <v>040030202308</v>
      </c>
      <c r="U867">
        <f t="shared" si="49"/>
        <v>483.82265929000005</v>
      </c>
    </row>
    <row r="868" spans="1:21" x14ac:dyDescent="0.35">
      <c r="A868">
        <v>2023</v>
      </c>
      <c r="B868" s="7" t="s">
        <v>97</v>
      </c>
      <c r="C868" s="6" t="s">
        <v>106</v>
      </c>
      <c r="D868">
        <v>202308</v>
      </c>
      <c r="E868" s="11" t="s">
        <v>24</v>
      </c>
      <c r="F868">
        <v>1.37E-4</v>
      </c>
      <c r="G868">
        <v>1.37E-4</v>
      </c>
      <c r="H868">
        <v>0</v>
      </c>
      <c r="I868">
        <v>7.3190270000000002</v>
      </c>
      <c r="J868">
        <v>6.5100000000000002E-3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T868" t="str">
        <f t="shared" si="48"/>
        <v>040036202308</v>
      </c>
      <c r="U868">
        <f t="shared" si="49"/>
        <v>7.3256739999999994</v>
      </c>
    </row>
    <row r="869" spans="1:21" x14ac:dyDescent="0.35">
      <c r="A869">
        <v>2023</v>
      </c>
      <c r="B869" s="7" t="s">
        <v>97</v>
      </c>
      <c r="C869" s="6" t="s">
        <v>106</v>
      </c>
      <c r="D869">
        <v>202308</v>
      </c>
      <c r="E869" s="11" t="s">
        <v>25</v>
      </c>
      <c r="F869">
        <v>0</v>
      </c>
      <c r="G869">
        <v>0</v>
      </c>
      <c r="H869">
        <v>0</v>
      </c>
      <c r="I869">
        <v>1.62835</v>
      </c>
      <c r="J869">
        <v>0.62166999999999994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T869" t="str">
        <f t="shared" si="48"/>
        <v>040042202308</v>
      </c>
      <c r="U869">
        <f t="shared" si="49"/>
        <v>2.2500200000000001</v>
      </c>
    </row>
    <row r="870" spans="1:21" x14ac:dyDescent="0.35">
      <c r="A870">
        <v>2023</v>
      </c>
      <c r="B870" s="7" t="s">
        <v>97</v>
      </c>
      <c r="C870" s="6" t="s">
        <v>106</v>
      </c>
      <c r="D870">
        <v>202308</v>
      </c>
      <c r="E870" s="11" t="s">
        <v>26</v>
      </c>
      <c r="F870">
        <v>3.5451800000000002</v>
      </c>
      <c r="G870">
        <v>3.5451800000000002</v>
      </c>
      <c r="H870">
        <v>0</v>
      </c>
      <c r="I870">
        <v>179.65678199999999</v>
      </c>
      <c r="J870">
        <v>29.99905</v>
      </c>
      <c r="K870">
        <v>0</v>
      </c>
      <c r="L870">
        <v>2.5107940000000002</v>
      </c>
      <c r="M870">
        <v>2.5107940000000002</v>
      </c>
      <c r="N870">
        <v>0</v>
      </c>
      <c r="O870">
        <v>0</v>
      </c>
      <c r="P870">
        <v>17.916820999999999</v>
      </c>
      <c r="Q870">
        <v>29.452134999999998</v>
      </c>
      <c r="R870">
        <v>0</v>
      </c>
      <c r="T870" t="str">
        <f t="shared" si="48"/>
        <v>040044202308</v>
      </c>
      <c r="U870">
        <f t="shared" si="49"/>
        <v>213.20101199999999</v>
      </c>
    </row>
    <row r="871" spans="1:21" x14ac:dyDescent="0.35">
      <c r="A871">
        <v>2023</v>
      </c>
      <c r="B871" s="7" t="s">
        <v>97</v>
      </c>
      <c r="C871" s="6" t="s">
        <v>106</v>
      </c>
      <c r="D871">
        <v>202308</v>
      </c>
      <c r="E871" s="11" t="s">
        <v>27</v>
      </c>
      <c r="F871">
        <v>21.309319940000002</v>
      </c>
      <c r="G871">
        <v>21.309319940000002</v>
      </c>
      <c r="H871">
        <v>0</v>
      </c>
      <c r="I871">
        <v>53.161161030000002</v>
      </c>
      <c r="J871">
        <v>2.91117136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T871" t="str">
        <f t="shared" si="48"/>
        <v>040058202308</v>
      </c>
      <c r="U871">
        <f t="shared" si="49"/>
        <v>77.381652330000009</v>
      </c>
    </row>
    <row r="872" spans="1:21" x14ac:dyDescent="0.35">
      <c r="A872">
        <v>2023</v>
      </c>
      <c r="B872" s="7" t="s">
        <v>97</v>
      </c>
      <c r="C872" s="6" t="s">
        <v>106</v>
      </c>
      <c r="D872">
        <v>202308</v>
      </c>
      <c r="E872" s="11" t="s">
        <v>28</v>
      </c>
      <c r="F872">
        <v>0</v>
      </c>
      <c r="G872">
        <v>0</v>
      </c>
      <c r="H872">
        <v>0</v>
      </c>
      <c r="I872">
        <v>75.264048000000003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T872" t="str">
        <f t="shared" si="48"/>
        <v>040059202308</v>
      </c>
      <c r="U872">
        <f t="shared" si="49"/>
        <v>75.264048000000003</v>
      </c>
    </row>
    <row r="873" spans="1:21" x14ac:dyDescent="0.35">
      <c r="A873">
        <v>2023</v>
      </c>
      <c r="B873" s="7" t="s">
        <v>97</v>
      </c>
      <c r="C873" s="6" t="s">
        <v>106</v>
      </c>
      <c r="D873">
        <v>202308</v>
      </c>
      <c r="E873" s="11" t="s">
        <v>62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T873" t="str">
        <f t="shared" si="48"/>
        <v>040060202308</v>
      </c>
      <c r="U873">
        <f t="shared" si="49"/>
        <v>0</v>
      </c>
    </row>
    <row r="874" spans="1:21" x14ac:dyDescent="0.35">
      <c r="A874">
        <v>2023</v>
      </c>
      <c r="B874" s="7" t="s">
        <v>97</v>
      </c>
      <c r="C874" s="6" t="s">
        <v>106</v>
      </c>
      <c r="D874">
        <v>202308</v>
      </c>
      <c r="E874" s="11" t="s">
        <v>29</v>
      </c>
      <c r="F874">
        <v>0.47906300000000002</v>
      </c>
      <c r="G874">
        <v>0.47906300000000002</v>
      </c>
      <c r="H874">
        <v>0</v>
      </c>
      <c r="I874">
        <v>72.344652999999994</v>
      </c>
      <c r="J874">
        <v>1.4945E-2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T874" t="str">
        <f t="shared" si="48"/>
        <v>040062202308</v>
      </c>
      <c r="U874">
        <f t="shared" si="49"/>
        <v>72.838660999999988</v>
      </c>
    </row>
    <row r="875" spans="1:21" x14ac:dyDescent="0.35">
      <c r="A875">
        <v>2023</v>
      </c>
      <c r="B875" s="7" t="s">
        <v>97</v>
      </c>
      <c r="C875" s="6" t="s">
        <v>106</v>
      </c>
      <c r="D875">
        <v>202308</v>
      </c>
      <c r="E875" s="11" t="s">
        <v>30</v>
      </c>
      <c r="F875">
        <v>70.429715029999997</v>
      </c>
      <c r="G875">
        <v>70.429715029999997</v>
      </c>
      <c r="H875">
        <v>0</v>
      </c>
      <c r="I875">
        <v>1342.5666030299999</v>
      </c>
      <c r="J875">
        <v>164.24415043000002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T875" t="str">
        <f t="shared" si="48"/>
        <v>040072202308</v>
      </c>
      <c r="U875">
        <f t="shared" si="49"/>
        <v>1577.2404684899998</v>
      </c>
    </row>
    <row r="876" spans="1:21" x14ac:dyDescent="0.35">
      <c r="A876">
        <v>2023</v>
      </c>
      <c r="B876" s="7" t="s">
        <v>97</v>
      </c>
      <c r="C876" s="6" t="s">
        <v>106</v>
      </c>
      <c r="D876">
        <v>202308</v>
      </c>
      <c r="E876" s="11" t="s">
        <v>31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T876" t="str">
        <f t="shared" si="48"/>
        <v>040106202308</v>
      </c>
      <c r="U876">
        <f t="shared" si="49"/>
        <v>0</v>
      </c>
    </row>
    <row r="877" spans="1:21" x14ac:dyDescent="0.35">
      <c r="A877">
        <v>2023</v>
      </c>
      <c r="B877" s="7" t="s">
        <v>97</v>
      </c>
      <c r="C877" s="6" t="s">
        <v>106</v>
      </c>
      <c r="D877">
        <v>202308</v>
      </c>
      <c r="E877" s="11" t="s">
        <v>32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T877" t="str">
        <f t="shared" si="48"/>
        <v>040108202308</v>
      </c>
      <c r="U877">
        <f t="shared" si="49"/>
        <v>0</v>
      </c>
    </row>
    <row r="878" spans="1:21" x14ac:dyDescent="0.35">
      <c r="A878">
        <v>2023</v>
      </c>
      <c r="B878" s="7" t="s">
        <v>97</v>
      </c>
      <c r="C878" s="6" t="s">
        <v>106</v>
      </c>
      <c r="D878">
        <v>202308</v>
      </c>
      <c r="E878" s="11" t="s">
        <v>33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T878" t="str">
        <f t="shared" si="48"/>
        <v>040110202308</v>
      </c>
      <c r="U878">
        <f t="shared" si="49"/>
        <v>0</v>
      </c>
    </row>
    <row r="879" spans="1:21" x14ac:dyDescent="0.35">
      <c r="A879">
        <v>2023</v>
      </c>
      <c r="B879" s="7" t="s">
        <v>97</v>
      </c>
      <c r="C879" s="6" t="s">
        <v>106</v>
      </c>
      <c r="D879">
        <v>202308</v>
      </c>
      <c r="E879" s="11" t="s">
        <v>34</v>
      </c>
      <c r="F879">
        <v>2.1175100599999999</v>
      </c>
      <c r="G879">
        <v>2.0716332899999998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T879" t="str">
        <f t="shared" si="48"/>
        <v>040112202308</v>
      </c>
      <c r="U879">
        <f t="shared" si="49"/>
        <v>2.1175100599999999</v>
      </c>
    </row>
    <row r="880" spans="1:21" x14ac:dyDescent="0.35">
      <c r="A880">
        <v>2023</v>
      </c>
      <c r="B880" s="7" t="s">
        <v>97</v>
      </c>
      <c r="C880" s="6" t="s">
        <v>106</v>
      </c>
      <c r="D880">
        <v>202308</v>
      </c>
      <c r="E880" s="11" t="s">
        <v>35</v>
      </c>
      <c r="F880">
        <v>24.991147000000002</v>
      </c>
      <c r="G880">
        <v>24.991147000000002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T880" t="str">
        <f t="shared" si="48"/>
        <v>040113202308</v>
      </c>
      <c r="U880">
        <f t="shared" si="49"/>
        <v>24.991147000000002</v>
      </c>
    </row>
    <row r="881" spans="1:21" x14ac:dyDescent="0.35">
      <c r="A881">
        <v>2023</v>
      </c>
      <c r="B881" s="7" t="s">
        <v>97</v>
      </c>
      <c r="C881" s="6" t="s">
        <v>106</v>
      </c>
      <c r="D881">
        <v>202308</v>
      </c>
      <c r="E881" s="11" t="s">
        <v>36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T881" t="str">
        <f t="shared" si="48"/>
        <v>040126202308</v>
      </c>
      <c r="U881">
        <f t="shared" si="49"/>
        <v>0</v>
      </c>
    </row>
    <row r="882" spans="1:21" x14ac:dyDescent="0.35">
      <c r="A882">
        <v>2023</v>
      </c>
      <c r="B882" s="7" t="s">
        <v>97</v>
      </c>
      <c r="C882" s="6" t="s">
        <v>106</v>
      </c>
      <c r="D882">
        <v>202308</v>
      </c>
      <c r="E882" s="11" t="s">
        <v>37</v>
      </c>
      <c r="F882">
        <v>0</v>
      </c>
      <c r="G882">
        <v>0</v>
      </c>
      <c r="H882">
        <v>0</v>
      </c>
      <c r="I882">
        <v>882.37173045000009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T882" t="str">
        <f t="shared" si="48"/>
        <v>040127202308</v>
      </c>
      <c r="U882">
        <f t="shared" si="49"/>
        <v>882.37173045000009</v>
      </c>
    </row>
    <row r="883" spans="1:21" x14ac:dyDescent="0.35">
      <c r="A883">
        <v>2023</v>
      </c>
      <c r="B883" s="7" t="s">
        <v>97</v>
      </c>
      <c r="C883" s="6" t="s">
        <v>106</v>
      </c>
      <c r="D883">
        <v>202308</v>
      </c>
      <c r="E883" s="11" t="s">
        <v>38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T883" t="str">
        <f t="shared" si="48"/>
        <v>040128202308</v>
      </c>
      <c r="U883">
        <f t="shared" si="49"/>
        <v>0</v>
      </c>
    </row>
    <row r="884" spans="1:21" x14ac:dyDescent="0.35">
      <c r="A884">
        <v>2023</v>
      </c>
      <c r="B884" s="7" t="s">
        <v>97</v>
      </c>
      <c r="C884" s="6" t="s">
        <v>106</v>
      </c>
      <c r="D884">
        <v>202308</v>
      </c>
      <c r="E884" s="11" t="s">
        <v>39</v>
      </c>
      <c r="F884">
        <v>0</v>
      </c>
      <c r="G884">
        <v>0</v>
      </c>
      <c r="H884">
        <v>0</v>
      </c>
      <c r="I884">
        <v>231.47570999999999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6.1959590000000002</v>
      </c>
      <c r="Q884">
        <v>0</v>
      </c>
      <c r="R884">
        <v>0</v>
      </c>
      <c r="T884" t="str">
        <f t="shared" si="48"/>
        <v>040130202308</v>
      </c>
      <c r="U884">
        <f t="shared" si="49"/>
        <v>231.47570999999999</v>
      </c>
    </row>
    <row r="885" spans="1:21" x14ac:dyDescent="0.35">
      <c r="A885">
        <v>2023</v>
      </c>
      <c r="B885" s="7" t="s">
        <v>97</v>
      </c>
      <c r="C885" s="6" t="s">
        <v>106</v>
      </c>
      <c r="D885">
        <v>202308</v>
      </c>
      <c r="E885" s="11" t="s">
        <v>40</v>
      </c>
      <c r="F885">
        <v>8.2164889999999993</v>
      </c>
      <c r="G885">
        <v>0</v>
      </c>
      <c r="H885">
        <v>8.2164889999999993</v>
      </c>
      <c r="I885">
        <v>0.41004200000000002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T885" t="str">
        <f t="shared" si="48"/>
        <v>040132202308</v>
      </c>
      <c r="U885">
        <f t="shared" si="49"/>
        <v>8.6265309999999999</v>
      </c>
    </row>
    <row r="886" spans="1:21" x14ac:dyDescent="0.35">
      <c r="A886">
        <v>2023</v>
      </c>
      <c r="B886" s="7" t="s">
        <v>97</v>
      </c>
      <c r="C886" s="6" t="s">
        <v>106</v>
      </c>
      <c r="D886">
        <v>202308</v>
      </c>
      <c r="E886" s="11" t="s">
        <v>41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T886" t="str">
        <f t="shared" si="48"/>
        <v>040133202308</v>
      </c>
      <c r="U886">
        <f t="shared" si="49"/>
        <v>0</v>
      </c>
    </row>
    <row r="887" spans="1:21" x14ac:dyDescent="0.35">
      <c r="A887">
        <v>2023</v>
      </c>
      <c r="B887" s="7" t="s">
        <v>97</v>
      </c>
      <c r="C887" s="6" t="s">
        <v>106</v>
      </c>
      <c r="D887">
        <v>202308</v>
      </c>
      <c r="E887" s="11" t="s">
        <v>42</v>
      </c>
      <c r="F887">
        <v>193.740936</v>
      </c>
      <c r="G887">
        <v>193.740936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T887" t="str">
        <f t="shared" si="48"/>
        <v>040136202308</v>
      </c>
      <c r="U887">
        <f t="shared" si="49"/>
        <v>193.740936</v>
      </c>
    </row>
    <row r="888" spans="1:21" x14ac:dyDescent="0.35">
      <c r="A888">
        <v>2023</v>
      </c>
      <c r="B888" s="7" t="s">
        <v>97</v>
      </c>
      <c r="C888" s="6" t="s">
        <v>106</v>
      </c>
      <c r="D888">
        <v>202308</v>
      </c>
      <c r="E888" s="11" t="s">
        <v>43</v>
      </c>
      <c r="F888">
        <v>0</v>
      </c>
      <c r="G888">
        <v>0</v>
      </c>
      <c r="H888">
        <v>0</v>
      </c>
      <c r="I888">
        <v>6.1739248499999997</v>
      </c>
      <c r="J888">
        <v>0.1039977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T888" t="str">
        <f t="shared" si="48"/>
        <v>040137202308</v>
      </c>
      <c r="U888">
        <f t="shared" si="49"/>
        <v>6.2779225499999995</v>
      </c>
    </row>
    <row r="889" spans="1:21" x14ac:dyDescent="0.35">
      <c r="A889">
        <v>2023</v>
      </c>
      <c r="B889" s="7" t="s">
        <v>97</v>
      </c>
      <c r="C889" s="6" t="s">
        <v>106</v>
      </c>
      <c r="D889">
        <v>202308</v>
      </c>
      <c r="E889" s="11" t="s">
        <v>44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T889" t="str">
        <f t="shared" si="48"/>
        <v>040138202308</v>
      </c>
      <c r="U889">
        <f t="shared" si="49"/>
        <v>0</v>
      </c>
    </row>
    <row r="890" spans="1:21" x14ac:dyDescent="0.35">
      <c r="A890">
        <v>2023</v>
      </c>
      <c r="B890" s="7" t="s">
        <v>97</v>
      </c>
      <c r="C890" s="6" t="s">
        <v>106</v>
      </c>
      <c r="D890">
        <v>202308</v>
      </c>
      <c r="E890" s="11" t="s">
        <v>45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T890" t="str">
        <f t="shared" si="48"/>
        <v>040139202308</v>
      </c>
      <c r="U890">
        <f t="shared" si="49"/>
        <v>0</v>
      </c>
    </row>
    <row r="891" spans="1:21" x14ac:dyDescent="0.35">
      <c r="A891">
        <v>2023</v>
      </c>
      <c r="B891" s="7" t="s">
        <v>97</v>
      </c>
      <c r="C891" s="6" t="s">
        <v>106</v>
      </c>
      <c r="D891">
        <v>202308</v>
      </c>
      <c r="E891" s="11" t="s">
        <v>46</v>
      </c>
      <c r="F891">
        <v>0</v>
      </c>
      <c r="G891">
        <v>0</v>
      </c>
      <c r="H891">
        <v>0</v>
      </c>
      <c r="I891">
        <v>47.240107000000002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T891" t="str">
        <f t="shared" si="48"/>
        <v>040140202308</v>
      </c>
      <c r="U891">
        <f t="shared" si="49"/>
        <v>47.240107000000002</v>
      </c>
    </row>
    <row r="892" spans="1:21" x14ac:dyDescent="0.35">
      <c r="A892">
        <v>2023</v>
      </c>
      <c r="B892" s="7" t="s">
        <v>97</v>
      </c>
      <c r="C892" s="6" t="s">
        <v>106</v>
      </c>
      <c r="D892">
        <v>202308</v>
      </c>
      <c r="E892" s="11" t="s">
        <v>47</v>
      </c>
      <c r="F892">
        <v>0</v>
      </c>
      <c r="G892">
        <v>0</v>
      </c>
      <c r="H892">
        <v>0</v>
      </c>
      <c r="I892">
        <v>4.5791909999999998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T892" t="str">
        <f t="shared" si="48"/>
        <v>040141202308</v>
      </c>
      <c r="U892">
        <f t="shared" si="49"/>
        <v>4.5791909999999998</v>
      </c>
    </row>
    <row r="893" spans="1:21" x14ac:dyDescent="0.35">
      <c r="A893">
        <v>2023</v>
      </c>
      <c r="B893" s="7" t="s">
        <v>97</v>
      </c>
      <c r="C893" s="6" t="s">
        <v>106</v>
      </c>
      <c r="D893">
        <v>202308</v>
      </c>
      <c r="E893" s="11" t="s">
        <v>48</v>
      </c>
      <c r="F893">
        <v>2.7168642900000002</v>
      </c>
      <c r="G893">
        <v>1.6021127900000001</v>
      </c>
      <c r="H893">
        <v>1.1147514999999999</v>
      </c>
      <c r="I893">
        <v>4.2339587600000002</v>
      </c>
      <c r="J893">
        <v>0.16516029999999998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44.049265210000002</v>
      </c>
      <c r="Q893">
        <v>5.6756953299999999</v>
      </c>
      <c r="R893">
        <v>0</v>
      </c>
      <c r="T893" t="str">
        <f t="shared" si="48"/>
        <v>040143202308</v>
      </c>
      <c r="U893">
        <f t="shared" si="49"/>
        <v>7.1159833500000005</v>
      </c>
    </row>
    <row r="894" spans="1:21" x14ac:dyDescent="0.35">
      <c r="A894">
        <v>2023</v>
      </c>
      <c r="B894" s="7" t="s">
        <v>97</v>
      </c>
      <c r="C894" s="6" t="s">
        <v>106</v>
      </c>
      <c r="D894">
        <v>202308</v>
      </c>
      <c r="E894" s="11" t="s">
        <v>49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T894" t="str">
        <f t="shared" si="48"/>
        <v>040145202308</v>
      </c>
      <c r="U894">
        <f t="shared" si="49"/>
        <v>0</v>
      </c>
    </row>
    <row r="895" spans="1:21" x14ac:dyDescent="0.35">
      <c r="A895">
        <v>2023</v>
      </c>
      <c r="B895" s="7" t="s">
        <v>97</v>
      </c>
      <c r="C895" s="6" t="s">
        <v>106</v>
      </c>
      <c r="D895">
        <v>202308</v>
      </c>
      <c r="E895" s="11" t="s">
        <v>50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T895" t="str">
        <f t="shared" si="48"/>
        <v>040147202308</v>
      </c>
      <c r="U895">
        <f t="shared" si="49"/>
        <v>0</v>
      </c>
    </row>
    <row r="896" spans="1:21" x14ac:dyDescent="0.35">
      <c r="A896">
        <v>2023</v>
      </c>
      <c r="B896" s="7" t="s">
        <v>97</v>
      </c>
      <c r="C896" s="6" t="s">
        <v>106</v>
      </c>
      <c r="D896">
        <v>202308</v>
      </c>
      <c r="E896" s="11" t="s">
        <v>51</v>
      </c>
      <c r="F896">
        <v>0</v>
      </c>
      <c r="G896">
        <v>0</v>
      </c>
      <c r="H896">
        <v>0</v>
      </c>
      <c r="I896">
        <v>8.3375620000000001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3.9597E-2</v>
      </c>
      <c r="Q896">
        <v>0</v>
      </c>
      <c r="R896">
        <v>0</v>
      </c>
      <c r="T896" t="str">
        <f t="shared" si="48"/>
        <v>040149202308</v>
      </c>
      <c r="U896">
        <f t="shared" si="49"/>
        <v>8.3375620000000001</v>
      </c>
    </row>
    <row r="897" spans="1:21" x14ac:dyDescent="0.35">
      <c r="A897">
        <v>2023</v>
      </c>
      <c r="B897" s="7" t="s">
        <v>97</v>
      </c>
      <c r="C897" s="6" t="s">
        <v>106</v>
      </c>
      <c r="D897">
        <v>202308</v>
      </c>
      <c r="E897" s="11" t="s">
        <v>52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T897" t="str">
        <f t="shared" si="48"/>
        <v>040150202308</v>
      </c>
      <c r="U897">
        <f t="shared" si="49"/>
        <v>0</v>
      </c>
    </row>
    <row r="898" spans="1:21" x14ac:dyDescent="0.35">
      <c r="A898">
        <v>2023</v>
      </c>
      <c r="B898" s="7" t="s">
        <v>97</v>
      </c>
      <c r="C898" s="6" t="s">
        <v>106</v>
      </c>
      <c r="D898">
        <v>202308</v>
      </c>
      <c r="E898" s="11" t="s">
        <v>53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T898" t="str">
        <f t="shared" si="48"/>
        <v>040151202308</v>
      </c>
      <c r="U898">
        <f t="shared" si="49"/>
        <v>0</v>
      </c>
    </row>
    <row r="899" spans="1:21" x14ac:dyDescent="0.35">
      <c r="A899">
        <v>2023</v>
      </c>
      <c r="B899" s="7" t="s">
        <v>97</v>
      </c>
      <c r="C899" s="6" t="s">
        <v>106</v>
      </c>
      <c r="D899">
        <v>202308</v>
      </c>
      <c r="E899" s="11" t="s">
        <v>54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T899" t="str">
        <f t="shared" si="48"/>
        <v>040152202308</v>
      </c>
      <c r="U899">
        <f t="shared" si="49"/>
        <v>0</v>
      </c>
    </row>
    <row r="900" spans="1:21" x14ac:dyDescent="0.35">
      <c r="A900">
        <v>2023</v>
      </c>
      <c r="B900" s="7" t="s">
        <v>97</v>
      </c>
      <c r="C900" s="6" t="s">
        <v>106</v>
      </c>
      <c r="D900">
        <v>202308</v>
      </c>
      <c r="E900" s="11" t="s">
        <v>55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3.457056E-2</v>
      </c>
      <c r="M900">
        <v>3.457056E-2</v>
      </c>
      <c r="N900">
        <v>0</v>
      </c>
      <c r="O900">
        <v>0</v>
      </c>
      <c r="P900">
        <v>0</v>
      </c>
      <c r="Q900">
        <v>0</v>
      </c>
      <c r="R900">
        <v>0</v>
      </c>
      <c r="T900" t="str">
        <f t="shared" si="48"/>
        <v>040154202308</v>
      </c>
      <c r="U900">
        <f t="shared" si="49"/>
        <v>0</v>
      </c>
    </row>
    <row r="901" spans="1:21" x14ac:dyDescent="0.35">
      <c r="A901">
        <v>2023</v>
      </c>
      <c r="B901" s="7" t="s">
        <v>97</v>
      </c>
      <c r="C901" s="6" t="s">
        <v>106</v>
      </c>
      <c r="D901">
        <v>202308</v>
      </c>
      <c r="E901" s="11" t="s">
        <v>56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T901" t="str">
        <f t="shared" si="48"/>
        <v>040155202308</v>
      </c>
      <c r="U901">
        <f t="shared" si="49"/>
        <v>0</v>
      </c>
    </row>
    <row r="902" spans="1:21" x14ac:dyDescent="0.35">
      <c r="A902">
        <v>2023</v>
      </c>
      <c r="B902" s="7" t="s">
        <v>97</v>
      </c>
      <c r="C902" s="6" t="s">
        <v>106</v>
      </c>
      <c r="D902">
        <v>202308</v>
      </c>
      <c r="E902" s="11" t="s">
        <v>57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T902" t="str">
        <f t="shared" si="48"/>
        <v>040156202308</v>
      </c>
      <c r="U902">
        <f t="shared" si="49"/>
        <v>0</v>
      </c>
    </row>
    <row r="903" spans="1:21" x14ac:dyDescent="0.35">
      <c r="A903">
        <v>2023</v>
      </c>
      <c r="B903" s="7" t="s">
        <v>97</v>
      </c>
      <c r="C903" s="6" t="s">
        <v>106</v>
      </c>
      <c r="D903">
        <v>202308</v>
      </c>
      <c r="E903" s="11" t="s">
        <v>58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T903" t="str">
        <f t="shared" si="48"/>
        <v>040157202308</v>
      </c>
      <c r="U903">
        <f t="shared" si="49"/>
        <v>0</v>
      </c>
    </row>
    <row r="904" spans="1:21" x14ac:dyDescent="0.35">
      <c r="A904">
        <v>2023</v>
      </c>
      <c r="B904" s="7" t="s">
        <v>97</v>
      </c>
      <c r="C904" s="6" t="s">
        <v>106</v>
      </c>
      <c r="D904">
        <v>202308</v>
      </c>
      <c r="E904" s="11" t="s">
        <v>59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T904" t="str">
        <f t="shared" si="48"/>
        <v>040158202308</v>
      </c>
      <c r="U904">
        <f t="shared" si="49"/>
        <v>0</v>
      </c>
    </row>
    <row r="905" spans="1:21" x14ac:dyDescent="0.35">
      <c r="A905">
        <v>2023</v>
      </c>
      <c r="B905" s="7" t="s">
        <v>97</v>
      </c>
      <c r="C905" s="6" t="s">
        <v>106</v>
      </c>
      <c r="D905">
        <v>202308</v>
      </c>
      <c r="E905" s="11" t="s">
        <v>60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T905" t="str">
        <f t="shared" si="48"/>
        <v>040159202308</v>
      </c>
      <c r="U905">
        <f t="shared" si="49"/>
        <v>0</v>
      </c>
    </row>
    <row r="906" spans="1:21" x14ac:dyDescent="0.35">
      <c r="A906">
        <v>2023</v>
      </c>
      <c r="B906" s="7" t="s">
        <v>97</v>
      </c>
      <c r="C906" s="6" t="s">
        <v>106</v>
      </c>
      <c r="D906">
        <v>202308</v>
      </c>
      <c r="E906" s="11" t="s">
        <v>63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T906" t="str">
        <f t="shared" si="48"/>
        <v>040160202308</v>
      </c>
      <c r="U906">
        <f t="shared" si="49"/>
        <v>0</v>
      </c>
    </row>
    <row r="907" spans="1:21" x14ac:dyDescent="0.35">
      <c r="A907">
        <v>2023</v>
      </c>
      <c r="B907" s="7" t="s">
        <v>97</v>
      </c>
      <c r="C907" s="6" t="s">
        <v>106</v>
      </c>
      <c r="D907">
        <v>202308</v>
      </c>
      <c r="E907" s="11" t="s">
        <v>61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T907" t="str">
        <f t="shared" si="48"/>
        <v>040162202308</v>
      </c>
      <c r="U907">
        <f t="shared" si="49"/>
        <v>0</v>
      </c>
    </row>
    <row r="908" spans="1:21" x14ac:dyDescent="0.35">
      <c r="A908">
        <v>2023</v>
      </c>
      <c r="B908" s="7" t="s">
        <v>98</v>
      </c>
      <c r="C908" s="6" t="s">
        <v>107</v>
      </c>
      <c r="D908">
        <v>202309</v>
      </c>
      <c r="E908" s="11">
        <v>5</v>
      </c>
      <c r="F908">
        <v>934.73251042000004</v>
      </c>
      <c r="G908">
        <v>933.51223004999997</v>
      </c>
      <c r="H908">
        <v>1.2202799900000001</v>
      </c>
      <c r="I908">
        <v>8353.7522017400006</v>
      </c>
      <c r="J908">
        <v>581.73445323999999</v>
      </c>
      <c r="K908">
        <v>32.561041359999997</v>
      </c>
      <c r="L908">
        <v>16.38075108</v>
      </c>
      <c r="M908">
        <v>0.37855359000000005</v>
      </c>
      <c r="N908">
        <v>16.00219749</v>
      </c>
      <c r="O908">
        <v>0</v>
      </c>
      <c r="P908">
        <v>78.482850209999995</v>
      </c>
      <c r="Q908">
        <v>41.532560909999994</v>
      </c>
      <c r="R908">
        <v>0</v>
      </c>
      <c r="T908" t="str">
        <f t="shared" ref="T908:T952" si="50">+E908&amp;D908</f>
        <v>5202309</v>
      </c>
      <c r="U908">
        <f t="shared" ref="U908:U952" si="51">+F908+I908+J908</f>
        <v>9870.2191654000017</v>
      </c>
    </row>
    <row r="909" spans="1:21" x14ac:dyDescent="0.35">
      <c r="A909">
        <v>2023</v>
      </c>
      <c r="B909" s="7" t="s">
        <v>98</v>
      </c>
      <c r="C909" s="6" t="s">
        <v>107</v>
      </c>
      <c r="D909">
        <v>202309</v>
      </c>
      <c r="E909" s="11" t="s">
        <v>19</v>
      </c>
      <c r="F909">
        <v>45.442383290000002</v>
      </c>
      <c r="G909">
        <v>45.442383290000002</v>
      </c>
      <c r="H909">
        <v>0</v>
      </c>
      <c r="I909">
        <v>268.17509881000001</v>
      </c>
      <c r="J909">
        <v>52.449999119999994</v>
      </c>
      <c r="K909">
        <v>32.561041359999997</v>
      </c>
      <c r="L909">
        <v>16.00219749</v>
      </c>
      <c r="M909">
        <v>0</v>
      </c>
      <c r="N909">
        <v>16.00219749</v>
      </c>
      <c r="O909">
        <v>0</v>
      </c>
      <c r="P909">
        <v>0</v>
      </c>
      <c r="Q909">
        <v>0</v>
      </c>
      <c r="R909">
        <v>0</v>
      </c>
      <c r="T909" t="str">
        <f t="shared" si="50"/>
        <v>040002202309</v>
      </c>
      <c r="U909">
        <f t="shared" si="51"/>
        <v>366.06748121999999</v>
      </c>
    </row>
    <row r="910" spans="1:21" x14ac:dyDescent="0.35">
      <c r="A910">
        <v>2023</v>
      </c>
      <c r="B910" s="7" t="s">
        <v>98</v>
      </c>
      <c r="C910" s="6" t="s">
        <v>107</v>
      </c>
      <c r="D910">
        <v>202309</v>
      </c>
      <c r="E910" s="11" t="s">
        <v>20</v>
      </c>
      <c r="F910">
        <v>133.29621112999999</v>
      </c>
      <c r="G910">
        <v>133.29621065000001</v>
      </c>
      <c r="H910">
        <v>1.0000000000000001E-7</v>
      </c>
      <c r="I910">
        <v>3136.5442998099998</v>
      </c>
      <c r="J910">
        <v>23.084158819999999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T910" t="str">
        <f t="shared" si="50"/>
        <v>040012202309</v>
      </c>
      <c r="U910">
        <f t="shared" si="51"/>
        <v>3292.9246697599997</v>
      </c>
    </row>
    <row r="911" spans="1:21" x14ac:dyDescent="0.35">
      <c r="A911">
        <v>2023</v>
      </c>
      <c r="B911" s="7" t="s">
        <v>98</v>
      </c>
      <c r="C911" s="6" t="s">
        <v>107</v>
      </c>
      <c r="D911">
        <v>202309</v>
      </c>
      <c r="E911" s="11" t="s">
        <v>21</v>
      </c>
      <c r="F911">
        <v>197.73012600000001</v>
      </c>
      <c r="G911">
        <v>197.73012600000001</v>
      </c>
      <c r="H911">
        <v>0</v>
      </c>
      <c r="I911">
        <v>1184.7776120000001</v>
      </c>
      <c r="J911">
        <v>79.574397000000005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T911" t="str">
        <f t="shared" si="50"/>
        <v>040014202309</v>
      </c>
      <c r="U911">
        <f t="shared" si="51"/>
        <v>1462.0821350000001</v>
      </c>
    </row>
    <row r="912" spans="1:21" x14ac:dyDescent="0.35">
      <c r="A912">
        <v>2023</v>
      </c>
      <c r="B912" s="7" t="s">
        <v>98</v>
      </c>
      <c r="C912" s="6" t="s">
        <v>107</v>
      </c>
      <c r="D912">
        <v>202309</v>
      </c>
      <c r="E912" s="11" t="s">
        <v>22</v>
      </c>
      <c r="F912">
        <v>99.412239999999997</v>
      </c>
      <c r="G912">
        <v>99.412137000000001</v>
      </c>
      <c r="H912">
        <v>1.03E-4</v>
      </c>
      <c r="I912">
        <v>779.41916200000003</v>
      </c>
      <c r="J912">
        <v>38.745401999999999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49.365851999999997</v>
      </c>
      <c r="Q912">
        <v>18.115738</v>
      </c>
      <c r="R912">
        <v>0</v>
      </c>
      <c r="T912" t="str">
        <f t="shared" si="50"/>
        <v>040021202309</v>
      </c>
      <c r="U912">
        <f t="shared" si="51"/>
        <v>917.57680400000004</v>
      </c>
    </row>
    <row r="913" spans="1:21" x14ac:dyDescent="0.35">
      <c r="A913">
        <v>2023</v>
      </c>
      <c r="B913" s="7" t="s">
        <v>98</v>
      </c>
      <c r="C913" s="6" t="s">
        <v>107</v>
      </c>
      <c r="D913">
        <v>202309</v>
      </c>
      <c r="E913" s="11" t="s">
        <v>23</v>
      </c>
      <c r="F913">
        <v>48.403539309999999</v>
      </c>
      <c r="G913">
        <v>48.403539309999999</v>
      </c>
      <c r="H913">
        <v>0</v>
      </c>
      <c r="I913">
        <v>35.089934169999999</v>
      </c>
      <c r="J913">
        <v>0.19456873999999999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0.34206198999999998</v>
      </c>
      <c r="R913">
        <v>0</v>
      </c>
      <c r="T913" t="str">
        <f t="shared" si="50"/>
        <v>040030202309</v>
      </c>
      <c r="U913">
        <f t="shared" si="51"/>
        <v>83.68804222</v>
      </c>
    </row>
    <row r="914" spans="1:21" x14ac:dyDescent="0.35">
      <c r="A914">
        <v>2023</v>
      </c>
      <c r="B914" s="7" t="s">
        <v>98</v>
      </c>
      <c r="C914" s="6" t="s">
        <v>107</v>
      </c>
      <c r="D914">
        <v>202309</v>
      </c>
      <c r="E914" s="11" t="s">
        <v>24</v>
      </c>
      <c r="F914">
        <v>52.944054000000001</v>
      </c>
      <c r="G914">
        <v>52.944054000000001</v>
      </c>
      <c r="H914">
        <v>0</v>
      </c>
      <c r="I914">
        <v>8.7215640000000008</v>
      </c>
      <c r="J914">
        <v>155.98183499999999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T914" t="str">
        <f t="shared" si="50"/>
        <v>040036202309</v>
      </c>
      <c r="U914">
        <f t="shared" si="51"/>
        <v>217.64745299999998</v>
      </c>
    </row>
    <row r="915" spans="1:21" x14ac:dyDescent="0.35">
      <c r="A915">
        <v>2023</v>
      </c>
      <c r="B915" s="7" t="s">
        <v>98</v>
      </c>
      <c r="C915" s="6" t="s">
        <v>107</v>
      </c>
      <c r="D915">
        <v>202309</v>
      </c>
      <c r="E915" s="11" t="s">
        <v>25</v>
      </c>
      <c r="F915">
        <v>23.702878999999999</v>
      </c>
      <c r="G915">
        <v>23.702878999999999</v>
      </c>
      <c r="H915">
        <v>0</v>
      </c>
      <c r="I915">
        <v>2.2165870000000001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T915" t="str">
        <f t="shared" si="50"/>
        <v>040042202309</v>
      </c>
      <c r="U915">
        <f t="shared" si="51"/>
        <v>25.919466</v>
      </c>
    </row>
    <row r="916" spans="1:21" x14ac:dyDescent="0.35">
      <c r="A916">
        <v>2023</v>
      </c>
      <c r="B916" s="7" t="s">
        <v>98</v>
      </c>
      <c r="C916" s="6" t="s">
        <v>107</v>
      </c>
      <c r="D916">
        <v>202309</v>
      </c>
      <c r="E916" s="11" t="s">
        <v>26</v>
      </c>
      <c r="F916">
        <v>3.361872</v>
      </c>
      <c r="G916">
        <v>3.361872</v>
      </c>
      <c r="H916">
        <v>0</v>
      </c>
      <c r="I916">
        <v>170.69227900000001</v>
      </c>
      <c r="J916">
        <v>7.9681959999999998</v>
      </c>
      <c r="K916">
        <v>0</v>
      </c>
      <c r="L916">
        <v>0.10141</v>
      </c>
      <c r="M916">
        <v>0.10141</v>
      </c>
      <c r="N916">
        <v>0</v>
      </c>
      <c r="O916">
        <v>0</v>
      </c>
      <c r="P916">
        <v>16.179231000000001</v>
      </c>
      <c r="Q916">
        <v>22.388627</v>
      </c>
      <c r="R916">
        <v>0</v>
      </c>
      <c r="T916" t="str">
        <f t="shared" si="50"/>
        <v>040044202309</v>
      </c>
      <c r="U916">
        <f t="shared" si="51"/>
        <v>182.02234700000002</v>
      </c>
    </row>
    <row r="917" spans="1:21" x14ac:dyDescent="0.35">
      <c r="A917">
        <v>2023</v>
      </c>
      <c r="B917" s="7" t="s">
        <v>98</v>
      </c>
      <c r="C917" s="6" t="s">
        <v>107</v>
      </c>
      <c r="D917">
        <v>202309</v>
      </c>
      <c r="E917" s="11" t="s">
        <v>27</v>
      </c>
      <c r="F917">
        <v>25.221989780000001</v>
      </c>
      <c r="G917">
        <v>25.221989780000001</v>
      </c>
      <c r="H917">
        <v>0</v>
      </c>
      <c r="I917">
        <v>72.139439780000004</v>
      </c>
      <c r="J917">
        <v>0.72476733999999998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T917" t="str">
        <f t="shared" si="50"/>
        <v>040058202309</v>
      </c>
      <c r="U917">
        <f t="shared" si="51"/>
        <v>98.086196900000004</v>
      </c>
    </row>
    <row r="918" spans="1:21" x14ac:dyDescent="0.35">
      <c r="A918">
        <v>2023</v>
      </c>
      <c r="B918" s="7" t="s">
        <v>98</v>
      </c>
      <c r="C918" s="6" t="s">
        <v>107</v>
      </c>
      <c r="D918">
        <v>202309</v>
      </c>
      <c r="E918" s="11" t="s">
        <v>28</v>
      </c>
      <c r="F918">
        <v>0</v>
      </c>
      <c r="G918">
        <v>0</v>
      </c>
      <c r="H918">
        <v>0</v>
      </c>
      <c r="I918">
        <v>68.311238000000003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T918" t="str">
        <f t="shared" si="50"/>
        <v>040059202309</v>
      </c>
      <c r="U918">
        <f t="shared" si="51"/>
        <v>68.311238000000003</v>
      </c>
    </row>
    <row r="919" spans="1:21" x14ac:dyDescent="0.35">
      <c r="A919">
        <v>2023</v>
      </c>
      <c r="B919" s="7" t="s">
        <v>98</v>
      </c>
      <c r="C919" s="6" t="s">
        <v>107</v>
      </c>
      <c r="D919">
        <v>202309</v>
      </c>
      <c r="E919" s="11" t="s">
        <v>62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T919" t="str">
        <f t="shared" si="50"/>
        <v>040060202309</v>
      </c>
      <c r="U919">
        <f t="shared" si="51"/>
        <v>0</v>
      </c>
    </row>
    <row r="920" spans="1:21" x14ac:dyDescent="0.35">
      <c r="A920">
        <v>2023</v>
      </c>
      <c r="B920" s="7" t="s">
        <v>98</v>
      </c>
      <c r="C920" s="6" t="s">
        <v>107</v>
      </c>
      <c r="D920">
        <v>202309</v>
      </c>
      <c r="E920" s="11" t="s">
        <v>29</v>
      </c>
      <c r="F920">
        <v>135.10688300000001</v>
      </c>
      <c r="G920">
        <v>135.10688300000001</v>
      </c>
      <c r="H920">
        <v>0</v>
      </c>
      <c r="I920">
        <v>135.68107599999999</v>
      </c>
      <c r="J920">
        <v>18.620519999999999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T920" t="str">
        <f t="shared" si="50"/>
        <v>040062202309</v>
      </c>
      <c r="U920">
        <f t="shared" si="51"/>
        <v>289.408479</v>
      </c>
    </row>
    <row r="921" spans="1:21" x14ac:dyDescent="0.35">
      <c r="A921">
        <v>2023</v>
      </c>
      <c r="B921" s="7" t="s">
        <v>98</v>
      </c>
      <c r="C921" s="6" t="s">
        <v>107</v>
      </c>
      <c r="D921">
        <v>202309</v>
      </c>
      <c r="E921" s="11" t="s">
        <v>30</v>
      </c>
      <c r="F921">
        <v>73.976180859999999</v>
      </c>
      <c r="G921">
        <v>73.976180859999999</v>
      </c>
      <c r="H921">
        <v>0</v>
      </c>
      <c r="I921">
        <v>1254.2826285000001</v>
      </c>
      <c r="J921">
        <v>203.38931334999998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T921" t="str">
        <f t="shared" si="50"/>
        <v>040072202309</v>
      </c>
      <c r="U921">
        <f t="shared" si="51"/>
        <v>1531.6481227100003</v>
      </c>
    </row>
    <row r="922" spans="1:21" x14ac:dyDescent="0.35">
      <c r="A922">
        <v>2023</v>
      </c>
      <c r="B922" s="7" t="s">
        <v>98</v>
      </c>
      <c r="C922" s="6" t="s">
        <v>107</v>
      </c>
      <c r="D922">
        <v>202309</v>
      </c>
      <c r="E922" s="11" t="s">
        <v>31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T922" t="str">
        <f t="shared" si="50"/>
        <v>040106202309</v>
      </c>
      <c r="U922">
        <f t="shared" si="51"/>
        <v>0</v>
      </c>
    </row>
    <row r="923" spans="1:21" x14ac:dyDescent="0.35">
      <c r="A923">
        <v>2023</v>
      </c>
      <c r="B923" s="7" t="s">
        <v>98</v>
      </c>
      <c r="C923" s="6" t="s">
        <v>107</v>
      </c>
      <c r="D923">
        <v>202309</v>
      </c>
      <c r="E923" s="11" t="s">
        <v>32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T923" t="str">
        <f t="shared" si="50"/>
        <v>040108202309</v>
      </c>
      <c r="U923">
        <f t="shared" si="51"/>
        <v>0</v>
      </c>
    </row>
    <row r="924" spans="1:21" x14ac:dyDescent="0.35">
      <c r="A924">
        <v>2023</v>
      </c>
      <c r="B924" s="7" t="s">
        <v>98</v>
      </c>
      <c r="C924" s="6" t="s">
        <v>107</v>
      </c>
      <c r="D924">
        <v>202309</v>
      </c>
      <c r="E924" s="11" t="s">
        <v>33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T924" t="str">
        <f t="shared" si="50"/>
        <v>040110202309</v>
      </c>
      <c r="U924">
        <f t="shared" si="51"/>
        <v>0</v>
      </c>
    </row>
    <row r="925" spans="1:21" x14ac:dyDescent="0.35">
      <c r="A925">
        <v>2023</v>
      </c>
      <c r="B925" s="7" t="s">
        <v>98</v>
      </c>
      <c r="C925" s="6" t="s">
        <v>107</v>
      </c>
      <c r="D925">
        <v>202309</v>
      </c>
      <c r="E925" s="11" t="s">
        <v>34</v>
      </c>
      <c r="F925">
        <v>0.10986114999999999</v>
      </c>
      <c r="G925">
        <v>0.10547419</v>
      </c>
      <c r="H925">
        <v>4.3869599999999996E-3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T925" t="str">
        <f t="shared" si="50"/>
        <v>040112202309</v>
      </c>
      <c r="U925">
        <f t="shared" si="51"/>
        <v>0.10986114999999999</v>
      </c>
    </row>
    <row r="926" spans="1:21" x14ac:dyDescent="0.35">
      <c r="A926">
        <v>2023</v>
      </c>
      <c r="B926" s="7" t="s">
        <v>98</v>
      </c>
      <c r="C926" s="6" t="s">
        <v>107</v>
      </c>
      <c r="D926">
        <v>202309</v>
      </c>
      <c r="E926" s="11" t="s">
        <v>35</v>
      </c>
      <c r="F926">
        <v>25.123107000000001</v>
      </c>
      <c r="G926">
        <v>25.123107000000001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T926" t="str">
        <f t="shared" si="50"/>
        <v>040113202309</v>
      </c>
      <c r="U926">
        <f t="shared" si="51"/>
        <v>25.123107000000001</v>
      </c>
    </row>
    <row r="927" spans="1:21" x14ac:dyDescent="0.35">
      <c r="A927">
        <v>2023</v>
      </c>
      <c r="B927" s="7" t="s">
        <v>98</v>
      </c>
      <c r="C927" s="6" t="s">
        <v>107</v>
      </c>
      <c r="D927">
        <v>202309</v>
      </c>
      <c r="E927" s="11" t="s">
        <v>37</v>
      </c>
      <c r="F927">
        <v>0</v>
      </c>
      <c r="G927">
        <v>0</v>
      </c>
      <c r="H927">
        <v>0</v>
      </c>
      <c r="I927">
        <v>961.51425758000005</v>
      </c>
      <c r="J927">
        <v>8.8303400000000008E-3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T927" t="str">
        <f t="shared" si="50"/>
        <v>040127202309</v>
      </c>
      <c r="U927">
        <f t="shared" si="51"/>
        <v>961.52308792000008</v>
      </c>
    </row>
    <row r="928" spans="1:21" x14ac:dyDescent="0.35">
      <c r="A928">
        <v>2023</v>
      </c>
      <c r="B928" s="7" t="s">
        <v>98</v>
      </c>
      <c r="C928" s="6" t="s">
        <v>107</v>
      </c>
      <c r="D928">
        <v>202309</v>
      </c>
      <c r="E928" s="11" t="s">
        <v>38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T928" t="str">
        <f t="shared" si="50"/>
        <v>040128202309</v>
      </c>
      <c r="U928">
        <f t="shared" si="51"/>
        <v>0</v>
      </c>
    </row>
    <row r="929" spans="1:21" x14ac:dyDescent="0.35">
      <c r="A929">
        <v>2023</v>
      </c>
      <c r="B929" s="7" t="s">
        <v>98</v>
      </c>
      <c r="C929" s="6" t="s">
        <v>107</v>
      </c>
      <c r="D929">
        <v>202309</v>
      </c>
      <c r="E929" s="11" t="s">
        <v>39</v>
      </c>
      <c r="F929">
        <v>0</v>
      </c>
      <c r="G929">
        <v>0</v>
      </c>
      <c r="H929">
        <v>0</v>
      </c>
      <c r="I929">
        <v>227.830974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5.5749849999999999</v>
      </c>
      <c r="Q929">
        <v>0</v>
      </c>
      <c r="R929">
        <v>0</v>
      </c>
      <c r="T929" t="str">
        <f t="shared" si="50"/>
        <v>040130202309</v>
      </c>
      <c r="U929">
        <f t="shared" si="51"/>
        <v>227.830974</v>
      </c>
    </row>
    <row r="930" spans="1:21" x14ac:dyDescent="0.35">
      <c r="A930">
        <v>2023</v>
      </c>
      <c r="B930" s="7" t="s">
        <v>98</v>
      </c>
      <c r="C930" s="6" t="s">
        <v>107</v>
      </c>
      <c r="D930">
        <v>202309</v>
      </c>
      <c r="E930" s="11" t="s">
        <v>40</v>
      </c>
      <c r="F930">
        <v>1.5514950000000001</v>
      </c>
      <c r="G930">
        <v>1.5514950000000001</v>
      </c>
      <c r="H930">
        <v>0</v>
      </c>
      <c r="I930">
        <v>2.1545339999999999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T930" t="str">
        <f t="shared" si="50"/>
        <v>040132202309</v>
      </c>
      <c r="U930">
        <f t="shared" si="51"/>
        <v>3.706029</v>
      </c>
    </row>
    <row r="931" spans="1:21" x14ac:dyDescent="0.35">
      <c r="A931">
        <v>2023</v>
      </c>
      <c r="B931" s="7" t="s">
        <v>98</v>
      </c>
      <c r="C931" s="6" t="s">
        <v>107</v>
      </c>
      <c r="D931">
        <v>202309</v>
      </c>
      <c r="E931" s="11" t="s">
        <v>41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T931" t="str">
        <f t="shared" si="50"/>
        <v>040133202309</v>
      </c>
      <c r="U931">
        <f t="shared" si="51"/>
        <v>0</v>
      </c>
    </row>
    <row r="932" spans="1:21" x14ac:dyDescent="0.35">
      <c r="A932">
        <v>2023</v>
      </c>
      <c r="B932" s="7" t="s">
        <v>98</v>
      </c>
      <c r="C932" s="6" t="s">
        <v>107</v>
      </c>
      <c r="D932">
        <v>202309</v>
      </c>
      <c r="E932" s="11" t="s">
        <v>42</v>
      </c>
      <c r="F932">
        <v>63.988939000000002</v>
      </c>
      <c r="G932">
        <v>63.988939000000002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T932" t="str">
        <f t="shared" si="50"/>
        <v>040136202309</v>
      </c>
      <c r="U932">
        <f t="shared" si="51"/>
        <v>63.988939000000002</v>
      </c>
    </row>
    <row r="933" spans="1:21" x14ac:dyDescent="0.35">
      <c r="A933">
        <v>2023</v>
      </c>
      <c r="B933" s="7" t="s">
        <v>98</v>
      </c>
      <c r="C933" s="6" t="s">
        <v>107</v>
      </c>
      <c r="D933">
        <v>202309</v>
      </c>
      <c r="E933" s="11" t="s">
        <v>43</v>
      </c>
      <c r="F933">
        <v>0</v>
      </c>
      <c r="G933">
        <v>0</v>
      </c>
      <c r="H933">
        <v>0</v>
      </c>
      <c r="I933">
        <v>3.2017547299999998</v>
      </c>
      <c r="J933">
        <v>0.97480135999999995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T933" t="str">
        <f t="shared" si="50"/>
        <v>040137202309</v>
      </c>
      <c r="U933">
        <f t="shared" si="51"/>
        <v>4.1765560900000001</v>
      </c>
    </row>
    <row r="934" spans="1:21" x14ac:dyDescent="0.35">
      <c r="A934">
        <v>2023</v>
      </c>
      <c r="B934" s="7" t="s">
        <v>98</v>
      </c>
      <c r="C934" s="6" t="s">
        <v>107</v>
      </c>
      <c r="D934">
        <v>202309</v>
      </c>
      <c r="E934" s="11" t="s">
        <v>44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T934" t="str">
        <f t="shared" si="50"/>
        <v>040138202309</v>
      </c>
      <c r="U934">
        <f t="shared" si="51"/>
        <v>0</v>
      </c>
    </row>
    <row r="935" spans="1:21" x14ac:dyDescent="0.35">
      <c r="A935">
        <v>2023</v>
      </c>
      <c r="B935" s="7" t="s">
        <v>98</v>
      </c>
      <c r="C935" s="6" t="s">
        <v>107</v>
      </c>
      <c r="D935">
        <v>202309</v>
      </c>
      <c r="E935" s="11" t="s">
        <v>45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T935" t="str">
        <f t="shared" si="50"/>
        <v>040139202309</v>
      </c>
      <c r="U935">
        <f t="shared" si="51"/>
        <v>0</v>
      </c>
    </row>
    <row r="936" spans="1:21" x14ac:dyDescent="0.35">
      <c r="A936">
        <v>2023</v>
      </c>
      <c r="B936" s="7" t="s">
        <v>98</v>
      </c>
      <c r="C936" s="6" t="s">
        <v>107</v>
      </c>
      <c r="D936">
        <v>202309</v>
      </c>
      <c r="E936" s="11" t="s">
        <v>46</v>
      </c>
      <c r="F936">
        <v>0</v>
      </c>
      <c r="G936">
        <v>0</v>
      </c>
      <c r="H936">
        <v>0</v>
      </c>
      <c r="I936">
        <v>32.209429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T936" t="str">
        <f t="shared" si="50"/>
        <v>040140202309</v>
      </c>
      <c r="U936">
        <f t="shared" si="51"/>
        <v>32.209429</v>
      </c>
    </row>
    <row r="937" spans="1:21" x14ac:dyDescent="0.35">
      <c r="A937">
        <v>2023</v>
      </c>
      <c r="B937" s="7" t="s">
        <v>98</v>
      </c>
      <c r="C937" s="6" t="s">
        <v>107</v>
      </c>
      <c r="D937">
        <v>202309</v>
      </c>
      <c r="E937" s="11" t="s">
        <v>47</v>
      </c>
      <c r="F937">
        <v>0</v>
      </c>
      <c r="G937">
        <v>0</v>
      </c>
      <c r="H937">
        <v>0</v>
      </c>
      <c r="I937">
        <v>0.101327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T937" t="str">
        <f t="shared" si="50"/>
        <v>040141202309</v>
      </c>
      <c r="U937">
        <f t="shared" si="51"/>
        <v>0.101327</v>
      </c>
    </row>
    <row r="938" spans="1:21" x14ac:dyDescent="0.35">
      <c r="A938">
        <v>2023</v>
      </c>
      <c r="B938" s="7" t="s">
        <v>98</v>
      </c>
      <c r="C938" s="6" t="s">
        <v>107</v>
      </c>
      <c r="D938">
        <v>202309</v>
      </c>
      <c r="E938" s="11" t="s">
        <v>48</v>
      </c>
      <c r="F938">
        <v>5.3607499000000001</v>
      </c>
      <c r="G938">
        <v>4.1449599700000004</v>
      </c>
      <c r="H938">
        <v>1.2157899299999999</v>
      </c>
      <c r="I938">
        <v>2.93359236</v>
      </c>
      <c r="J938">
        <v>1.766417E-2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7.3441382099999997</v>
      </c>
      <c r="Q938">
        <v>0.68613392000000006</v>
      </c>
      <c r="R938">
        <v>0</v>
      </c>
      <c r="T938" t="str">
        <f t="shared" si="50"/>
        <v>040143202309</v>
      </c>
      <c r="U938">
        <f t="shared" si="51"/>
        <v>8.3120064300000003</v>
      </c>
    </row>
    <row r="939" spans="1:21" x14ac:dyDescent="0.35">
      <c r="A939">
        <v>2023</v>
      </c>
      <c r="B939" s="7" t="s">
        <v>98</v>
      </c>
      <c r="C939" s="6" t="s">
        <v>107</v>
      </c>
      <c r="D939">
        <v>202309</v>
      </c>
      <c r="E939" s="11" t="s">
        <v>49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T939" t="str">
        <f t="shared" si="50"/>
        <v>040145202309</v>
      </c>
      <c r="U939">
        <f t="shared" si="51"/>
        <v>0</v>
      </c>
    </row>
    <row r="940" spans="1:21" x14ac:dyDescent="0.35">
      <c r="A940">
        <v>2023</v>
      </c>
      <c r="B940" s="7" t="s">
        <v>98</v>
      </c>
      <c r="C940" s="6" t="s">
        <v>107</v>
      </c>
      <c r="D940">
        <v>202309</v>
      </c>
      <c r="E940" s="11" t="s">
        <v>50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T940" t="str">
        <f t="shared" si="50"/>
        <v>040147202309</v>
      </c>
      <c r="U940">
        <f t="shared" si="51"/>
        <v>0</v>
      </c>
    </row>
    <row r="941" spans="1:21" x14ac:dyDescent="0.35">
      <c r="A941">
        <v>2023</v>
      </c>
      <c r="B941" s="7" t="s">
        <v>98</v>
      </c>
      <c r="C941" s="6" t="s">
        <v>107</v>
      </c>
      <c r="D941">
        <v>202309</v>
      </c>
      <c r="E941" s="11" t="s">
        <v>51</v>
      </c>
      <c r="F941">
        <v>0</v>
      </c>
      <c r="G941">
        <v>0</v>
      </c>
      <c r="H941">
        <v>0</v>
      </c>
      <c r="I941">
        <v>7.755414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1.8644000000000001E-2</v>
      </c>
      <c r="Q941">
        <v>0</v>
      </c>
      <c r="R941">
        <v>0</v>
      </c>
      <c r="T941" t="str">
        <f t="shared" si="50"/>
        <v>040149202309</v>
      </c>
      <c r="U941">
        <f t="shared" si="51"/>
        <v>7.755414</v>
      </c>
    </row>
    <row r="942" spans="1:21" x14ac:dyDescent="0.35">
      <c r="A942">
        <v>2023</v>
      </c>
      <c r="B942" s="7" t="s">
        <v>98</v>
      </c>
      <c r="C942" s="6" t="s">
        <v>107</v>
      </c>
      <c r="D942">
        <v>202309</v>
      </c>
      <c r="E942" s="11" t="s">
        <v>52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T942" t="str">
        <f t="shared" si="50"/>
        <v>040150202309</v>
      </c>
      <c r="U942">
        <f t="shared" si="51"/>
        <v>0</v>
      </c>
    </row>
    <row r="943" spans="1:21" x14ac:dyDescent="0.35">
      <c r="A943">
        <v>2023</v>
      </c>
      <c r="B943" s="7" t="s">
        <v>98</v>
      </c>
      <c r="C943" s="6" t="s">
        <v>107</v>
      </c>
      <c r="D943">
        <v>202309</v>
      </c>
      <c r="E943" s="11" t="s">
        <v>53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T943" t="str">
        <f t="shared" si="50"/>
        <v>040151202309</v>
      </c>
      <c r="U943">
        <f t="shared" si="51"/>
        <v>0</v>
      </c>
    </row>
    <row r="944" spans="1:21" x14ac:dyDescent="0.35">
      <c r="A944">
        <v>2023</v>
      </c>
      <c r="B944" s="7" t="s">
        <v>98</v>
      </c>
      <c r="C944" s="6" t="s">
        <v>107</v>
      </c>
      <c r="D944">
        <v>202309</v>
      </c>
      <c r="E944" s="11" t="s">
        <v>54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T944" t="str">
        <f t="shared" si="50"/>
        <v>040152202309</v>
      </c>
      <c r="U944">
        <f t="shared" si="51"/>
        <v>0</v>
      </c>
    </row>
    <row r="945" spans="1:21" x14ac:dyDescent="0.35">
      <c r="A945">
        <v>2023</v>
      </c>
      <c r="B945" s="7" t="s">
        <v>98</v>
      </c>
      <c r="C945" s="6" t="s">
        <v>107</v>
      </c>
      <c r="D945">
        <v>202309</v>
      </c>
      <c r="E945" s="11" t="s">
        <v>55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0.27714359000000005</v>
      </c>
      <c r="M945">
        <v>0.27714359000000005</v>
      </c>
      <c r="N945">
        <v>0</v>
      </c>
      <c r="O945">
        <v>0</v>
      </c>
      <c r="P945">
        <v>0</v>
      </c>
      <c r="Q945">
        <v>0</v>
      </c>
      <c r="R945">
        <v>0</v>
      </c>
      <c r="T945" t="str">
        <f t="shared" si="50"/>
        <v>040154202309</v>
      </c>
      <c r="U945">
        <f t="shared" si="51"/>
        <v>0</v>
      </c>
    </row>
    <row r="946" spans="1:21" x14ac:dyDescent="0.35">
      <c r="A946">
        <v>2023</v>
      </c>
      <c r="B946" s="7" t="s">
        <v>98</v>
      </c>
      <c r="C946" s="6" t="s">
        <v>107</v>
      </c>
      <c r="D946">
        <v>202309</v>
      </c>
      <c r="E946" s="11" t="s">
        <v>56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T946" t="str">
        <f t="shared" si="50"/>
        <v>040155202309</v>
      </c>
      <c r="U946">
        <f t="shared" si="51"/>
        <v>0</v>
      </c>
    </row>
    <row r="947" spans="1:21" x14ac:dyDescent="0.35">
      <c r="A947">
        <v>2023</v>
      </c>
      <c r="B947" s="7" t="s">
        <v>98</v>
      </c>
      <c r="C947" s="6" t="s">
        <v>107</v>
      </c>
      <c r="D947">
        <v>202309</v>
      </c>
      <c r="E947" s="11" t="s">
        <v>57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T947" t="str">
        <f t="shared" si="50"/>
        <v>040156202309</v>
      </c>
      <c r="U947">
        <f t="shared" si="51"/>
        <v>0</v>
      </c>
    </row>
    <row r="948" spans="1:21" x14ac:dyDescent="0.35">
      <c r="A948">
        <v>2023</v>
      </c>
      <c r="B948" s="7" t="s">
        <v>98</v>
      </c>
      <c r="C948" s="6" t="s">
        <v>107</v>
      </c>
      <c r="D948">
        <v>202309</v>
      </c>
      <c r="E948" s="11" t="s">
        <v>58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T948" t="str">
        <f t="shared" si="50"/>
        <v>040157202309</v>
      </c>
      <c r="U948">
        <f t="shared" si="51"/>
        <v>0</v>
      </c>
    </row>
    <row r="949" spans="1:21" x14ac:dyDescent="0.35">
      <c r="A949">
        <v>2023</v>
      </c>
      <c r="B949" s="7" t="s">
        <v>98</v>
      </c>
      <c r="C949" s="6" t="s">
        <v>107</v>
      </c>
      <c r="D949">
        <v>202309</v>
      </c>
      <c r="E949" s="11" t="s">
        <v>59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T949" t="str">
        <f t="shared" si="50"/>
        <v>040158202309</v>
      </c>
      <c r="U949">
        <f t="shared" si="51"/>
        <v>0</v>
      </c>
    </row>
    <row r="950" spans="1:21" x14ac:dyDescent="0.35">
      <c r="A950">
        <v>2023</v>
      </c>
      <c r="B950" s="7" t="s">
        <v>98</v>
      </c>
      <c r="C950" s="6" t="s">
        <v>107</v>
      </c>
      <c r="D950">
        <v>202309</v>
      </c>
      <c r="E950" s="11" t="s">
        <v>60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T950" t="str">
        <f t="shared" si="50"/>
        <v>040159202309</v>
      </c>
      <c r="U950">
        <f t="shared" si="51"/>
        <v>0</v>
      </c>
    </row>
    <row r="951" spans="1:21" x14ac:dyDescent="0.35">
      <c r="A951">
        <v>2023</v>
      </c>
      <c r="B951" s="7" t="s">
        <v>98</v>
      </c>
      <c r="C951" s="6" t="s">
        <v>107</v>
      </c>
      <c r="D951">
        <v>202309</v>
      </c>
      <c r="E951" s="11" t="s">
        <v>63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T951" t="str">
        <f t="shared" si="50"/>
        <v>040160202309</v>
      </c>
      <c r="U951">
        <f t="shared" si="51"/>
        <v>0</v>
      </c>
    </row>
    <row r="952" spans="1:21" x14ac:dyDescent="0.35">
      <c r="A952">
        <v>2023</v>
      </c>
      <c r="B952" s="7" t="s">
        <v>98</v>
      </c>
      <c r="C952" s="6" t="s">
        <v>107</v>
      </c>
      <c r="D952">
        <v>202309</v>
      </c>
      <c r="E952" s="11" t="s">
        <v>61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T952" t="str">
        <f t="shared" si="50"/>
        <v>040162202309</v>
      </c>
      <c r="U952">
        <f t="shared" si="51"/>
        <v>0</v>
      </c>
    </row>
    <row r="953" spans="1:21" x14ac:dyDescent="0.35">
      <c r="A953">
        <v>2023</v>
      </c>
      <c r="B953" s="7" t="s">
        <v>99</v>
      </c>
      <c r="C953" s="6" t="s">
        <v>108</v>
      </c>
      <c r="D953">
        <v>202310</v>
      </c>
      <c r="E953" s="11">
        <v>5</v>
      </c>
      <c r="F953">
        <v>934.21995862000006</v>
      </c>
      <c r="G953">
        <v>932.76724512999999</v>
      </c>
      <c r="H953">
        <v>1.45264247</v>
      </c>
      <c r="I953">
        <v>9651.6262877400004</v>
      </c>
      <c r="J953">
        <v>778.61571036999999</v>
      </c>
      <c r="K953">
        <v>52.048725990000001</v>
      </c>
      <c r="L953">
        <v>154.14365397999998</v>
      </c>
      <c r="M953">
        <v>154.14365397999998</v>
      </c>
      <c r="N953">
        <v>0</v>
      </c>
      <c r="O953">
        <v>0</v>
      </c>
      <c r="P953">
        <v>74.999484449999997</v>
      </c>
      <c r="Q953">
        <v>53.761675140000001</v>
      </c>
      <c r="R953">
        <v>0</v>
      </c>
      <c r="T953" t="str">
        <f t="shared" ref="T953:T997" si="52">+E953&amp;D953</f>
        <v>5202310</v>
      </c>
      <c r="U953">
        <f t="shared" ref="U953:U997" si="53">+F953+I953+J953</f>
        <v>11364.461956730001</v>
      </c>
    </row>
    <row r="954" spans="1:21" x14ac:dyDescent="0.35">
      <c r="A954">
        <v>2023</v>
      </c>
      <c r="B954" s="7" t="s">
        <v>99</v>
      </c>
      <c r="C954" s="6" t="s">
        <v>108</v>
      </c>
      <c r="D954">
        <v>202310</v>
      </c>
      <c r="E954" s="11" t="s">
        <v>19</v>
      </c>
      <c r="F954">
        <v>147.39917192999999</v>
      </c>
      <c r="G954">
        <v>147.39917192999999</v>
      </c>
      <c r="H954">
        <v>0</v>
      </c>
      <c r="I954">
        <v>376.93131664999999</v>
      </c>
      <c r="J954">
        <v>68.498576310000004</v>
      </c>
      <c r="K954">
        <v>52.048725990000001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T954" t="str">
        <f t="shared" si="52"/>
        <v>040002202310</v>
      </c>
      <c r="U954">
        <f t="shared" si="53"/>
        <v>592.82906488999993</v>
      </c>
    </row>
    <row r="955" spans="1:21" x14ac:dyDescent="0.35">
      <c r="A955">
        <v>2023</v>
      </c>
      <c r="B955" s="7" t="s">
        <v>99</v>
      </c>
      <c r="C955" s="6" t="s">
        <v>108</v>
      </c>
      <c r="D955">
        <v>202310</v>
      </c>
      <c r="E955" s="11" t="s">
        <v>20</v>
      </c>
      <c r="F955">
        <v>145.09247768</v>
      </c>
      <c r="G955">
        <v>145.09247711</v>
      </c>
      <c r="H955">
        <v>5.6999999999999994E-7</v>
      </c>
      <c r="I955">
        <v>3230.0016252600003</v>
      </c>
      <c r="J955">
        <v>331.40441969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T955" t="str">
        <f t="shared" si="52"/>
        <v>040012202310</v>
      </c>
      <c r="U955">
        <f t="shared" si="53"/>
        <v>3706.49852263</v>
      </c>
    </row>
    <row r="956" spans="1:21" x14ac:dyDescent="0.35">
      <c r="A956">
        <v>2023</v>
      </c>
      <c r="B956" s="7" t="s">
        <v>99</v>
      </c>
      <c r="C956" s="6" t="s">
        <v>108</v>
      </c>
      <c r="D956">
        <v>202310</v>
      </c>
      <c r="E956" s="11" t="s">
        <v>21</v>
      </c>
      <c r="F956">
        <v>201.62265600000001</v>
      </c>
      <c r="G956">
        <v>201.62265600000001</v>
      </c>
      <c r="H956">
        <v>0</v>
      </c>
      <c r="I956">
        <v>2184.1951680000002</v>
      </c>
      <c r="J956">
        <v>53.313237000000001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T956" t="str">
        <f t="shared" si="52"/>
        <v>040014202310</v>
      </c>
      <c r="U956">
        <f t="shared" si="53"/>
        <v>2439.131061</v>
      </c>
    </row>
    <row r="957" spans="1:21" x14ac:dyDescent="0.35">
      <c r="A957">
        <v>2023</v>
      </c>
      <c r="B957" s="7" t="s">
        <v>99</v>
      </c>
      <c r="C957" s="6" t="s">
        <v>108</v>
      </c>
      <c r="D957">
        <v>202310</v>
      </c>
      <c r="E957" s="11" t="s">
        <v>22</v>
      </c>
      <c r="F957">
        <v>107.011306</v>
      </c>
      <c r="G957">
        <v>106.99315900000001</v>
      </c>
      <c r="H957">
        <v>1.8147E-2</v>
      </c>
      <c r="I957">
        <v>738.774855</v>
      </c>
      <c r="J957">
        <v>29.575887000000002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49.342928000000001</v>
      </c>
      <c r="Q957">
        <v>20.105692000000001</v>
      </c>
      <c r="R957">
        <v>0</v>
      </c>
      <c r="T957" t="str">
        <f t="shared" si="52"/>
        <v>040021202310</v>
      </c>
      <c r="U957">
        <f t="shared" si="53"/>
        <v>875.36204799999996</v>
      </c>
    </row>
    <row r="958" spans="1:21" x14ac:dyDescent="0.35">
      <c r="A958">
        <v>2023</v>
      </c>
      <c r="B958" s="7" t="s">
        <v>99</v>
      </c>
      <c r="C958" s="6" t="s">
        <v>108</v>
      </c>
      <c r="D958">
        <v>202310</v>
      </c>
      <c r="E958" s="11" t="s">
        <v>23</v>
      </c>
      <c r="F958">
        <v>15.199330699999999</v>
      </c>
      <c r="G958">
        <v>15.199330699999999</v>
      </c>
      <c r="H958">
        <v>0</v>
      </c>
      <c r="I958">
        <v>39.128861239999999</v>
      </c>
      <c r="J958">
        <v>0.83000096000000001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0.38928077</v>
      </c>
      <c r="R958">
        <v>0</v>
      </c>
      <c r="T958" t="str">
        <f t="shared" si="52"/>
        <v>040030202310</v>
      </c>
      <c r="U958">
        <f t="shared" si="53"/>
        <v>55.158192899999996</v>
      </c>
    </row>
    <row r="959" spans="1:21" x14ac:dyDescent="0.35">
      <c r="A959">
        <v>2023</v>
      </c>
      <c r="B959" s="7" t="s">
        <v>99</v>
      </c>
      <c r="C959" s="6" t="s">
        <v>108</v>
      </c>
      <c r="D959">
        <v>202310</v>
      </c>
      <c r="E959" s="11" t="s">
        <v>24</v>
      </c>
      <c r="F959">
        <v>58.225692000000002</v>
      </c>
      <c r="G959">
        <v>58.225692000000002</v>
      </c>
      <c r="H959">
        <v>0</v>
      </c>
      <c r="I959">
        <v>6.4317979999999997</v>
      </c>
      <c r="J959">
        <v>74.699832999999998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T959" t="str">
        <f t="shared" si="52"/>
        <v>040036202310</v>
      </c>
      <c r="U959">
        <f t="shared" si="53"/>
        <v>139.35732300000001</v>
      </c>
    </row>
    <row r="960" spans="1:21" x14ac:dyDescent="0.35">
      <c r="A960">
        <v>2023</v>
      </c>
      <c r="B960" s="7" t="s">
        <v>99</v>
      </c>
      <c r="C960" s="6" t="s">
        <v>108</v>
      </c>
      <c r="D960">
        <v>202310</v>
      </c>
      <c r="E960" s="11" t="s">
        <v>25</v>
      </c>
      <c r="F960">
        <v>0</v>
      </c>
      <c r="G960">
        <v>0</v>
      </c>
      <c r="H960">
        <v>0</v>
      </c>
      <c r="I960">
        <v>1.346956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T960" t="str">
        <f t="shared" si="52"/>
        <v>040042202310</v>
      </c>
      <c r="U960">
        <f t="shared" si="53"/>
        <v>1.346956</v>
      </c>
    </row>
    <row r="961" spans="1:21" x14ac:dyDescent="0.35">
      <c r="A961">
        <v>2023</v>
      </c>
      <c r="B961" s="7" t="s">
        <v>99</v>
      </c>
      <c r="C961" s="6" t="s">
        <v>108</v>
      </c>
      <c r="D961">
        <v>202310</v>
      </c>
      <c r="E961" s="11" t="s">
        <v>26</v>
      </c>
      <c r="F961">
        <v>1.051061</v>
      </c>
      <c r="G961">
        <v>1.051061</v>
      </c>
      <c r="H961">
        <v>0</v>
      </c>
      <c r="I961">
        <v>181.67281500000001</v>
      </c>
      <c r="J961">
        <v>5.6052720000000003</v>
      </c>
      <c r="K961">
        <v>0</v>
      </c>
      <c r="L961">
        <v>152.80385699999999</v>
      </c>
      <c r="M961">
        <v>152.80385699999999</v>
      </c>
      <c r="N961">
        <v>0</v>
      </c>
      <c r="O961">
        <v>0</v>
      </c>
      <c r="P961">
        <v>14.507285</v>
      </c>
      <c r="Q961">
        <v>33.096375000000002</v>
      </c>
      <c r="R961">
        <v>0</v>
      </c>
      <c r="T961" t="str">
        <f t="shared" si="52"/>
        <v>040044202310</v>
      </c>
      <c r="U961">
        <f t="shared" si="53"/>
        <v>188.32914800000003</v>
      </c>
    </row>
    <row r="962" spans="1:21" x14ac:dyDescent="0.35">
      <c r="A962">
        <v>2023</v>
      </c>
      <c r="B962" s="7" t="s">
        <v>99</v>
      </c>
      <c r="C962" s="6" t="s">
        <v>108</v>
      </c>
      <c r="D962">
        <v>202310</v>
      </c>
      <c r="E962" s="11" t="s">
        <v>27</v>
      </c>
      <c r="F962">
        <v>19.121259970000001</v>
      </c>
      <c r="G962">
        <v>19.121259970000001</v>
      </c>
      <c r="H962">
        <v>0</v>
      </c>
      <c r="I962">
        <v>59.744477289999999</v>
      </c>
      <c r="J962">
        <v>10.921543779999999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T962" t="str">
        <f t="shared" si="52"/>
        <v>040058202310</v>
      </c>
      <c r="U962">
        <f t="shared" si="53"/>
        <v>89.787281039999996</v>
      </c>
    </row>
    <row r="963" spans="1:21" x14ac:dyDescent="0.35">
      <c r="A963">
        <v>2023</v>
      </c>
      <c r="B963" s="7" t="s">
        <v>99</v>
      </c>
      <c r="C963" s="6" t="s">
        <v>108</v>
      </c>
      <c r="D963">
        <v>202310</v>
      </c>
      <c r="E963" s="11" t="s">
        <v>28</v>
      </c>
      <c r="F963">
        <v>0</v>
      </c>
      <c r="G963">
        <v>0</v>
      </c>
      <c r="H963">
        <v>0</v>
      </c>
      <c r="I963">
        <v>78.538946999999993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T963" t="str">
        <f t="shared" si="52"/>
        <v>040059202310</v>
      </c>
      <c r="U963">
        <f t="shared" si="53"/>
        <v>78.538946999999993</v>
      </c>
    </row>
    <row r="964" spans="1:21" x14ac:dyDescent="0.35">
      <c r="A964">
        <v>2023</v>
      </c>
      <c r="B964" s="7" t="s">
        <v>99</v>
      </c>
      <c r="C964" s="6" t="s">
        <v>108</v>
      </c>
      <c r="D964">
        <v>202310</v>
      </c>
      <c r="E964" s="11" t="s">
        <v>62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T964" t="str">
        <f t="shared" si="52"/>
        <v>040060202310</v>
      </c>
      <c r="U964">
        <f t="shared" si="53"/>
        <v>0</v>
      </c>
    </row>
    <row r="965" spans="1:21" x14ac:dyDescent="0.35">
      <c r="A965">
        <v>2023</v>
      </c>
      <c r="B965" s="7" t="s">
        <v>99</v>
      </c>
      <c r="C965" s="6" t="s">
        <v>108</v>
      </c>
      <c r="D965">
        <v>202310</v>
      </c>
      <c r="E965" s="11" t="s">
        <v>29</v>
      </c>
      <c r="F965">
        <v>0.83582199999999995</v>
      </c>
      <c r="G965">
        <v>0.83582199999999995</v>
      </c>
      <c r="H965">
        <v>0</v>
      </c>
      <c r="I965">
        <v>155.12697499999999</v>
      </c>
      <c r="J965">
        <v>1.2167000000000001E-2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T965" t="str">
        <f t="shared" si="52"/>
        <v>040062202310</v>
      </c>
      <c r="U965">
        <f t="shared" si="53"/>
        <v>155.974964</v>
      </c>
    </row>
    <row r="966" spans="1:21" x14ac:dyDescent="0.35">
      <c r="A966">
        <v>2023</v>
      </c>
      <c r="B966" s="7" t="s">
        <v>99</v>
      </c>
      <c r="C966" s="6" t="s">
        <v>108</v>
      </c>
      <c r="D966">
        <v>202310</v>
      </c>
      <c r="E966" s="11" t="s">
        <v>30</v>
      </c>
      <c r="F966">
        <v>204.80198958000003</v>
      </c>
      <c r="G966">
        <v>204.80191855999999</v>
      </c>
      <c r="H966">
        <v>0</v>
      </c>
      <c r="I966">
        <v>1317.28925916</v>
      </c>
      <c r="J966">
        <v>203.35328013999998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T966" t="str">
        <f t="shared" si="52"/>
        <v>040072202310</v>
      </c>
      <c r="U966">
        <f t="shared" si="53"/>
        <v>1725.44452888</v>
      </c>
    </row>
    <row r="967" spans="1:21" x14ac:dyDescent="0.35">
      <c r="A967">
        <v>2023</v>
      </c>
      <c r="B967" s="7" t="s">
        <v>99</v>
      </c>
      <c r="C967" s="6" t="s">
        <v>108</v>
      </c>
      <c r="D967">
        <v>202310</v>
      </c>
      <c r="E967" s="11" t="s">
        <v>31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T967" t="str">
        <f t="shared" si="52"/>
        <v>040106202310</v>
      </c>
      <c r="U967">
        <f t="shared" si="53"/>
        <v>0</v>
      </c>
    </row>
    <row r="968" spans="1:21" x14ac:dyDescent="0.35">
      <c r="A968">
        <v>2023</v>
      </c>
      <c r="B968" s="7" t="s">
        <v>99</v>
      </c>
      <c r="C968" s="6" t="s">
        <v>108</v>
      </c>
      <c r="D968">
        <v>202310</v>
      </c>
      <c r="E968" s="11" t="s">
        <v>32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T968" t="str">
        <f t="shared" si="52"/>
        <v>040108202310</v>
      </c>
      <c r="U968">
        <f t="shared" si="53"/>
        <v>0</v>
      </c>
    </row>
    <row r="969" spans="1:21" x14ac:dyDescent="0.35">
      <c r="A969">
        <v>2023</v>
      </c>
      <c r="B969" s="7" t="s">
        <v>99</v>
      </c>
      <c r="C969" s="6" t="s">
        <v>108</v>
      </c>
      <c r="D969">
        <v>202310</v>
      </c>
      <c r="E969" s="11" t="s">
        <v>33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T969" t="str">
        <f t="shared" si="52"/>
        <v>040110202310</v>
      </c>
      <c r="U969">
        <f t="shared" si="53"/>
        <v>0</v>
      </c>
    </row>
    <row r="970" spans="1:21" x14ac:dyDescent="0.35">
      <c r="A970">
        <v>2023</v>
      </c>
      <c r="B970" s="7" t="s">
        <v>99</v>
      </c>
      <c r="C970" s="6" t="s">
        <v>108</v>
      </c>
      <c r="D970">
        <v>202310</v>
      </c>
      <c r="E970" s="11" t="s">
        <v>34</v>
      </c>
      <c r="F970">
        <v>0.71422631999999997</v>
      </c>
      <c r="G970">
        <v>0.66762323999999995</v>
      </c>
      <c r="H970">
        <v>4.6603080000000005E-2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T970" t="str">
        <f t="shared" si="52"/>
        <v>040112202310</v>
      </c>
      <c r="U970">
        <f t="shared" si="53"/>
        <v>0.71422631999999997</v>
      </c>
    </row>
    <row r="971" spans="1:21" x14ac:dyDescent="0.35">
      <c r="A971">
        <v>2023</v>
      </c>
      <c r="B971" s="7" t="s">
        <v>99</v>
      </c>
      <c r="C971" s="6" t="s">
        <v>108</v>
      </c>
      <c r="D971">
        <v>202310</v>
      </c>
      <c r="E971" s="11" t="s">
        <v>35</v>
      </c>
      <c r="F971">
        <v>24.920444</v>
      </c>
      <c r="G971">
        <v>24.920444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T971" t="str">
        <f t="shared" si="52"/>
        <v>040113202310</v>
      </c>
      <c r="U971">
        <f t="shared" si="53"/>
        <v>24.920444</v>
      </c>
    </row>
    <row r="972" spans="1:21" x14ac:dyDescent="0.35">
      <c r="A972">
        <v>2023</v>
      </c>
      <c r="B972" s="7" t="s">
        <v>99</v>
      </c>
      <c r="C972" s="6" t="s">
        <v>108</v>
      </c>
      <c r="D972">
        <v>202310</v>
      </c>
      <c r="E972" s="11" t="s">
        <v>37</v>
      </c>
      <c r="F972">
        <v>0</v>
      </c>
      <c r="G972">
        <v>0</v>
      </c>
      <c r="H972">
        <v>0</v>
      </c>
      <c r="I972">
        <v>1016.24541403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T972" t="str">
        <f t="shared" si="52"/>
        <v>040127202310</v>
      </c>
      <c r="U972">
        <f t="shared" si="53"/>
        <v>1016.24541403</v>
      </c>
    </row>
    <row r="973" spans="1:21" x14ac:dyDescent="0.35">
      <c r="A973">
        <v>2023</v>
      </c>
      <c r="B973" s="7" t="s">
        <v>99</v>
      </c>
      <c r="C973" s="6" t="s">
        <v>108</v>
      </c>
      <c r="D973">
        <v>202310</v>
      </c>
      <c r="E973" s="11" t="s">
        <v>38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T973" t="str">
        <f t="shared" si="52"/>
        <v>040128202310</v>
      </c>
      <c r="U973">
        <f t="shared" si="53"/>
        <v>0</v>
      </c>
    </row>
    <row r="974" spans="1:21" x14ac:dyDescent="0.35">
      <c r="A974">
        <v>2023</v>
      </c>
      <c r="B974" s="7" t="s">
        <v>99</v>
      </c>
      <c r="C974" s="6" t="s">
        <v>108</v>
      </c>
      <c r="D974">
        <v>202310</v>
      </c>
      <c r="E974" s="11" t="s">
        <v>39</v>
      </c>
      <c r="F974">
        <v>0</v>
      </c>
      <c r="G974">
        <v>0</v>
      </c>
      <c r="H974">
        <v>0</v>
      </c>
      <c r="I974">
        <v>216.89908399999999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6.5188990000000002</v>
      </c>
      <c r="Q974">
        <v>0</v>
      </c>
      <c r="R974">
        <v>0</v>
      </c>
      <c r="T974" t="str">
        <f t="shared" si="52"/>
        <v>040130202310</v>
      </c>
      <c r="U974">
        <f t="shared" si="53"/>
        <v>216.89908399999999</v>
      </c>
    </row>
    <row r="975" spans="1:21" x14ac:dyDescent="0.35">
      <c r="A975">
        <v>2023</v>
      </c>
      <c r="B975" s="7" t="s">
        <v>99</v>
      </c>
      <c r="C975" s="6" t="s">
        <v>108</v>
      </c>
      <c r="D975">
        <v>202310</v>
      </c>
      <c r="E975" s="11" t="s">
        <v>40</v>
      </c>
      <c r="F975">
        <v>0</v>
      </c>
      <c r="G975">
        <v>0</v>
      </c>
      <c r="H975">
        <v>0</v>
      </c>
      <c r="I975">
        <v>3.0000000000000001E-6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T975" t="str">
        <f t="shared" si="52"/>
        <v>040132202310</v>
      </c>
      <c r="U975">
        <f t="shared" si="53"/>
        <v>3.0000000000000001E-6</v>
      </c>
    </row>
    <row r="976" spans="1:21" x14ac:dyDescent="0.35">
      <c r="A976">
        <v>2023</v>
      </c>
      <c r="B976" s="7" t="s">
        <v>99</v>
      </c>
      <c r="C976" s="6" t="s">
        <v>108</v>
      </c>
      <c r="D976">
        <v>202310</v>
      </c>
      <c r="E976" s="11" t="s">
        <v>41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T976" t="str">
        <f t="shared" si="52"/>
        <v>040133202310</v>
      </c>
      <c r="U976">
        <f t="shared" si="53"/>
        <v>0</v>
      </c>
    </row>
    <row r="977" spans="1:21" x14ac:dyDescent="0.35">
      <c r="A977">
        <v>2023</v>
      </c>
      <c r="B977" s="7" t="s">
        <v>99</v>
      </c>
      <c r="C977" s="6" t="s">
        <v>108</v>
      </c>
      <c r="D977">
        <v>202310</v>
      </c>
      <c r="E977" s="11" t="s">
        <v>42</v>
      </c>
      <c r="F977">
        <v>5.3704599999999996</v>
      </c>
      <c r="G977">
        <v>5.3704599999999996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T977" t="str">
        <f t="shared" si="52"/>
        <v>040136202310</v>
      </c>
      <c r="U977">
        <f t="shared" si="53"/>
        <v>5.3704599999999996</v>
      </c>
    </row>
    <row r="978" spans="1:21" x14ac:dyDescent="0.35">
      <c r="A978">
        <v>2023</v>
      </c>
      <c r="B978" s="7" t="s">
        <v>99</v>
      </c>
      <c r="C978" s="6" t="s">
        <v>108</v>
      </c>
      <c r="D978">
        <v>202310</v>
      </c>
      <c r="E978" s="11" t="s">
        <v>43</v>
      </c>
      <c r="F978">
        <v>0</v>
      </c>
      <c r="G978">
        <v>0</v>
      </c>
      <c r="H978">
        <v>0</v>
      </c>
      <c r="I978">
        <v>3.5218204500000003</v>
      </c>
      <c r="J978">
        <v>0.35515279999999999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T978" t="str">
        <f t="shared" si="52"/>
        <v>040137202310</v>
      </c>
      <c r="U978">
        <f t="shared" si="53"/>
        <v>3.8769732500000003</v>
      </c>
    </row>
    <row r="979" spans="1:21" x14ac:dyDescent="0.35">
      <c r="A979">
        <v>2023</v>
      </c>
      <c r="B979" s="7" t="s">
        <v>99</v>
      </c>
      <c r="C979" s="6" t="s">
        <v>108</v>
      </c>
      <c r="D979">
        <v>202310</v>
      </c>
      <c r="E979" s="11" t="s">
        <v>44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T979" t="str">
        <f t="shared" si="52"/>
        <v>040138202310</v>
      </c>
      <c r="U979">
        <f t="shared" si="53"/>
        <v>0</v>
      </c>
    </row>
    <row r="980" spans="1:21" x14ac:dyDescent="0.35">
      <c r="A980">
        <v>2023</v>
      </c>
      <c r="B980" s="7" t="s">
        <v>99</v>
      </c>
      <c r="C980" s="6" t="s">
        <v>108</v>
      </c>
      <c r="D980">
        <v>202310</v>
      </c>
      <c r="E980" s="11" t="s">
        <v>45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T980" t="str">
        <f t="shared" si="52"/>
        <v>040139202310</v>
      </c>
      <c r="U980">
        <f t="shared" si="53"/>
        <v>0</v>
      </c>
    </row>
    <row r="981" spans="1:21" x14ac:dyDescent="0.35">
      <c r="A981">
        <v>2023</v>
      </c>
      <c r="B981" s="7" t="s">
        <v>99</v>
      </c>
      <c r="C981" s="6" t="s">
        <v>108</v>
      </c>
      <c r="D981">
        <v>202310</v>
      </c>
      <c r="E981" s="11" t="s">
        <v>46</v>
      </c>
      <c r="F981">
        <v>0</v>
      </c>
      <c r="G981">
        <v>0</v>
      </c>
      <c r="H981">
        <v>0</v>
      </c>
      <c r="I981">
        <v>37.954408000000001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T981" t="str">
        <f t="shared" si="52"/>
        <v>040140202310</v>
      </c>
      <c r="U981">
        <f t="shared" si="53"/>
        <v>37.954408000000001</v>
      </c>
    </row>
    <row r="982" spans="1:21" x14ac:dyDescent="0.35">
      <c r="A982">
        <v>2023</v>
      </c>
      <c r="B982" s="7" t="s">
        <v>99</v>
      </c>
      <c r="C982" s="6" t="s">
        <v>108</v>
      </c>
      <c r="D982">
        <v>202310</v>
      </c>
      <c r="E982" s="11" t="s">
        <v>47</v>
      </c>
      <c r="F982">
        <v>0</v>
      </c>
      <c r="G982">
        <v>0</v>
      </c>
      <c r="H982">
        <v>0</v>
      </c>
      <c r="I982">
        <v>3.9294000000000003E-2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T982" t="str">
        <f t="shared" si="52"/>
        <v>040141202310</v>
      </c>
      <c r="U982">
        <f t="shared" si="53"/>
        <v>3.9294000000000003E-2</v>
      </c>
    </row>
    <row r="983" spans="1:21" x14ac:dyDescent="0.35">
      <c r="A983">
        <v>2023</v>
      </c>
      <c r="B983" s="7" t="s">
        <v>99</v>
      </c>
      <c r="C983" s="6" t="s">
        <v>108</v>
      </c>
      <c r="D983">
        <v>202310</v>
      </c>
      <c r="E983" s="11" t="s">
        <v>48</v>
      </c>
      <c r="F983">
        <v>2.8540614399999997</v>
      </c>
      <c r="G983">
        <v>1.4661696200000001</v>
      </c>
      <c r="H983">
        <v>1.3878918200000001</v>
      </c>
      <c r="I983">
        <v>2.5094426599999999</v>
      </c>
      <c r="J983">
        <v>4.6340690000000004E-2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4.6044374499999998</v>
      </c>
      <c r="Q983">
        <v>0.17032737000000001</v>
      </c>
      <c r="R983">
        <v>0</v>
      </c>
      <c r="T983" t="str">
        <f t="shared" si="52"/>
        <v>040143202310</v>
      </c>
      <c r="U983">
        <f t="shared" si="53"/>
        <v>5.4098447900000002</v>
      </c>
    </row>
    <row r="984" spans="1:21" x14ac:dyDescent="0.35">
      <c r="A984">
        <v>2023</v>
      </c>
      <c r="B984" s="7" t="s">
        <v>99</v>
      </c>
      <c r="C984" s="6" t="s">
        <v>108</v>
      </c>
      <c r="D984">
        <v>202310</v>
      </c>
      <c r="E984" s="11" t="s">
        <v>49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T984" t="str">
        <f t="shared" si="52"/>
        <v>040145202310</v>
      </c>
      <c r="U984">
        <f t="shared" si="53"/>
        <v>0</v>
      </c>
    </row>
    <row r="985" spans="1:21" x14ac:dyDescent="0.35">
      <c r="A985">
        <v>2023</v>
      </c>
      <c r="B985" s="7" t="s">
        <v>99</v>
      </c>
      <c r="C985" s="6" t="s">
        <v>108</v>
      </c>
      <c r="D985">
        <v>202310</v>
      </c>
      <c r="E985" s="11" t="s">
        <v>50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T985" t="str">
        <f t="shared" si="52"/>
        <v>040147202310</v>
      </c>
      <c r="U985">
        <f t="shared" si="53"/>
        <v>0</v>
      </c>
    </row>
    <row r="986" spans="1:21" x14ac:dyDescent="0.35">
      <c r="A986">
        <v>2023</v>
      </c>
      <c r="B986" s="7" t="s">
        <v>99</v>
      </c>
      <c r="C986" s="6" t="s">
        <v>108</v>
      </c>
      <c r="D986">
        <v>202310</v>
      </c>
      <c r="E986" s="11" t="s">
        <v>51</v>
      </c>
      <c r="F986">
        <v>0</v>
      </c>
      <c r="G986">
        <v>0</v>
      </c>
      <c r="H986">
        <v>0</v>
      </c>
      <c r="I986">
        <v>5.2737679999999996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2.5935E-2</v>
      </c>
      <c r="Q986">
        <v>0</v>
      </c>
      <c r="R986">
        <v>0</v>
      </c>
      <c r="T986" t="str">
        <f t="shared" si="52"/>
        <v>040149202310</v>
      </c>
      <c r="U986">
        <f t="shared" si="53"/>
        <v>5.2737679999999996</v>
      </c>
    </row>
    <row r="987" spans="1:21" x14ac:dyDescent="0.35">
      <c r="A987">
        <v>2023</v>
      </c>
      <c r="B987" s="7" t="s">
        <v>99</v>
      </c>
      <c r="C987" s="6" t="s">
        <v>108</v>
      </c>
      <c r="D987">
        <v>202310</v>
      </c>
      <c r="E987" s="11" t="s">
        <v>52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T987" t="str">
        <f t="shared" si="52"/>
        <v>040150202310</v>
      </c>
      <c r="U987">
        <f t="shared" si="53"/>
        <v>0</v>
      </c>
    </row>
    <row r="988" spans="1:21" x14ac:dyDescent="0.35">
      <c r="A988">
        <v>2023</v>
      </c>
      <c r="B988" s="7" t="s">
        <v>99</v>
      </c>
      <c r="C988" s="6" t="s">
        <v>108</v>
      </c>
      <c r="D988">
        <v>202310</v>
      </c>
      <c r="E988" s="11" t="s">
        <v>53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T988" t="str">
        <f t="shared" si="52"/>
        <v>040151202310</v>
      </c>
      <c r="U988">
        <f t="shared" si="53"/>
        <v>0</v>
      </c>
    </row>
    <row r="989" spans="1:21" x14ac:dyDescent="0.35">
      <c r="A989">
        <v>2023</v>
      </c>
      <c r="B989" s="7" t="s">
        <v>99</v>
      </c>
      <c r="C989" s="6" t="s">
        <v>108</v>
      </c>
      <c r="D989">
        <v>202310</v>
      </c>
      <c r="E989" s="11" t="s">
        <v>54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T989" t="str">
        <f t="shared" si="52"/>
        <v>040152202310</v>
      </c>
      <c r="U989">
        <f t="shared" si="53"/>
        <v>0</v>
      </c>
    </row>
    <row r="990" spans="1:21" x14ac:dyDescent="0.35">
      <c r="A990">
        <v>2023</v>
      </c>
      <c r="B990" s="7" t="s">
        <v>99</v>
      </c>
      <c r="C990" s="6" t="s">
        <v>108</v>
      </c>
      <c r="D990">
        <v>202310</v>
      </c>
      <c r="E990" s="11" t="s">
        <v>55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1.33979698</v>
      </c>
      <c r="M990">
        <v>1.33979698</v>
      </c>
      <c r="N990">
        <v>0</v>
      </c>
      <c r="O990">
        <v>0</v>
      </c>
      <c r="P990">
        <v>0</v>
      </c>
      <c r="Q990">
        <v>0</v>
      </c>
      <c r="R990">
        <v>0</v>
      </c>
      <c r="T990" t="str">
        <f t="shared" si="52"/>
        <v>040154202310</v>
      </c>
      <c r="U990">
        <f t="shared" si="53"/>
        <v>0</v>
      </c>
    </row>
    <row r="991" spans="1:21" x14ac:dyDescent="0.35">
      <c r="A991">
        <v>2023</v>
      </c>
      <c r="B991" s="7" t="s">
        <v>99</v>
      </c>
      <c r="C991" s="6" t="s">
        <v>108</v>
      </c>
      <c r="D991">
        <v>202310</v>
      </c>
      <c r="E991" s="11" t="s">
        <v>56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T991" t="str">
        <f t="shared" si="52"/>
        <v>040155202310</v>
      </c>
      <c r="U991">
        <f t="shared" si="53"/>
        <v>0</v>
      </c>
    </row>
    <row r="992" spans="1:21" x14ac:dyDescent="0.35">
      <c r="A992">
        <v>2023</v>
      </c>
      <c r="B992" s="7" t="s">
        <v>99</v>
      </c>
      <c r="C992" s="6" t="s">
        <v>108</v>
      </c>
      <c r="D992">
        <v>202310</v>
      </c>
      <c r="E992" s="11" t="s">
        <v>57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T992" t="str">
        <f t="shared" si="52"/>
        <v>040156202310</v>
      </c>
      <c r="U992">
        <f t="shared" si="53"/>
        <v>0</v>
      </c>
    </row>
    <row r="993" spans="1:21" x14ac:dyDescent="0.35">
      <c r="A993">
        <v>2023</v>
      </c>
      <c r="B993" s="7" t="s">
        <v>99</v>
      </c>
      <c r="C993" s="6" t="s">
        <v>108</v>
      </c>
      <c r="D993">
        <v>202310</v>
      </c>
      <c r="E993" s="11" t="s">
        <v>58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T993" t="str">
        <f t="shared" si="52"/>
        <v>040157202310</v>
      </c>
      <c r="U993">
        <f t="shared" si="53"/>
        <v>0</v>
      </c>
    </row>
    <row r="994" spans="1:21" x14ac:dyDescent="0.35">
      <c r="A994">
        <v>2023</v>
      </c>
      <c r="B994" s="7" t="s">
        <v>99</v>
      </c>
      <c r="C994" s="6" t="s">
        <v>108</v>
      </c>
      <c r="D994">
        <v>202310</v>
      </c>
      <c r="E994" s="11" t="s">
        <v>59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T994" t="str">
        <f t="shared" si="52"/>
        <v>040158202310</v>
      </c>
      <c r="U994">
        <f t="shared" si="53"/>
        <v>0</v>
      </c>
    </row>
    <row r="995" spans="1:21" x14ac:dyDescent="0.35">
      <c r="A995">
        <v>2023</v>
      </c>
      <c r="B995" s="7" t="s">
        <v>99</v>
      </c>
      <c r="C995" s="6" t="s">
        <v>108</v>
      </c>
      <c r="D995">
        <v>202310</v>
      </c>
      <c r="E995" s="11" t="s">
        <v>60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T995" t="str">
        <f t="shared" si="52"/>
        <v>040159202310</v>
      </c>
      <c r="U995">
        <f t="shared" si="53"/>
        <v>0</v>
      </c>
    </row>
    <row r="996" spans="1:21" x14ac:dyDescent="0.35">
      <c r="A996">
        <v>2023</v>
      </c>
      <c r="B996" s="7" t="s">
        <v>99</v>
      </c>
      <c r="C996" s="6" t="s">
        <v>108</v>
      </c>
      <c r="D996">
        <v>202310</v>
      </c>
      <c r="E996" s="11" t="s">
        <v>63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T996" t="str">
        <f t="shared" si="52"/>
        <v>040160202310</v>
      </c>
      <c r="U996">
        <f t="shared" si="53"/>
        <v>0</v>
      </c>
    </row>
    <row r="997" spans="1:21" x14ac:dyDescent="0.35">
      <c r="A997">
        <v>2023</v>
      </c>
      <c r="B997" s="7" t="s">
        <v>99</v>
      </c>
      <c r="C997" s="6" t="s">
        <v>108</v>
      </c>
      <c r="D997">
        <v>202310</v>
      </c>
      <c r="E997" s="11" t="s">
        <v>61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T997" t="str">
        <f t="shared" si="52"/>
        <v>040162202310</v>
      </c>
      <c r="U997">
        <f t="shared" si="53"/>
        <v>0</v>
      </c>
    </row>
    <row r="998" spans="1:21" x14ac:dyDescent="0.35">
      <c r="A998">
        <v>2023</v>
      </c>
      <c r="B998" s="9" t="s">
        <v>109</v>
      </c>
      <c r="C998" s="6" t="s">
        <v>110</v>
      </c>
      <c r="D998">
        <v>202311</v>
      </c>
      <c r="E998" s="11">
        <v>5</v>
      </c>
      <c r="F998">
        <v>1662.16416331</v>
      </c>
      <c r="G998">
        <v>1658.6955817600001</v>
      </c>
      <c r="H998">
        <v>3.3882780499999998</v>
      </c>
      <c r="I998">
        <v>9257.3124807299992</v>
      </c>
      <c r="J998">
        <v>502.95399723000003</v>
      </c>
      <c r="K998">
        <v>74.665563779999999</v>
      </c>
      <c r="L998">
        <v>2.17E-6</v>
      </c>
      <c r="M998">
        <v>2.17E-6</v>
      </c>
      <c r="N998">
        <v>0</v>
      </c>
      <c r="O998">
        <v>0</v>
      </c>
      <c r="P998">
        <v>71.427401970000005</v>
      </c>
      <c r="Q998">
        <v>42.688234100000003</v>
      </c>
      <c r="R998">
        <v>204.83980700000001</v>
      </c>
      <c r="T998" t="str">
        <f t="shared" ref="T998:T1061" si="54">+E998&amp;D998</f>
        <v>5202311</v>
      </c>
      <c r="U998">
        <f t="shared" ref="U998:U1061" si="55">+F998+I998+J998</f>
        <v>11422.430641270001</v>
      </c>
    </row>
    <row r="999" spans="1:21" x14ac:dyDescent="0.35">
      <c r="A999">
        <v>2023</v>
      </c>
      <c r="B999" s="9" t="s">
        <v>109</v>
      </c>
      <c r="C999" s="6" t="s">
        <v>110</v>
      </c>
      <c r="D999">
        <v>202311</v>
      </c>
      <c r="E999" s="11" t="s">
        <v>19</v>
      </c>
      <c r="F999">
        <v>630.31291550000003</v>
      </c>
      <c r="G999">
        <v>630.31291550000003</v>
      </c>
      <c r="H999">
        <v>0</v>
      </c>
      <c r="I999">
        <v>406.00250483999997</v>
      </c>
      <c r="J999">
        <v>54.029752389999999</v>
      </c>
      <c r="K999">
        <v>74.665563779999999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T999" t="str">
        <f t="shared" si="54"/>
        <v>040002202311</v>
      </c>
      <c r="U999">
        <f t="shared" si="55"/>
        <v>1090.3451727299998</v>
      </c>
    </row>
    <row r="1000" spans="1:21" x14ac:dyDescent="0.35">
      <c r="A1000">
        <v>2023</v>
      </c>
      <c r="B1000" s="9" t="s">
        <v>109</v>
      </c>
      <c r="C1000" s="6" t="s">
        <v>110</v>
      </c>
      <c r="D1000">
        <v>202311</v>
      </c>
      <c r="E1000" s="11" t="s">
        <v>20</v>
      </c>
      <c r="F1000">
        <v>200.41127402000001</v>
      </c>
      <c r="G1000">
        <v>200.25458381000001</v>
      </c>
      <c r="H1000">
        <v>7.6574490000000009E-2</v>
      </c>
      <c r="I1000">
        <v>3335.57310904</v>
      </c>
      <c r="J1000">
        <v>165.13213221999999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T1000" t="str">
        <f t="shared" si="54"/>
        <v>040012202311</v>
      </c>
      <c r="U1000">
        <f t="shared" si="55"/>
        <v>3701.1165152799999</v>
      </c>
    </row>
    <row r="1001" spans="1:21" x14ac:dyDescent="0.35">
      <c r="A1001">
        <v>2023</v>
      </c>
      <c r="B1001" s="9" t="s">
        <v>109</v>
      </c>
      <c r="C1001" s="6" t="s">
        <v>110</v>
      </c>
      <c r="D1001">
        <v>202311</v>
      </c>
      <c r="E1001" s="11" t="s">
        <v>21</v>
      </c>
      <c r="F1001">
        <v>237.271207</v>
      </c>
      <c r="G1001">
        <v>237.271207</v>
      </c>
      <c r="H1001">
        <v>0</v>
      </c>
      <c r="I1001">
        <v>1437.814656</v>
      </c>
      <c r="J1001">
        <v>43.758530999999998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T1001" t="str">
        <f t="shared" si="54"/>
        <v>040014202311</v>
      </c>
      <c r="U1001">
        <f t="shared" si="55"/>
        <v>1718.844394</v>
      </c>
    </row>
    <row r="1002" spans="1:21" x14ac:dyDescent="0.35">
      <c r="A1002">
        <v>2023</v>
      </c>
      <c r="B1002" s="9" t="s">
        <v>109</v>
      </c>
      <c r="C1002" s="6" t="s">
        <v>110</v>
      </c>
      <c r="D1002">
        <v>202311</v>
      </c>
      <c r="E1002" s="11" t="s">
        <v>22</v>
      </c>
      <c r="F1002">
        <v>114.865165</v>
      </c>
      <c r="G1002">
        <v>114.865165</v>
      </c>
      <c r="H1002">
        <v>0</v>
      </c>
      <c r="I1002">
        <v>884.46882100000005</v>
      </c>
      <c r="J1002">
        <v>28.851562999999999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48.703305</v>
      </c>
      <c r="Q1002">
        <v>19.714801999999999</v>
      </c>
      <c r="R1002">
        <v>0</v>
      </c>
      <c r="T1002" t="str">
        <f t="shared" si="54"/>
        <v>040021202311</v>
      </c>
      <c r="U1002">
        <f t="shared" si="55"/>
        <v>1028.185549</v>
      </c>
    </row>
    <row r="1003" spans="1:21" x14ac:dyDescent="0.35">
      <c r="A1003">
        <v>2023</v>
      </c>
      <c r="B1003" s="9" t="s">
        <v>109</v>
      </c>
      <c r="C1003" s="6" t="s">
        <v>110</v>
      </c>
      <c r="D1003">
        <v>202311</v>
      </c>
      <c r="E1003" s="11" t="s">
        <v>23</v>
      </c>
      <c r="F1003">
        <v>11.194830550000001</v>
      </c>
      <c r="G1003">
        <v>11.194830550000001</v>
      </c>
      <c r="H1003">
        <v>0</v>
      </c>
      <c r="I1003">
        <v>36.519688939999995</v>
      </c>
      <c r="J1003">
        <v>5.6176600300000006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0.5849143</v>
      </c>
      <c r="R1003">
        <v>0</v>
      </c>
      <c r="T1003" t="str">
        <f t="shared" si="54"/>
        <v>040030202311</v>
      </c>
      <c r="U1003">
        <f t="shared" si="55"/>
        <v>53.332179519999997</v>
      </c>
    </row>
    <row r="1004" spans="1:21" x14ac:dyDescent="0.35">
      <c r="A1004">
        <v>2023</v>
      </c>
      <c r="B1004" s="9" t="s">
        <v>109</v>
      </c>
      <c r="C1004" s="6" t="s">
        <v>110</v>
      </c>
      <c r="D1004">
        <v>202311</v>
      </c>
      <c r="E1004" s="11" t="s">
        <v>24</v>
      </c>
      <c r="F1004">
        <v>0</v>
      </c>
      <c r="G1004">
        <v>0</v>
      </c>
      <c r="H1004">
        <v>0</v>
      </c>
      <c r="I1004">
        <v>7.0448899999999997</v>
      </c>
      <c r="J1004">
        <v>4.0629999999999999E-2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T1004" t="str">
        <f t="shared" si="54"/>
        <v>040036202311</v>
      </c>
      <c r="U1004">
        <f t="shared" si="55"/>
        <v>7.0855199999999998</v>
      </c>
    </row>
    <row r="1005" spans="1:21" x14ac:dyDescent="0.35">
      <c r="A1005">
        <v>2023</v>
      </c>
      <c r="B1005" s="9" t="s">
        <v>109</v>
      </c>
      <c r="C1005" s="6" t="s">
        <v>110</v>
      </c>
      <c r="D1005">
        <v>202311</v>
      </c>
      <c r="E1005" s="11" t="s">
        <v>25</v>
      </c>
      <c r="F1005">
        <v>11.05</v>
      </c>
      <c r="G1005">
        <v>11.05</v>
      </c>
      <c r="H1005">
        <v>0</v>
      </c>
      <c r="I1005">
        <v>1.4730399999999999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T1005" t="str">
        <f t="shared" si="54"/>
        <v>040042202311</v>
      </c>
      <c r="U1005">
        <f t="shared" si="55"/>
        <v>12.52304</v>
      </c>
    </row>
    <row r="1006" spans="1:21" x14ac:dyDescent="0.35">
      <c r="A1006">
        <v>2023</v>
      </c>
      <c r="B1006" s="9" t="s">
        <v>109</v>
      </c>
      <c r="C1006" s="6" t="s">
        <v>110</v>
      </c>
      <c r="D1006">
        <v>202311</v>
      </c>
      <c r="E1006" s="11" t="s">
        <v>26</v>
      </c>
      <c r="F1006">
        <v>79.377405999999993</v>
      </c>
      <c r="G1006">
        <v>79.377405999999993</v>
      </c>
      <c r="H1006">
        <v>0</v>
      </c>
      <c r="I1006">
        <v>156.77121500000001</v>
      </c>
      <c r="J1006">
        <v>14.67183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10.851616999999999</v>
      </c>
      <c r="Q1006">
        <v>22.288962999999999</v>
      </c>
      <c r="R1006">
        <v>0</v>
      </c>
      <c r="T1006" t="str">
        <f t="shared" si="54"/>
        <v>040044202311</v>
      </c>
      <c r="U1006">
        <f t="shared" si="55"/>
        <v>250.82045099999999</v>
      </c>
    </row>
    <row r="1007" spans="1:21" x14ac:dyDescent="0.35">
      <c r="A1007">
        <v>2023</v>
      </c>
      <c r="B1007" s="9" t="s">
        <v>109</v>
      </c>
      <c r="C1007" s="6" t="s">
        <v>110</v>
      </c>
      <c r="D1007">
        <v>202311</v>
      </c>
      <c r="E1007" s="11" t="s">
        <v>27</v>
      </c>
      <c r="F1007">
        <v>15.89615667</v>
      </c>
      <c r="G1007">
        <v>15.89615667</v>
      </c>
      <c r="H1007">
        <v>0</v>
      </c>
      <c r="I1007">
        <v>141.75704922</v>
      </c>
      <c r="J1007">
        <v>0.99464970999999991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T1007" t="str">
        <f t="shared" si="54"/>
        <v>040058202311</v>
      </c>
      <c r="U1007">
        <f t="shared" si="55"/>
        <v>158.64785560000001</v>
      </c>
    </row>
    <row r="1008" spans="1:21" x14ac:dyDescent="0.35">
      <c r="A1008">
        <v>2023</v>
      </c>
      <c r="B1008" s="9" t="s">
        <v>109</v>
      </c>
      <c r="C1008" s="6" t="s">
        <v>110</v>
      </c>
      <c r="D1008">
        <v>202311</v>
      </c>
      <c r="E1008" s="11" t="s">
        <v>28</v>
      </c>
      <c r="F1008">
        <v>0</v>
      </c>
      <c r="G1008">
        <v>0</v>
      </c>
      <c r="H1008">
        <v>0</v>
      </c>
      <c r="I1008">
        <v>140.719582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T1008" t="str">
        <f t="shared" si="54"/>
        <v>040059202311</v>
      </c>
      <c r="U1008">
        <f t="shared" si="55"/>
        <v>140.719582</v>
      </c>
    </row>
    <row r="1009" spans="1:21" x14ac:dyDescent="0.35">
      <c r="A1009">
        <v>2023</v>
      </c>
      <c r="B1009" s="9" t="s">
        <v>109</v>
      </c>
      <c r="C1009" s="6" t="s">
        <v>110</v>
      </c>
      <c r="D1009">
        <v>202311</v>
      </c>
      <c r="E1009" s="11" t="s">
        <v>62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T1009" t="str">
        <f t="shared" si="54"/>
        <v>040060202311</v>
      </c>
      <c r="U1009">
        <f t="shared" si="55"/>
        <v>0</v>
      </c>
    </row>
    <row r="1010" spans="1:21" x14ac:dyDescent="0.35">
      <c r="A1010">
        <v>2023</v>
      </c>
      <c r="B1010" s="9" t="s">
        <v>109</v>
      </c>
      <c r="C1010" s="6" t="s">
        <v>110</v>
      </c>
      <c r="D1010">
        <v>202311</v>
      </c>
      <c r="E1010" s="11" t="s">
        <v>29</v>
      </c>
      <c r="F1010">
        <v>4.1809999999999998E-3</v>
      </c>
      <c r="G1010">
        <v>4.1809999999999998E-3</v>
      </c>
      <c r="H1010">
        <v>0</v>
      </c>
      <c r="I1010">
        <v>153.235015</v>
      </c>
      <c r="J1010">
        <v>7.4398000000000006E-2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T1010" t="str">
        <f t="shared" si="54"/>
        <v>040062202311</v>
      </c>
      <c r="U1010">
        <f t="shared" si="55"/>
        <v>153.31359399999999</v>
      </c>
    </row>
    <row r="1011" spans="1:21" x14ac:dyDescent="0.35">
      <c r="A1011">
        <v>2023</v>
      </c>
      <c r="B1011" s="9" t="s">
        <v>109</v>
      </c>
      <c r="C1011" s="6" t="s">
        <v>110</v>
      </c>
      <c r="D1011">
        <v>202311</v>
      </c>
      <c r="E1011" s="11" t="s">
        <v>30</v>
      </c>
      <c r="F1011">
        <v>131.84552629000001</v>
      </c>
      <c r="G1011">
        <v>131.84533851</v>
      </c>
      <c r="H1011">
        <v>0</v>
      </c>
      <c r="I1011">
        <v>1231.4914172700001</v>
      </c>
      <c r="J1011">
        <v>164.21511036999999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T1011" t="str">
        <f t="shared" si="54"/>
        <v>040072202311</v>
      </c>
      <c r="U1011">
        <f t="shared" si="55"/>
        <v>1527.5520539300001</v>
      </c>
    </row>
    <row r="1012" spans="1:21" x14ac:dyDescent="0.35">
      <c r="A1012">
        <v>2023</v>
      </c>
      <c r="B1012" s="9" t="s">
        <v>109</v>
      </c>
      <c r="C1012" s="6" t="s">
        <v>110</v>
      </c>
      <c r="D1012">
        <v>202311</v>
      </c>
      <c r="E1012" s="11" t="s">
        <v>31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T1012" t="str">
        <f t="shared" si="54"/>
        <v>040106202311</v>
      </c>
      <c r="U1012">
        <f t="shared" si="55"/>
        <v>0</v>
      </c>
    </row>
    <row r="1013" spans="1:21" x14ac:dyDescent="0.35">
      <c r="A1013">
        <v>2023</v>
      </c>
      <c r="B1013" s="9" t="s">
        <v>109</v>
      </c>
      <c r="C1013" s="6" t="s">
        <v>110</v>
      </c>
      <c r="D1013">
        <v>202311</v>
      </c>
      <c r="E1013" s="11" t="s">
        <v>32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T1013" t="str">
        <f t="shared" si="54"/>
        <v>040108202311</v>
      </c>
      <c r="U1013">
        <f t="shared" si="55"/>
        <v>0</v>
      </c>
    </row>
    <row r="1014" spans="1:21" x14ac:dyDescent="0.35">
      <c r="A1014">
        <v>2023</v>
      </c>
      <c r="B1014" s="9" t="s">
        <v>109</v>
      </c>
      <c r="C1014" s="6" t="s">
        <v>110</v>
      </c>
      <c r="D1014">
        <v>202311</v>
      </c>
      <c r="E1014" s="11" t="s">
        <v>33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T1014" t="str">
        <f t="shared" si="54"/>
        <v>040110202311</v>
      </c>
      <c r="U1014">
        <f t="shared" si="55"/>
        <v>0</v>
      </c>
    </row>
    <row r="1015" spans="1:21" x14ac:dyDescent="0.35">
      <c r="A1015">
        <v>2023</v>
      </c>
      <c r="B1015" s="9" t="s">
        <v>109</v>
      </c>
      <c r="C1015" s="6" t="s">
        <v>110</v>
      </c>
      <c r="D1015">
        <v>202311</v>
      </c>
      <c r="E1015" s="11" t="s">
        <v>34</v>
      </c>
      <c r="F1015">
        <v>2.45257506</v>
      </c>
      <c r="G1015">
        <v>2.4158930699999996</v>
      </c>
      <c r="H1015">
        <v>3.6681989999999998E-2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T1015" t="str">
        <f t="shared" si="54"/>
        <v>040112202311</v>
      </c>
      <c r="U1015">
        <f t="shared" si="55"/>
        <v>2.45257506</v>
      </c>
    </row>
    <row r="1016" spans="1:21" x14ac:dyDescent="0.35">
      <c r="A1016">
        <v>2023</v>
      </c>
      <c r="B1016" s="9" t="s">
        <v>109</v>
      </c>
      <c r="C1016" s="6" t="s">
        <v>110</v>
      </c>
      <c r="D1016">
        <v>202311</v>
      </c>
      <c r="E1016" s="11" t="s">
        <v>35</v>
      </c>
      <c r="F1016">
        <v>216.78443899999999</v>
      </c>
      <c r="G1016">
        <v>216.78443899999999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T1016" t="str">
        <f t="shared" si="54"/>
        <v>040113202311</v>
      </c>
      <c r="U1016">
        <f t="shared" si="55"/>
        <v>216.78443899999999</v>
      </c>
    </row>
    <row r="1017" spans="1:21" x14ac:dyDescent="0.35">
      <c r="A1017">
        <v>2023</v>
      </c>
      <c r="B1017" s="9" t="s">
        <v>109</v>
      </c>
      <c r="C1017" s="6" t="s">
        <v>110</v>
      </c>
      <c r="D1017">
        <v>202311</v>
      </c>
      <c r="E1017" s="11" t="s">
        <v>37</v>
      </c>
      <c r="F1017">
        <v>0</v>
      </c>
      <c r="G1017">
        <v>0</v>
      </c>
      <c r="H1017">
        <v>0</v>
      </c>
      <c r="I1017">
        <v>984.67491126999994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T1017" t="str">
        <f t="shared" si="54"/>
        <v>040127202311</v>
      </c>
      <c r="U1017">
        <f t="shared" si="55"/>
        <v>984.67491126999994</v>
      </c>
    </row>
    <row r="1018" spans="1:21" x14ac:dyDescent="0.35">
      <c r="A1018">
        <v>2023</v>
      </c>
      <c r="B1018" s="9" t="s">
        <v>109</v>
      </c>
      <c r="C1018" s="6" t="s">
        <v>110</v>
      </c>
      <c r="D1018">
        <v>202311</v>
      </c>
      <c r="E1018" s="11" t="s">
        <v>38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T1018" t="str">
        <f t="shared" si="54"/>
        <v>040128202311</v>
      </c>
      <c r="U1018">
        <f t="shared" si="55"/>
        <v>0</v>
      </c>
    </row>
    <row r="1019" spans="1:21" x14ac:dyDescent="0.35">
      <c r="A1019">
        <v>2023</v>
      </c>
      <c r="B1019" s="9" t="s">
        <v>109</v>
      </c>
      <c r="C1019" s="6" t="s">
        <v>110</v>
      </c>
      <c r="D1019">
        <v>202311</v>
      </c>
      <c r="E1019" s="11" t="s">
        <v>39</v>
      </c>
      <c r="F1019">
        <v>0</v>
      </c>
      <c r="G1019">
        <v>0</v>
      </c>
      <c r="H1019">
        <v>0</v>
      </c>
      <c r="I1019">
        <v>283.45094599999999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6.454853</v>
      </c>
      <c r="Q1019">
        <v>0</v>
      </c>
      <c r="R1019">
        <v>0</v>
      </c>
      <c r="T1019" t="str">
        <f t="shared" si="54"/>
        <v>040130202311</v>
      </c>
      <c r="U1019">
        <f t="shared" si="55"/>
        <v>283.45094599999999</v>
      </c>
    </row>
    <row r="1020" spans="1:21" x14ac:dyDescent="0.35">
      <c r="A1020">
        <v>2023</v>
      </c>
      <c r="B1020" s="9" t="s">
        <v>109</v>
      </c>
      <c r="C1020" s="6" t="s">
        <v>110</v>
      </c>
      <c r="D1020">
        <v>202311</v>
      </c>
      <c r="E1020" s="11" t="s">
        <v>40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T1020" t="str">
        <f t="shared" si="54"/>
        <v>040132202311</v>
      </c>
      <c r="U1020">
        <f t="shared" si="55"/>
        <v>0</v>
      </c>
    </row>
    <row r="1021" spans="1:21" x14ac:dyDescent="0.35">
      <c r="A1021">
        <v>2023</v>
      </c>
      <c r="B1021" s="9" t="s">
        <v>109</v>
      </c>
      <c r="C1021" s="6" t="s">
        <v>110</v>
      </c>
      <c r="D1021">
        <v>202311</v>
      </c>
      <c r="E1021" s="11" t="s">
        <v>41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T1021" t="str">
        <f t="shared" si="54"/>
        <v>040133202311</v>
      </c>
      <c r="U1021">
        <f t="shared" si="55"/>
        <v>0</v>
      </c>
    </row>
    <row r="1022" spans="1:21" x14ac:dyDescent="0.35">
      <c r="A1022">
        <v>2023</v>
      </c>
      <c r="B1022" s="9" t="s">
        <v>109</v>
      </c>
      <c r="C1022" s="6" t="s">
        <v>110</v>
      </c>
      <c r="D1022">
        <v>202311</v>
      </c>
      <c r="E1022" s="11" t="s">
        <v>42</v>
      </c>
      <c r="F1022">
        <v>5.3704599999999996</v>
      </c>
      <c r="G1022">
        <v>5.3704599999999996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T1022" t="str">
        <f t="shared" si="54"/>
        <v>040136202311</v>
      </c>
      <c r="U1022">
        <f t="shared" si="55"/>
        <v>5.3704599999999996</v>
      </c>
    </row>
    <row r="1023" spans="1:21" x14ac:dyDescent="0.35">
      <c r="A1023">
        <v>2023</v>
      </c>
      <c r="B1023" s="9" t="s">
        <v>109</v>
      </c>
      <c r="C1023" s="6" t="s">
        <v>110</v>
      </c>
      <c r="D1023">
        <v>202311</v>
      </c>
      <c r="E1023" s="11" t="s">
        <v>43</v>
      </c>
      <c r="F1023">
        <v>0</v>
      </c>
      <c r="G1023">
        <v>0</v>
      </c>
      <c r="H1023">
        <v>0</v>
      </c>
      <c r="I1023">
        <v>9.4568407899999993</v>
      </c>
      <c r="J1023">
        <v>0.69368756999999992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T1023" t="str">
        <f t="shared" si="54"/>
        <v>040137202311</v>
      </c>
      <c r="U1023">
        <f t="shared" si="55"/>
        <v>10.150528359999999</v>
      </c>
    </row>
    <row r="1024" spans="1:21" x14ac:dyDescent="0.35">
      <c r="A1024">
        <v>2023</v>
      </c>
      <c r="B1024" s="9" t="s">
        <v>109</v>
      </c>
      <c r="C1024" s="6" t="s">
        <v>110</v>
      </c>
      <c r="D1024">
        <v>202311</v>
      </c>
      <c r="E1024" s="11" t="s">
        <v>44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T1024" t="str">
        <f t="shared" si="54"/>
        <v>040138202311</v>
      </c>
      <c r="U1024">
        <f t="shared" si="55"/>
        <v>0</v>
      </c>
    </row>
    <row r="1025" spans="1:21" x14ac:dyDescent="0.35">
      <c r="A1025">
        <v>2023</v>
      </c>
      <c r="B1025" s="9" t="s">
        <v>109</v>
      </c>
      <c r="C1025" s="6" t="s">
        <v>110</v>
      </c>
      <c r="D1025">
        <v>202311</v>
      </c>
      <c r="E1025" s="11" t="s">
        <v>45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T1025" t="str">
        <f t="shared" si="54"/>
        <v>040139202311</v>
      </c>
      <c r="U1025">
        <f t="shared" si="55"/>
        <v>0</v>
      </c>
    </row>
    <row r="1026" spans="1:21" x14ac:dyDescent="0.35">
      <c r="A1026">
        <v>2023</v>
      </c>
      <c r="B1026" s="9" t="s">
        <v>109</v>
      </c>
      <c r="C1026" s="6" t="s">
        <v>110</v>
      </c>
      <c r="D1026">
        <v>202311</v>
      </c>
      <c r="E1026" s="11" t="s">
        <v>46</v>
      </c>
      <c r="F1026">
        <v>0</v>
      </c>
      <c r="G1026">
        <v>0</v>
      </c>
      <c r="H1026">
        <v>0</v>
      </c>
      <c r="I1026">
        <v>26.236032000000002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T1026" t="str">
        <f t="shared" si="54"/>
        <v>040140202311</v>
      </c>
      <c r="U1026">
        <f t="shared" si="55"/>
        <v>26.236032000000002</v>
      </c>
    </row>
    <row r="1027" spans="1:21" x14ac:dyDescent="0.35">
      <c r="A1027">
        <v>2023</v>
      </c>
      <c r="B1027" s="9" t="s">
        <v>109</v>
      </c>
      <c r="C1027" s="6" t="s">
        <v>110</v>
      </c>
      <c r="D1027">
        <v>202311</v>
      </c>
      <c r="E1027" s="11" t="s">
        <v>47</v>
      </c>
      <c r="F1027">
        <v>0</v>
      </c>
      <c r="G1027">
        <v>0</v>
      </c>
      <c r="H1027">
        <v>0</v>
      </c>
      <c r="I1027">
        <v>13.367203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T1027" t="str">
        <f t="shared" si="54"/>
        <v>040141202311</v>
      </c>
      <c r="U1027">
        <f t="shared" si="55"/>
        <v>13.367203</v>
      </c>
    </row>
    <row r="1028" spans="1:21" x14ac:dyDescent="0.35">
      <c r="A1028">
        <v>2023</v>
      </c>
      <c r="B1028" s="9" t="s">
        <v>109</v>
      </c>
      <c r="C1028" s="6" t="s">
        <v>110</v>
      </c>
      <c r="D1028">
        <v>202311</v>
      </c>
      <c r="E1028" s="11" t="s">
        <v>48</v>
      </c>
      <c r="F1028">
        <v>5.3280272200000001</v>
      </c>
      <c r="G1028">
        <v>2.0530056499999998</v>
      </c>
      <c r="H1028">
        <v>3.2750215699999998</v>
      </c>
      <c r="I1028">
        <v>2.1062853599999998</v>
      </c>
      <c r="J1028">
        <v>24.874052940000002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5.3831059699999999</v>
      </c>
      <c r="Q1028">
        <v>9.9554799999999999E-2</v>
      </c>
      <c r="R1028">
        <v>0</v>
      </c>
      <c r="T1028" t="str">
        <f t="shared" si="54"/>
        <v>040143202311</v>
      </c>
      <c r="U1028">
        <f t="shared" si="55"/>
        <v>32.308365520000002</v>
      </c>
    </row>
    <row r="1029" spans="1:21" x14ac:dyDescent="0.35">
      <c r="A1029">
        <v>2023</v>
      </c>
      <c r="B1029" s="9" t="s">
        <v>109</v>
      </c>
      <c r="C1029" s="6" t="s">
        <v>110</v>
      </c>
      <c r="D1029">
        <v>202311</v>
      </c>
      <c r="E1029" s="11" t="s">
        <v>49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T1029" t="str">
        <f t="shared" si="54"/>
        <v>040145202311</v>
      </c>
      <c r="U1029">
        <f t="shared" si="55"/>
        <v>0</v>
      </c>
    </row>
    <row r="1030" spans="1:21" x14ac:dyDescent="0.35">
      <c r="A1030">
        <v>2023</v>
      </c>
      <c r="B1030" s="9" t="s">
        <v>109</v>
      </c>
      <c r="C1030" s="6" t="s">
        <v>110</v>
      </c>
      <c r="D1030">
        <v>202311</v>
      </c>
      <c r="E1030" s="11" t="s">
        <v>50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T1030" t="str">
        <f t="shared" si="54"/>
        <v>040147202311</v>
      </c>
      <c r="U1030">
        <f t="shared" si="55"/>
        <v>0</v>
      </c>
    </row>
    <row r="1031" spans="1:21" x14ac:dyDescent="0.35">
      <c r="A1031">
        <v>2023</v>
      </c>
      <c r="B1031" s="9" t="s">
        <v>109</v>
      </c>
      <c r="C1031" s="6" t="s">
        <v>110</v>
      </c>
      <c r="D1031">
        <v>202311</v>
      </c>
      <c r="E1031" s="11" t="s">
        <v>51</v>
      </c>
      <c r="F1031">
        <v>0</v>
      </c>
      <c r="G1031">
        <v>0</v>
      </c>
      <c r="H1031">
        <v>0</v>
      </c>
      <c r="I1031">
        <v>5.1492740000000001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3.4521000000000003E-2</v>
      </c>
      <c r="Q1031">
        <v>0</v>
      </c>
      <c r="R1031">
        <v>0</v>
      </c>
      <c r="T1031" t="str">
        <f t="shared" si="54"/>
        <v>040149202311</v>
      </c>
      <c r="U1031">
        <f t="shared" si="55"/>
        <v>5.1492740000000001</v>
      </c>
    </row>
    <row r="1032" spans="1:21" x14ac:dyDescent="0.35">
      <c r="A1032">
        <v>2023</v>
      </c>
      <c r="B1032" s="9" t="s">
        <v>109</v>
      </c>
      <c r="C1032" s="6" t="s">
        <v>110</v>
      </c>
      <c r="D1032">
        <v>202311</v>
      </c>
      <c r="E1032" s="11" t="s">
        <v>52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T1032" t="str">
        <f t="shared" si="54"/>
        <v>040150202311</v>
      </c>
      <c r="U1032">
        <f t="shared" si="55"/>
        <v>0</v>
      </c>
    </row>
    <row r="1033" spans="1:21" x14ac:dyDescent="0.35">
      <c r="A1033">
        <v>2023</v>
      </c>
      <c r="B1033" s="9" t="s">
        <v>109</v>
      </c>
      <c r="C1033" s="6" t="s">
        <v>110</v>
      </c>
      <c r="D1033">
        <v>202311</v>
      </c>
      <c r="E1033" s="11" t="s">
        <v>53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T1033" t="str">
        <f t="shared" si="54"/>
        <v>040151202311</v>
      </c>
      <c r="U1033">
        <f t="shared" si="55"/>
        <v>0</v>
      </c>
    </row>
    <row r="1034" spans="1:21" x14ac:dyDescent="0.35">
      <c r="A1034">
        <v>2023</v>
      </c>
      <c r="B1034" s="9" t="s">
        <v>109</v>
      </c>
      <c r="C1034" s="6" t="s">
        <v>110</v>
      </c>
      <c r="D1034">
        <v>202311</v>
      </c>
      <c r="E1034" s="11" t="s">
        <v>54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T1034" t="str">
        <f t="shared" si="54"/>
        <v>040152202311</v>
      </c>
      <c r="U1034">
        <f t="shared" si="55"/>
        <v>0</v>
      </c>
    </row>
    <row r="1035" spans="1:21" x14ac:dyDescent="0.35">
      <c r="A1035">
        <v>2023</v>
      </c>
      <c r="B1035" s="9" t="s">
        <v>109</v>
      </c>
      <c r="C1035" s="6" t="s">
        <v>110</v>
      </c>
      <c r="D1035">
        <v>202311</v>
      </c>
      <c r="E1035" s="11" t="s">
        <v>55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2.17E-6</v>
      </c>
      <c r="M1035">
        <v>2.17E-6</v>
      </c>
      <c r="N1035">
        <v>0</v>
      </c>
      <c r="O1035">
        <v>0</v>
      </c>
      <c r="P1035">
        <v>0</v>
      </c>
      <c r="Q1035">
        <v>0</v>
      </c>
      <c r="R1035">
        <v>0</v>
      </c>
      <c r="T1035" t="str">
        <f t="shared" si="54"/>
        <v>040154202311</v>
      </c>
      <c r="U1035">
        <f t="shared" si="55"/>
        <v>0</v>
      </c>
    </row>
    <row r="1036" spans="1:21" x14ac:dyDescent="0.35">
      <c r="A1036">
        <v>2023</v>
      </c>
      <c r="B1036" s="9" t="s">
        <v>109</v>
      </c>
      <c r="C1036" s="6" t="s">
        <v>110</v>
      </c>
      <c r="D1036">
        <v>202311</v>
      </c>
      <c r="E1036" s="11" t="s">
        <v>56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204.83980700000001</v>
      </c>
      <c r="T1036" t="str">
        <f t="shared" si="54"/>
        <v>040155202311</v>
      </c>
      <c r="U1036">
        <f t="shared" si="55"/>
        <v>0</v>
      </c>
    </row>
    <row r="1037" spans="1:21" x14ac:dyDescent="0.35">
      <c r="A1037">
        <v>2023</v>
      </c>
      <c r="B1037" s="9" t="s">
        <v>109</v>
      </c>
      <c r="C1037" s="6" t="s">
        <v>110</v>
      </c>
      <c r="D1037">
        <v>202311</v>
      </c>
      <c r="E1037" s="11" t="s">
        <v>57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T1037" t="str">
        <f t="shared" si="54"/>
        <v>040156202311</v>
      </c>
      <c r="U1037">
        <f t="shared" si="55"/>
        <v>0</v>
      </c>
    </row>
    <row r="1038" spans="1:21" x14ac:dyDescent="0.35">
      <c r="A1038">
        <v>2023</v>
      </c>
      <c r="B1038" s="9" t="s">
        <v>109</v>
      </c>
      <c r="C1038" s="6" t="s">
        <v>110</v>
      </c>
      <c r="D1038">
        <v>202311</v>
      </c>
      <c r="E1038" s="11" t="s">
        <v>58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T1038" t="str">
        <f t="shared" si="54"/>
        <v>040157202311</v>
      </c>
      <c r="U1038">
        <f t="shared" si="55"/>
        <v>0</v>
      </c>
    </row>
    <row r="1039" spans="1:21" x14ac:dyDescent="0.35">
      <c r="A1039">
        <v>2023</v>
      </c>
      <c r="B1039" s="9" t="s">
        <v>109</v>
      </c>
      <c r="C1039" s="6" t="s">
        <v>110</v>
      </c>
      <c r="D1039">
        <v>202311</v>
      </c>
      <c r="E1039" s="11" t="s">
        <v>59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T1039" t="str">
        <f t="shared" si="54"/>
        <v>040158202311</v>
      </c>
      <c r="U1039">
        <f t="shared" si="55"/>
        <v>0</v>
      </c>
    </row>
    <row r="1040" spans="1:21" x14ac:dyDescent="0.35">
      <c r="A1040">
        <v>2023</v>
      </c>
      <c r="B1040" s="9" t="s">
        <v>109</v>
      </c>
      <c r="C1040" s="6" t="s">
        <v>110</v>
      </c>
      <c r="D1040">
        <v>202311</v>
      </c>
      <c r="E1040" s="11" t="s">
        <v>60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T1040" t="str">
        <f t="shared" si="54"/>
        <v>040159202311</v>
      </c>
      <c r="U1040">
        <f t="shared" si="55"/>
        <v>0</v>
      </c>
    </row>
    <row r="1041" spans="1:21" x14ac:dyDescent="0.35">
      <c r="A1041">
        <v>2023</v>
      </c>
      <c r="B1041" s="9" t="s">
        <v>109</v>
      </c>
      <c r="C1041" s="6" t="s">
        <v>110</v>
      </c>
      <c r="D1041">
        <v>202311</v>
      </c>
      <c r="E1041" s="11" t="s">
        <v>63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T1041" t="str">
        <f t="shared" si="54"/>
        <v>040160202311</v>
      </c>
      <c r="U1041">
        <f t="shared" si="55"/>
        <v>0</v>
      </c>
    </row>
    <row r="1042" spans="1:21" x14ac:dyDescent="0.35">
      <c r="A1042">
        <v>2023</v>
      </c>
      <c r="B1042" s="9" t="s">
        <v>109</v>
      </c>
      <c r="C1042" s="6" t="s">
        <v>110</v>
      </c>
      <c r="D1042">
        <v>202311</v>
      </c>
      <c r="E1042" s="11" t="s">
        <v>61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T1042" t="str">
        <f t="shared" si="54"/>
        <v>040162202311</v>
      </c>
      <c r="U1042">
        <f t="shared" si="55"/>
        <v>0</v>
      </c>
    </row>
    <row r="1043" spans="1:21" x14ac:dyDescent="0.35">
      <c r="A1043">
        <v>2023</v>
      </c>
      <c r="B1043" s="9" t="s">
        <v>113</v>
      </c>
      <c r="C1043" s="6" t="s">
        <v>112</v>
      </c>
      <c r="D1043">
        <v>202312</v>
      </c>
      <c r="E1043" s="11">
        <v>5</v>
      </c>
      <c r="F1043">
        <v>5311.4058753100007</v>
      </c>
      <c r="G1043">
        <v>5309.2923912599999</v>
      </c>
      <c r="H1043">
        <v>2.0599052499999999</v>
      </c>
      <c r="I1043">
        <v>10592.404404370001</v>
      </c>
      <c r="J1043">
        <v>426.74102474</v>
      </c>
      <c r="K1043">
        <v>46.201079310000004</v>
      </c>
      <c r="L1043">
        <v>8.4286750000000001</v>
      </c>
      <c r="M1043">
        <v>8.4286750000000001</v>
      </c>
      <c r="N1043">
        <v>0</v>
      </c>
      <c r="O1043">
        <v>0</v>
      </c>
      <c r="P1043">
        <v>80.626243770000002</v>
      </c>
      <c r="Q1043">
        <v>38.676849070000003</v>
      </c>
      <c r="R1043">
        <v>0</v>
      </c>
      <c r="T1043" t="str">
        <f t="shared" si="54"/>
        <v>5202312</v>
      </c>
      <c r="U1043">
        <f t="shared" si="55"/>
        <v>16330.551304420002</v>
      </c>
    </row>
    <row r="1044" spans="1:21" x14ac:dyDescent="0.35">
      <c r="A1044">
        <v>2023</v>
      </c>
      <c r="B1044" s="9" t="s">
        <v>113</v>
      </c>
      <c r="C1044" s="6" t="s">
        <v>112</v>
      </c>
      <c r="D1044">
        <v>202312</v>
      </c>
      <c r="E1044" s="11" t="s">
        <v>19</v>
      </c>
      <c r="F1044">
        <v>141.40283198</v>
      </c>
      <c r="G1044">
        <v>141.40283198</v>
      </c>
      <c r="H1044">
        <v>0</v>
      </c>
      <c r="I1044">
        <v>358.61161002999995</v>
      </c>
      <c r="J1044">
        <v>81.550832150000005</v>
      </c>
      <c r="K1044">
        <v>46.201079310000004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T1044" t="str">
        <f t="shared" si="54"/>
        <v>040002202312</v>
      </c>
      <c r="U1044">
        <f t="shared" si="55"/>
        <v>581.56527415999994</v>
      </c>
    </row>
    <row r="1045" spans="1:21" x14ac:dyDescent="0.35">
      <c r="A1045">
        <v>2023</v>
      </c>
      <c r="B1045" s="9" t="s">
        <v>113</v>
      </c>
      <c r="C1045" s="6" t="s">
        <v>112</v>
      </c>
      <c r="D1045">
        <v>202312</v>
      </c>
      <c r="E1045" s="11" t="s">
        <v>20</v>
      </c>
      <c r="F1045">
        <v>180.59002544000001</v>
      </c>
      <c r="G1045">
        <v>180.46774904</v>
      </c>
      <c r="H1045">
        <v>6.8718130000000002E-2</v>
      </c>
      <c r="I1045">
        <v>3515.09737464</v>
      </c>
      <c r="J1045">
        <v>43.262554159999993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T1045" t="str">
        <f t="shared" si="54"/>
        <v>040012202312</v>
      </c>
      <c r="U1045">
        <f t="shared" si="55"/>
        <v>3738.9499542399999</v>
      </c>
    </row>
    <row r="1046" spans="1:21" x14ac:dyDescent="0.35">
      <c r="A1046">
        <v>2023</v>
      </c>
      <c r="B1046" s="9" t="s">
        <v>113</v>
      </c>
      <c r="C1046" s="6" t="s">
        <v>112</v>
      </c>
      <c r="D1046">
        <v>202312</v>
      </c>
      <c r="E1046" s="11" t="s">
        <v>21</v>
      </c>
      <c r="F1046">
        <v>650.12064599999997</v>
      </c>
      <c r="G1046">
        <v>650.12064599999997</v>
      </c>
      <c r="H1046">
        <v>0</v>
      </c>
      <c r="I1046">
        <v>2642.5705760000001</v>
      </c>
      <c r="J1046">
        <v>82.647255000000001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T1046" t="str">
        <f t="shared" si="54"/>
        <v>040014202312</v>
      </c>
      <c r="U1046">
        <f t="shared" si="55"/>
        <v>3375.3384769999998</v>
      </c>
    </row>
    <row r="1047" spans="1:21" x14ac:dyDescent="0.35">
      <c r="A1047">
        <v>2023</v>
      </c>
      <c r="B1047" s="9" t="s">
        <v>113</v>
      </c>
      <c r="C1047" s="6" t="s">
        <v>112</v>
      </c>
      <c r="D1047">
        <v>202312</v>
      </c>
      <c r="E1047" s="11" t="s">
        <v>22</v>
      </c>
      <c r="F1047">
        <v>298.92755399999999</v>
      </c>
      <c r="G1047">
        <v>298.92755399999999</v>
      </c>
      <c r="H1047">
        <v>0</v>
      </c>
      <c r="I1047">
        <v>864.96078199999999</v>
      </c>
      <c r="J1047">
        <v>16.867308999999999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51.469386</v>
      </c>
      <c r="Q1047">
        <v>15.326344000000001</v>
      </c>
      <c r="R1047">
        <v>0</v>
      </c>
      <c r="T1047" t="str">
        <f t="shared" si="54"/>
        <v>040021202312</v>
      </c>
      <c r="U1047">
        <f t="shared" si="55"/>
        <v>1180.755645</v>
      </c>
    </row>
    <row r="1048" spans="1:21" x14ac:dyDescent="0.35">
      <c r="A1048">
        <v>2023</v>
      </c>
      <c r="B1048" s="9" t="s">
        <v>113</v>
      </c>
      <c r="C1048" s="6" t="s">
        <v>112</v>
      </c>
      <c r="D1048">
        <v>202312</v>
      </c>
      <c r="E1048" s="11" t="s">
        <v>23</v>
      </c>
      <c r="F1048">
        <v>196.53760797000001</v>
      </c>
      <c r="G1048">
        <v>196.53760797000001</v>
      </c>
      <c r="H1048">
        <v>0</v>
      </c>
      <c r="I1048">
        <v>57.332474879999999</v>
      </c>
      <c r="J1048">
        <v>4.3176767900000002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0.33409036999999997</v>
      </c>
      <c r="R1048">
        <v>0</v>
      </c>
      <c r="T1048" t="str">
        <f t="shared" si="54"/>
        <v>040030202312</v>
      </c>
      <c r="U1048">
        <f t="shared" si="55"/>
        <v>258.18775964000002</v>
      </c>
    </row>
    <row r="1049" spans="1:21" x14ac:dyDescent="0.35">
      <c r="A1049">
        <v>2023</v>
      </c>
      <c r="B1049" s="9" t="s">
        <v>113</v>
      </c>
      <c r="C1049" s="6" t="s">
        <v>112</v>
      </c>
      <c r="D1049">
        <v>202312</v>
      </c>
      <c r="E1049" s="11" t="s">
        <v>24</v>
      </c>
      <c r="F1049">
        <v>0</v>
      </c>
      <c r="G1049">
        <v>0</v>
      </c>
      <c r="H1049">
        <v>0</v>
      </c>
      <c r="I1049">
        <v>7.301266</v>
      </c>
      <c r="J1049">
        <v>1.6246E-2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T1049" t="str">
        <f t="shared" si="54"/>
        <v>040036202312</v>
      </c>
      <c r="U1049">
        <f t="shared" si="55"/>
        <v>7.3175119999999998</v>
      </c>
    </row>
    <row r="1050" spans="1:21" x14ac:dyDescent="0.35">
      <c r="A1050">
        <v>2023</v>
      </c>
      <c r="B1050" s="9" t="s">
        <v>113</v>
      </c>
      <c r="C1050" s="6" t="s">
        <v>112</v>
      </c>
      <c r="D1050">
        <v>202312</v>
      </c>
      <c r="E1050" s="11" t="s">
        <v>25</v>
      </c>
      <c r="F1050">
        <v>21.482838999999998</v>
      </c>
      <c r="G1050">
        <v>21.482838999999998</v>
      </c>
      <c r="H1050">
        <v>0</v>
      </c>
      <c r="I1050">
        <v>0.89541700000000002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T1050" t="str">
        <f t="shared" si="54"/>
        <v>040042202312</v>
      </c>
      <c r="U1050">
        <f t="shared" si="55"/>
        <v>22.378255999999997</v>
      </c>
    </row>
    <row r="1051" spans="1:21" x14ac:dyDescent="0.35">
      <c r="A1051">
        <v>2023</v>
      </c>
      <c r="B1051" s="9" t="s">
        <v>113</v>
      </c>
      <c r="C1051" s="6" t="s">
        <v>112</v>
      </c>
      <c r="D1051">
        <v>202312</v>
      </c>
      <c r="E1051" s="11" t="s">
        <v>26</v>
      </c>
      <c r="F1051">
        <v>2347.3166959999999</v>
      </c>
      <c r="G1051">
        <v>2347.3166959999999</v>
      </c>
      <c r="H1051">
        <v>0</v>
      </c>
      <c r="I1051">
        <v>140.17443299999999</v>
      </c>
      <c r="J1051">
        <v>12.940623</v>
      </c>
      <c r="K1051">
        <v>0</v>
      </c>
      <c r="L1051">
        <v>8.4286750000000001</v>
      </c>
      <c r="M1051">
        <v>8.4286750000000001</v>
      </c>
      <c r="N1051">
        <v>0</v>
      </c>
      <c r="O1051">
        <v>0</v>
      </c>
      <c r="P1051">
        <v>14.072452999999999</v>
      </c>
      <c r="Q1051">
        <v>22.518965999999999</v>
      </c>
      <c r="R1051">
        <v>0</v>
      </c>
      <c r="T1051" t="str">
        <f t="shared" si="54"/>
        <v>040044202312</v>
      </c>
      <c r="U1051">
        <f t="shared" si="55"/>
        <v>2500.431752</v>
      </c>
    </row>
    <row r="1052" spans="1:21" x14ac:dyDescent="0.35">
      <c r="A1052">
        <v>2023</v>
      </c>
      <c r="B1052" s="9" t="s">
        <v>113</v>
      </c>
      <c r="C1052" s="6" t="s">
        <v>112</v>
      </c>
      <c r="D1052">
        <v>202312</v>
      </c>
      <c r="E1052" s="11" t="s">
        <v>27</v>
      </c>
      <c r="F1052">
        <v>119.12997820999999</v>
      </c>
      <c r="G1052">
        <v>119.12997820999999</v>
      </c>
      <c r="H1052">
        <v>0</v>
      </c>
      <c r="I1052">
        <v>23.379755979999999</v>
      </c>
      <c r="J1052">
        <v>0.17082217000000002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T1052" t="str">
        <f t="shared" si="54"/>
        <v>040058202312</v>
      </c>
      <c r="U1052">
        <f t="shared" si="55"/>
        <v>142.68055636</v>
      </c>
    </row>
    <row r="1053" spans="1:21" x14ac:dyDescent="0.35">
      <c r="A1053">
        <v>2023</v>
      </c>
      <c r="B1053" s="9" t="s">
        <v>113</v>
      </c>
      <c r="C1053" s="6" t="s">
        <v>112</v>
      </c>
      <c r="D1053">
        <v>202312</v>
      </c>
      <c r="E1053" s="11" t="s">
        <v>28</v>
      </c>
      <c r="F1053">
        <v>0</v>
      </c>
      <c r="G1053">
        <v>0</v>
      </c>
      <c r="H1053">
        <v>0</v>
      </c>
      <c r="I1053">
        <v>143.74682100000001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T1053" t="str">
        <f t="shared" si="54"/>
        <v>040059202312</v>
      </c>
      <c r="U1053">
        <f t="shared" si="55"/>
        <v>143.74682100000001</v>
      </c>
    </row>
    <row r="1054" spans="1:21" x14ac:dyDescent="0.35">
      <c r="A1054">
        <v>2023</v>
      </c>
      <c r="B1054" s="9" t="s">
        <v>113</v>
      </c>
      <c r="C1054" s="6" t="s">
        <v>112</v>
      </c>
      <c r="D1054">
        <v>202312</v>
      </c>
      <c r="E1054" s="11" t="s">
        <v>62</v>
      </c>
      <c r="F1054">
        <v>0.53451599999999999</v>
      </c>
      <c r="G1054">
        <v>0.53451599999999999</v>
      </c>
      <c r="H1054">
        <v>0</v>
      </c>
      <c r="I1054">
        <v>7.0904999999999996E-2</v>
      </c>
      <c r="J1054">
        <v>0.55698800000000004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T1054" t="str">
        <f t="shared" si="54"/>
        <v>040060202312</v>
      </c>
      <c r="U1054">
        <f t="shared" si="55"/>
        <v>1.162409</v>
      </c>
    </row>
    <row r="1055" spans="1:21" x14ac:dyDescent="0.35">
      <c r="A1055">
        <v>2023</v>
      </c>
      <c r="B1055" s="9" t="s">
        <v>113</v>
      </c>
      <c r="C1055" s="6" t="s">
        <v>112</v>
      </c>
      <c r="D1055">
        <v>202312</v>
      </c>
      <c r="E1055" s="11" t="s">
        <v>29</v>
      </c>
      <c r="F1055">
        <v>0.30431599999999998</v>
      </c>
      <c r="G1055">
        <v>0.30431599999999998</v>
      </c>
      <c r="H1055">
        <v>0</v>
      </c>
      <c r="I1055">
        <v>109.150795</v>
      </c>
      <c r="J1055">
        <v>0.295653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T1055" t="str">
        <f t="shared" si="54"/>
        <v>040062202312</v>
      </c>
      <c r="U1055">
        <f t="shared" si="55"/>
        <v>109.750764</v>
      </c>
    </row>
    <row r="1056" spans="1:21" x14ac:dyDescent="0.35">
      <c r="A1056">
        <v>2023</v>
      </c>
      <c r="B1056" s="9" t="s">
        <v>113</v>
      </c>
      <c r="C1056" s="6" t="s">
        <v>112</v>
      </c>
      <c r="D1056">
        <v>202312</v>
      </c>
      <c r="E1056" s="11" t="s">
        <v>30</v>
      </c>
      <c r="F1056">
        <v>186.10463622999998</v>
      </c>
      <c r="G1056">
        <v>186.10461587</v>
      </c>
      <c r="H1056">
        <v>0</v>
      </c>
      <c r="I1056">
        <v>1348.15474032</v>
      </c>
      <c r="J1056">
        <v>183.55348716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T1056" t="str">
        <f t="shared" si="54"/>
        <v>040072202312</v>
      </c>
      <c r="U1056">
        <f t="shared" si="55"/>
        <v>1717.8128637100001</v>
      </c>
    </row>
    <row r="1057" spans="1:21" x14ac:dyDescent="0.35">
      <c r="A1057">
        <v>2023</v>
      </c>
      <c r="B1057" s="9" t="s">
        <v>113</v>
      </c>
      <c r="C1057" s="6" t="s">
        <v>112</v>
      </c>
      <c r="D1057">
        <v>202312</v>
      </c>
      <c r="E1057" s="11" t="s">
        <v>31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T1057" t="str">
        <f t="shared" si="54"/>
        <v>040106202312</v>
      </c>
      <c r="U1057">
        <f t="shared" si="55"/>
        <v>0</v>
      </c>
    </row>
    <row r="1058" spans="1:21" x14ac:dyDescent="0.35">
      <c r="A1058">
        <v>2023</v>
      </c>
      <c r="B1058" s="9" t="s">
        <v>113</v>
      </c>
      <c r="C1058" s="6" t="s">
        <v>112</v>
      </c>
      <c r="D1058">
        <v>202312</v>
      </c>
      <c r="E1058" s="11" t="s">
        <v>32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T1058" t="str">
        <f t="shared" si="54"/>
        <v>040108202312</v>
      </c>
      <c r="U1058">
        <f t="shared" si="55"/>
        <v>0</v>
      </c>
    </row>
    <row r="1059" spans="1:21" x14ac:dyDescent="0.35">
      <c r="A1059">
        <v>2023</v>
      </c>
      <c r="B1059" s="9" t="s">
        <v>113</v>
      </c>
      <c r="C1059" s="6" t="s">
        <v>112</v>
      </c>
      <c r="D1059">
        <v>202312</v>
      </c>
      <c r="E1059" s="11" t="s">
        <v>33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T1059" t="str">
        <f t="shared" si="54"/>
        <v>040110202312</v>
      </c>
      <c r="U1059">
        <f t="shared" si="55"/>
        <v>0</v>
      </c>
    </row>
    <row r="1060" spans="1:21" x14ac:dyDescent="0.35">
      <c r="A1060">
        <v>2023</v>
      </c>
      <c r="B1060" s="9" t="s">
        <v>113</v>
      </c>
      <c r="C1060" s="6" t="s">
        <v>112</v>
      </c>
      <c r="D1060">
        <v>202312</v>
      </c>
      <c r="E1060" s="11" t="s">
        <v>34</v>
      </c>
      <c r="F1060">
        <v>0.35709182</v>
      </c>
      <c r="G1060">
        <v>0.35709165000000004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T1060" t="str">
        <f t="shared" si="54"/>
        <v>040112202312</v>
      </c>
      <c r="U1060">
        <f t="shared" si="55"/>
        <v>0.35709182</v>
      </c>
    </row>
    <row r="1061" spans="1:21" x14ac:dyDescent="0.35">
      <c r="A1061">
        <v>2023</v>
      </c>
      <c r="B1061" s="9" t="s">
        <v>113</v>
      </c>
      <c r="C1061" s="6" t="s">
        <v>112</v>
      </c>
      <c r="D1061">
        <v>202312</v>
      </c>
      <c r="E1061" s="11" t="s">
        <v>35</v>
      </c>
      <c r="F1061">
        <v>155.22008400000001</v>
      </c>
      <c r="G1061">
        <v>155.22008400000001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T1061" t="str">
        <f t="shared" si="54"/>
        <v>040113202312</v>
      </c>
      <c r="U1061">
        <f t="shared" si="55"/>
        <v>155.22008400000001</v>
      </c>
    </row>
    <row r="1062" spans="1:21" x14ac:dyDescent="0.35">
      <c r="A1062">
        <v>2023</v>
      </c>
      <c r="B1062" s="9" t="s">
        <v>113</v>
      </c>
      <c r="C1062" s="6" t="s">
        <v>112</v>
      </c>
      <c r="D1062">
        <v>202312</v>
      </c>
      <c r="E1062" s="11" t="s">
        <v>37</v>
      </c>
      <c r="F1062">
        <v>591.822</v>
      </c>
      <c r="G1062">
        <v>591.822</v>
      </c>
      <c r="H1062">
        <v>0</v>
      </c>
      <c r="I1062">
        <v>1086.1630019500001</v>
      </c>
      <c r="J1062">
        <v>1.1286540000000001E-2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T1062" t="str">
        <f t="shared" ref="T1062:T1125" si="56">+E1062&amp;D1062</f>
        <v>040127202312</v>
      </c>
      <c r="U1062">
        <f t="shared" ref="U1062:U1125" si="57">+F1062+I1062+J1062</f>
        <v>1677.9962884899999</v>
      </c>
    </row>
    <row r="1063" spans="1:21" x14ac:dyDescent="0.35">
      <c r="A1063">
        <v>2023</v>
      </c>
      <c r="B1063" s="9" t="s">
        <v>113</v>
      </c>
      <c r="C1063" s="6" t="s">
        <v>112</v>
      </c>
      <c r="D1063">
        <v>202312</v>
      </c>
      <c r="E1063" s="11" t="s">
        <v>38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T1063" t="str">
        <f t="shared" si="56"/>
        <v>040128202312</v>
      </c>
      <c r="U1063">
        <f t="shared" si="57"/>
        <v>0</v>
      </c>
    </row>
    <row r="1064" spans="1:21" x14ac:dyDescent="0.35">
      <c r="A1064">
        <v>2023</v>
      </c>
      <c r="B1064" s="9" t="s">
        <v>113</v>
      </c>
      <c r="C1064" s="6" t="s">
        <v>112</v>
      </c>
      <c r="D1064">
        <v>202312</v>
      </c>
      <c r="E1064" s="11" t="s">
        <v>39</v>
      </c>
      <c r="F1064">
        <v>0</v>
      </c>
      <c r="G1064">
        <v>0</v>
      </c>
      <c r="H1064">
        <v>0</v>
      </c>
      <c r="I1064">
        <v>245.752465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10.770410999999999</v>
      </c>
      <c r="Q1064">
        <v>0</v>
      </c>
      <c r="R1064">
        <v>0</v>
      </c>
      <c r="T1064" t="str">
        <f t="shared" si="56"/>
        <v>040130202312</v>
      </c>
      <c r="U1064">
        <f t="shared" si="57"/>
        <v>245.752465</v>
      </c>
    </row>
    <row r="1065" spans="1:21" x14ac:dyDescent="0.35">
      <c r="A1065">
        <v>2023</v>
      </c>
      <c r="B1065" s="9" t="s">
        <v>113</v>
      </c>
      <c r="C1065" s="6" t="s">
        <v>112</v>
      </c>
      <c r="D1065">
        <v>202312</v>
      </c>
      <c r="E1065" s="11" t="s">
        <v>40</v>
      </c>
      <c r="F1065">
        <v>0</v>
      </c>
      <c r="G1065">
        <v>0</v>
      </c>
      <c r="H1065">
        <v>0</v>
      </c>
      <c r="I1065">
        <v>1.9999999999999999E-6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T1065" t="str">
        <f t="shared" si="56"/>
        <v>040132202312</v>
      </c>
      <c r="U1065">
        <f t="shared" si="57"/>
        <v>1.9999999999999999E-6</v>
      </c>
    </row>
    <row r="1066" spans="1:21" x14ac:dyDescent="0.35">
      <c r="A1066">
        <v>2023</v>
      </c>
      <c r="B1066" s="9" t="s">
        <v>113</v>
      </c>
      <c r="C1066" s="6" t="s">
        <v>112</v>
      </c>
      <c r="D1066">
        <v>202312</v>
      </c>
      <c r="E1066" s="11" t="s">
        <v>41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T1066" t="str">
        <f t="shared" si="56"/>
        <v>040133202312</v>
      </c>
      <c r="U1066">
        <f t="shared" si="57"/>
        <v>0</v>
      </c>
    </row>
    <row r="1067" spans="1:21" x14ac:dyDescent="0.35">
      <c r="A1067">
        <v>2023</v>
      </c>
      <c r="B1067" s="9" t="s">
        <v>113</v>
      </c>
      <c r="C1067" s="6" t="s">
        <v>112</v>
      </c>
      <c r="D1067">
        <v>202312</v>
      </c>
      <c r="E1067" s="11" t="s">
        <v>42</v>
      </c>
      <c r="F1067">
        <v>7.7798059999999998</v>
      </c>
      <c r="G1067">
        <v>7.7798059999999998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T1067" t="str">
        <f t="shared" si="56"/>
        <v>040136202312</v>
      </c>
      <c r="U1067">
        <f t="shared" si="57"/>
        <v>7.7798059999999998</v>
      </c>
    </row>
    <row r="1068" spans="1:21" x14ac:dyDescent="0.35">
      <c r="A1068">
        <v>2023</v>
      </c>
      <c r="B1068" s="9" t="s">
        <v>113</v>
      </c>
      <c r="C1068" s="6" t="s">
        <v>112</v>
      </c>
      <c r="D1068">
        <v>202312</v>
      </c>
      <c r="E1068" s="11" t="s">
        <v>43</v>
      </c>
      <c r="F1068">
        <v>265.49171933000002</v>
      </c>
      <c r="G1068">
        <v>265.49171933000002</v>
      </c>
      <c r="H1068">
        <v>0</v>
      </c>
      <c r="I1068">
        <v>12.734103300000001</v>
      </c>
      <c r="J1068">
        <v>0.36483835999999997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T1068" t="str">
        <f t="shared" si="56"/>
        <v>040137202312</v>
      </c>
      <c r="U1068">
        <f t="shared" si="57"/>
        <v>278.59066099000006</v>
      </c>
    </row>
    <row r="1069" spans="1:21" x14ac:dyDescent="0.35">
      <c r="A1069">
        <v>2023</v>
      </c>
      <c r="B1069" s="9" t="s">
        <v>113</v>
      </c>
      <c r="C1069" s="6" t="s">
        <v>112</v>
      </c>
      <c r="D1069">
        <v>202312</v>
      </c>
      <c r="E1069" s="11" t="s">
        <v>44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T1069" t="str">
        <f t="shared" si="56"/>
        <v>040138202312</v>
      </c>
      <c r="U1069">
        <f t="shared" si="57"/>
        <v>0</v>
      </c>
    </row>
    <row r="1070" spans="1:21" x14ac:dyDescent="0.35">
      <c r="A1070">
        <v>2023</v>
      </c>
      <c r="B1070" s="9" t="s">
        <v>113</v>
      </c>
      <c r="C1070" s="6" t="s">
        <v>112</v>
      </c>
      <c r="D1070">
        <v>202312</v>
      </c>
      <c r="E1070" s="11" t="s">
        <v>45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T1070" t="str">
        <f t="shared" si="56"/>
        <v>040139202312</v>
      </c>
      <c r="U1070">
        <f t="shared" si="57"/>
        <v>0</v>
      </c>
    </row>
    <row r="1071" spans="1:21" x14ac:dyDescent="0.35">
      <c r="A1071">
        <v>2023</v>
      </c>
      <c r="B1071" s="9" t="s">
        <v>113</v>
      </c>
      <c r="C1071" s="6" t="s">
        <v>112</v>
      </c>
      <c r="D1071">
        <v>202312</v>
      </c>
      <c r="E1071" s="11" t="s">
        <v>46</v>
      </c>
      <c r="F1071">
        <v>0</v>
      </c>
      <c r="G1071">
        <v>0</v>
      </c>
      <c r="H1071">
        <v>0</v>
      </c>
      <c r="I1071">
        <v>30.316782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T1071" t="str">
        <f t="shared" si="56"/>
        <v>040140202312</v>
      </c>
      <c r="U1071">
        <f t="shared" si="57"/>
        <v>30.316782</v>
      </c>
    </row>
    <row r="1072" spans="1:21" x14ac:dyDescent="0.35">
      <c r="A1072">
        <v>2023</v>
      </c>
      <c r="B1072" s="9" t="s">
        <v>113</v>
      </c>
      <c r="C1072" s="6" t="s">
        <v>112</v>
      </c>
      <c r="D1072">
        <v>202312</v>
      </c>
      <c r="E1072" s="11" t="s">
        <v>47</v>
      </c>
      <c r="F1072">
        <v>0</v>
      </c>
      <c r="G1072">
        <v>0</v>
      </c>
      <c r="H1072">
        <v>0</v>
      </c>
      <c r="I1072">
        <v>0.10736900000000001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T1072" t="str">
        <f t="shared" si="56"/>
        <v>040141202312</v>
      </c>
      <c r="U1072">
        <f t="shared" si="57"/>
        <v>0.10736900000000001</v>
      </c>
    </row>
    <row r="1073" spans="1:21" x14ac:dyDescent="0.35">
      <c r="A1073">
        <v>2023</v>
      </c>
      <c r="B1073" s="9" t="s">
        <v>113</v>
      </c>
      <c r="C1073" s="6" t="s">
        <v>112</v>
      </c>
      <c r="D1073">
        <v>202312</v>
      </c>
      <c r="E1073" s="11" t="s">
        <v>48</v>
      </c>
      <c r="F1073">
        <v>4.87965933</v>
      </c>
      <c r="G1073">
        <v>2.8884722099999998</v>
      </c>
      <c r="H1073">
        <v>1.9911871200000002</v>
      </c>
      <c r="I1073">
        <v>3.0454742700000001</v>
      </c>
      <c r="J1073">
        <v>0.18545341000000001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4.2799347699999997</v>
      </c>
      <c r="Q1073">
        <v>0.49744870000000002</v>
      </c>
      <c r="R1073">
        <v>0</v>
      </c>
      <c r="T1073" t="str">
        <f t="shared" si="56"/>
        <v>040143202312</v>
      </c>
      <c r="U1073">
        <f t="shared" si="57"/>
        <v>8.1105870099999997</v>
      </c>
    </row>
    <row r="1074" spans="1:21" x14ac:dyDescent="0.35">
      <c r="A1074">
        <v>2023</v>
      </c>
      <c r="B1074" s="9" t="s">
        <v>113</v>
      </c>
      <c r="C1074" s="6" t="s">
        <v>112</v>
      </c>
      <c r="D1074">
        <v>202312</v>
      </c>
      <c r="E1074" s="11" t="s">
        <v>49</v>
      </c>
      <c r="F1074">
        <v>143.40386799999999</v>
      </c>
      <c r="G1074">
        <v>143.40386799999999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T1074" t="str">
        <f t="shared" si="56"/>
        <v>040145202312</v>
      </c>
      <c r="U1074">
        <f t="shared" si="57"/>
        <v>143.40386799999999</v>
      </c>
    </row>
    <row r="1075" spans="1:21" x14ac:dyDescent="0.35">
      <c r="A1075">
        <v>2023</v>
      </c>
      <c r="B1075" s="9" t="s">
        <v>113</v>
      </c>
      <c r="C1075" s="6" t="s">
        <v>112</v>
      </c>
      <c r="D1075">
        <v>202312</v>
      </c>
      <c r="E1075" s="11" t="s">
        <v>50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T1075" t="str">
        <f t="shared" si="56"/>
        <v>040147202312</v>
      </c>
      <c r="U1075">
        <f t="shared" si="57"/>
        <v>0</v>
      </c>
    </row>
    <row r="1076" spans="1:21" x14ac:dyDescent="0.35">
      <c r="A1076">
        <v>2023</v>
      </c>
      <c r="B1076" s="9" t="s">
        <v>113</v>
      </c>
      <c r="C1076" s="6" t="s">
        <v>112</v>
      </c>
      <c r="D1076">
        <v>202312</v>
      </c>
      <c r="E1076" s="11" t="s">
        <v>51</v>
      </c>
      <c r="F1076">
        <v>0</v>
      </c>
      <c r="G1076">
        <v>0</v>
      </c>
      <c r="H1076">
        <v>0</v>
      </c>
      <c r="I1076">
        <v>2.8382559999999999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3.4058999999999999E-2</v>
      </c>
      <c r="Q1076">
        <v>0</v>
      </c>
      <c r="R1076">
        <v>0</v>
      </c>
      <c r="T1076" t="str">
        <f t="shared" si="56"/>
        <v>040149202312</v>
      </c>
      <c r="U1076">
        <f t="shared" si="57"/>
        <v>2.8382559999999999</v>
      </c>
    </row>
    <row r="1077" spans="1:21" x14ac:dyDescent="0.35">
      <c r="A1077">
        <v>2023</v>
      </c>
      <c r="B1077" s="9" t="s">
        <v>113</v>
      </c>
      <c r="C1077" s="6" t="s">
        <v>112</v>
      </c>
      <c r="D1077">
        <v>202312</v>
      </c>
      <c r="E1077" s="11" t="s">
        <v>52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T1077" t="str">
        <f t="shared" si="56"/>
        <v>040150202312</v>
      </c>
      <c r="U1077">
        <f t="shared" si="57"/>
        <v>0</v>
      </c>
    </row>
    <row r="1078" spans="1:21" x14ac:dyDescent="0.35">
      <c r="A1078">
        <v>2023</v>
      </c>
      <c r="B1078" s="9" t="s">
        <v>113</v>
      </c>
      <c r="C1078" s="6" t="s">
        <v>112</v>
      </c>
      <c r="D1078">
        <v>202312</v>
      </c>
      <c r="E1078" s="11" t="s">
        <v>53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T1078" t="str">
        <f t="shared" si="56"/>
        <v>040151202312</v>
      </c>
      <c r="U1078">
        <f t="shared" si="57"/>
        <v>0</v>
      </c>
    </row>
    <row r="1079" spans="1:21" x14ac:dyDescent="0.35">
      <c r="A1079">
        <v>2023</v>
      </c>
      <c r="B1079" s="9" t="s">
        <v>113</v>
      </c>
      <c r="C1079" s="6" t="s">
        <v>112</v>
      </c>
      <c r="D1079">
        <v>202312</v>
      </c>
      <c r="E1079" s="11" t="s">
        <v>54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T1079" t="str">
        <f t="shared" si="56"/>
        <v>040152202312</v>
      </c>
      <c r="U1079">
        <f t="shared" si="57"/>
        <v>0</v>
      </c>
    </row>
    <row r="1080" spans="1:21" x14ac:dyDescent="0.35">
      <c r="A1080">
        <v>2023</v>
      </c>
      <c r="B1080" s="9" t="s">
        <v>113</v>
      </c>
      <c r="C1080" s="6" t="s">
        <v>112</v>
      </c>
      <c r="D1080">
        <v>202312</v>
      </c>
      <c r="E1080" s="11" t="s">
        <v>55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T1080" t="str">
        <f t="shared" si="56"/>
        <v>040154202312</v>
      </c>
      <c r="U1080">
        <f t="shared" si="57"/>
        <v>0</v>
      </c>
    </row>
    <row r="1081" spans="1:21" x14ac:dyDescent="0.35">
      <c r="A1081">
        <v>2023</v>
      </c>
      <c r="B1081" s="9" t="s">
        <v>113</v>
      </c>
      <c r="C1081" s="6" t="s">
        <v>112</v>
      </c>
      <c r="D1081">
        <v>202312</v>
      </c>
      <c r="E1081" s="11" t="s">
        <v>56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T1081" t="str">
        <f t="shared" si="56"/>
        <v>040155202312</v>
      </c>
      <c r="U1081">
        <f t="shared" si="57"/>
        <v>0</v>
      </c>
    </row>
    <row r="1082" spans="1:21" x14ac:dyDescent="0.35">
      <c r="A1082">
        <v>2023</v>
      </c>
      <c r="B1082" s="9" t="s">
        <v>113</v>
      </c>
      <c r="C1082" s="6" t="s">
        <v>112</v>
      </c>
      <c r="D1082">
        <v>202312</v>
      </c>
      <c r="E1082" s="11" t="s">
        <v>57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T1082" t="str">
        <f t="shared" si="56"/>
        <v>040156202312</v>
      </c>
      <c r="U1082">
        <f t="shared" si="57"/>
        <v>0</v>
      </c>
    </row>
    <row r="1083" spans="1:21" x14ac:dyDescent="0.35">
      <c r="A1083">
        <v>2023</v>
      </c>
      <c r="B1083" s="9" t="s">
        <v>113</v>
      </c>
      <c r="C1083" s="6" t="s">
        <v>112</v>
      </c>
      <c r="D1083">
        <v>202312</v>
      </c>
      <c r="E1083" s="11" t="s">
        <v>58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T1083" t="str">
        <f t="shared" si="56"/>
        <v>040157202312</v>
      </c>
      <c r="U1083">
        <f t="shared" si="57"/>
        <v>0</v>
      </c>
    </row>
    <row r="1084" spans="1:21" x14ac:dyDescent="0.35">
      <c r="A1084">
        <v>2023</v>
      </c>
      <c r="B1084" s="9" t="s">
        <v>113</v>
      </c>
      <c r="C1084" s="6" t="s">
        <v>112</v>
      </c>
      <c r="D1084">
        <v>202312</v>
      </c>
      <c r="E1084" s="11" t="s">
        <v>59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T1084" t="str">
        <f t="shared" si="56"/>
        <v>040158202312</v>
      </c>
      <c r="U1084">
        <f t="shared" si="57"/>
        <v>0</v>
      </c>
    </row>
    <row r="1085" spans="1:21" x14ac:dyDescent="0.35">
      <c r="A1085">
        <v>2023</v>
      </c>
      <c r="B1085" s="9" t="s">
        <v>113</v>
      </c>
      <c r="C1085" s="6" t="s">
        <v>112</v>
      </c>
      <c r="D1085">
        <v>202312</v>
      </c>
      <c r="E1085" s="11" t="s">
        <v>60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T1085" t="str">
        <f t="shared" si="56"/>
        <v>040159202312</v>
      </c>
      <c r="U1085">
        <f t="shared" si="57"/>
        <v>0</v>
      </c>
    </row>
    <row r="1086" spans="1:21" x14ac:dyDescent="0.35">
      <c r="A1086">
        <v>2023</v>
      </c>
      <c r="B1086" s="9" t="s">
        <v>113</v>
      </c>
      <c r="C1086" s="6" t="s">
        <v>112</v>
      </c>
      <c r="D1086">
        <v>202312</v>
      </c>
      <c r="E1086" s="11" t="s">
        <v>63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T1086" t="str">
        <f t="shared" si="56"/>
        <v>040160202312</v>
      </c>
      <c r="U1086">
        <f t="shared" si="57"/>
        <v>0</v>
      </c>
    </row>
    <row r="1087" spans="1:21" x14ac:dyDescent="0.35">
      <c r="A1087">
        <v>2023</v>
      </c>
      <c r="B1087" s="9" t="s">
        <v>113</v>
      </c>
      <c r="C1087" s="6" t="s">
        <v>112</v>
      </c>
      <c r="D1087">
        <v>202312</v>
      </c>
      <c r="E1087" s="11" t="s">
        <v>61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T1087" t="str">
        <f t="shared" si="56"/>
        <v>040162202312</v>
      </c>
      <c r="U1087">
        <f t="shared" si="57"/>
        <v>0</v>
      </c>
    </row>
    <row r="1088" spans="1:21" x14ac:dyDescent="0.35">
      <c r="A1088">
        <v>2024</v>
      </c>
      <c r="B1088" s="9" t="s">
        <v>88</v>
      </c>
      <c r="C1088" s="6" t="s">
        <v>111</v>
      </c>
      <c r="D1088">
        <v>202401</v>
      </c>
      <c r="E1088" s="11">
        <v>5</v>
      </c>
      <c r="F1088">
        <v>1567.3734307100001</v>
      </c>
      <c r="G1088">
        <v>1549.0446106099998</v>
      </c>
      <c r="H1088">
        <v>18.32380749</v>
      </c>
      <c r="I1088">
        <v>10849.4784181</v>
      </c>
      <c r="J1088">
        <v>651.48321799999997</v>
      </c>
      <c r="K1088">
        <v>56.988801719999998</v>
      </c>
      <c r="L1088">
        <v>1.0529764699999999</v>
      </c>
      <c r="M1088">
        <v>1.0529764699999999</v>
      </c>
      <c r="N1088">
        <v>0</v>
      </c>
      <c r="O1088">
        <v>0</v>
      </c>
      <c r="P1088">
        <v>111.70521253</v>
      </c>
      <c r="Q1088">
        <v>47.476975619999997</v>
      </c>
      <c r="R1088">
        <v>0</v>
      </c>
      <c r="T1088" t="str">
        <f t="shared" si="56"/>
        <v>5202401</v>
      </c>
      <c r="U1088">
        <f t="shared" si="57"/>
        <v>13068.335066809999</v>
      </c>
    </row>
    <row r="1089" spans="1:21" x14ac:dyDescent="0.35">
      <c r="A1089">
        <v>2024</v>
      </c>
      <c r="B1089" s="9" t="s">
        <v>88</v>
      </c>
      <c r="C1089" s="6" t="s">
        <v>111</v>
      </c>
      <c r="D1089">
        <v>202401</v>
      </c>
      <c r="E1089" s="11" t="s">
        <v>19</v>
      </c>
      <c r="F1089">
        <v>50.232914810000004</v>
      </c>
      <c r="G1089">
        <v>50.232914810000004</v>
      </c>
      <c r="H1089">
        <v>0</v>
      </c>
      <c r="I1089">
        <v>428.92881782999996</v>
      </c>
      <c r="J1089">
        <v>63.962250829999995</v>
      </c>
      <c r="K1089">
        <v>54.890014719999996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T1089" t="str">
        <f t="shared" si="56"/>
        <v>040002202401</v>
      </c>
      <c r="U1089">
        <f t="shared" si="57"/>
        <v>543.12398346999998</v>
      </c>
    </row>
    <row r="1090" spans="1:21" x14ac:dyDescent="0.35">
      <c r="A1090">
        <v>2024</v>
      </c>
      <c r="B1090" s="9" t="s">
        <v>88</v>
      </c>
      <c r="C1090" s="6" t="s">
        <v>111</v>
      </c>
      <c r="D1090">
        <v>202401</v>
      </c>
      <c r="E1090" s="11" t="s">
        <v>20</v>
      </c>
      <c r="F1090">
        <v>158.47147375</v>
      </c>
      <c r="G1090">
        <v>158.47147334000002</v>
      </c>
      <c r="H1090">
        <v>4.0999999999999999E-7</v>
      </c>
      <c r="I1090">
        <v>3647.16915152</v>
      </c>
      <c r="J1090">
        <v>230.95704774999999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T1090" t="str">
        <f t="shared" si="56"/>
        <v>040012202401</v>
      </c>
      <c r="U1090">
        <f t="shared" si="57"/>
        <v>4036.59767302</v>
      </c>
    </row>
    <row r="1091" spans="1:21" x14ac:dyDescent="0.35">
      <c r="A1091">
        <v>2024</v>
      </c>
      <c r="B1091" s="9" t="s">
        <v>88</v>
      </c>
      <c r="C1091" s="6" t="s">
        <v>111</v>
      </c>
      <c r="D1091">
        <v>202401</v>
      </c>
      <c r="E1091" s="11" t="s">
        <v>21</v>
      </c>
      <c r="F1091">
        <v>274.26856600000002</v>
      </c>
      <c r="G1091">
        <v>274.26856600000002</v>
      </c>
      <c r="H1091">
        <v>0</v>
      </c>
      <c r="I1091">
        <v>2386.4767200000001</v>
      </c>
      <c r="J1091">
        <v>129.13104300000001</v>
      </c>
      <c r="K1091">
        <v>2.0987870000000002</v>
      </c>
      <c r="L1091">
        <v>0.990591</v>
      </c>
      <c r="M1091">
        <v>0.990591</v>
      </c>
      <c r="N1091">
        <v>0</v>
      </c>
      <c r="O1091">
        <v>0</v>
      </c>
      <c r="P1091">
        <v>0.21731300000000001</v>
      </c>
      <c r="Q1091">
        <v>0</v>
      </c>
      <c r="R1091">
        <v>0</v>
      </c>
      <c r="T1091" t="str">
        <f t="shared" si="56"/>
        <v>040014202401</v>
      </c>
      <c r="U1091">
        <f t="shared" si="57"/>
        <v>2789.8763290000002</v>
      </c>
    </row>
    <row r="1092" spans="1:21" x14ac:dyDescent="0.35">
      <c r="A1092">
        <v>2024</v>
      </c>
      <c r="B1092" s="9" t="s">
        <v>88</v>
      </c>
      <c r="C1092" s="6" t="s">
        <v>111</v>
      </c>
      <c r="D1092">
        <v>202401</v>
      </c>
      <c r="E1092" s="11" t="s">
        <v>22</v>
      </c>
      <c r="F1092">
        <v>213.897786</v>
      </c>
      <c r="G1092">
        <v>213.896298</v>
      </c>
      <c r="H1092">
        <v>1.488E-3</v>
      </c>
      <c r="I1092">
        <v>1016.904723</v>
      </c>
      <c r="J1092">
        <v>47.470913000000003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73.691646000000006</v>
      </c>
      <c r="Q1092">
        <v>17.054880000000001</v>
      </c>
      <c r="R1092">
        <v>0</v>
      </c>
      <c r="T1092" t="str">
        <f t="shared" si="56"/>
        <v>040021202401</v>
      </c>
      <c r="U1092">
        <f t="shared" si="57"/>
        <v>1278.2734220000002</v>
      </c>
    </row>
    <row r="1093" spans="1:21" x14ac:dyDescent="0.35">
      <c r="A1093">
        <v>2024</v>
      </c>
      <c r="B1093" s="9" t="s">
        <v>88</v>
      </c>
      <c r="C1093" s="6" t="s">
        <v>111</v>
      </c>
      <c r="D1093">
        <v>202401</v>
      </c>
      <c r="E1093" s="11" t="s">
        <v>23</v>
      </c>
      <c r="F1093">
        <v>6.1782184200000003</v>
      </c>
      <c r="G1093">
        <v>6.1782184200000003</v>
      </c>
      <c r="H1093">
        <v>0</v>
      </c>
      <c r="I1093">
        <v>52.369715720000002</v>
      </c>
      <c r="J1093">
        <v>3.0912990599999999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0.35997835</v>
      </c>
      <c r="R1093">
        <v>0</v>
      </c>
      <c r="T1093" t="str">
        <f t="shared" si="56"/>
        <v>040030202401</v>
      </c>
      <c r="U1093">
        <f t="shared" si="57"/>
        <v>61.6392332</v>
      </c>
    </row>
    <row r="1094" spans="1:21" x14ac:dyDescent="0.35">
      <c r="A1094">
        <v>2024</v>
      </c>
      <c r="B1094" s="9" t="s">
        <v>88</v>
      </c>
      <c r="C1094" s="6" t="s">
        <v>111</v>
      </c>
      <c r="D1094">
        <v>202401</v>
      </c>
      <c r="E1094" s="11" t="s">
        <v>24</v>
      </c>
      <c r="F1094">
        <v>0</v>
      </c>
      <c r="G1094">
        <v>0</v>
      </c>
      <c r="H1094">
        <v>0</v>
      </c>
      <c r="I1094">
        <v>6.5112500000000004</v>
      </c>
      <c r="J1094">
        <v>4.2950000000000002E-3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T1094" t="str">
        <f t="shared" si="56"/>
        <v>040036202401</v>
      </c>
      <c r="U1094">
        <f t="shared" si="57"/>
        <v>6.5155450000000004</v>
      </c>
    </row>
    <row r="1095" spans="1:21" x14ac:dyDescent="0.35">
      <c r="A1095">
        <v>2024</v>
      </c>
      <c r="B1095" s="9" t="s">
        <v>88</v>
      </c>
      <c r="C1095" s="6" t="s">
        <v>111</v>
      </c>
      <c r="D1095">
        <v>202401</v>
      </c>
      <c r="E1095" s="11" t="s">
        <v>25</v>
      </c>
      <c r="F1095">
        <v>0</v>
      </c>
      <c r="G1095">
        <v>0</v>
      </c>
      <c r="H1095">
        <v>0</v>
      </c>
      <c r="I1095">
        <v>2.037477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T1095" t="str">
        <f t="shared" si="56"/>
        <v>040042202401</v>
      </c>
      <c r="U1095">
        <f t="shared" si="57"/>
        <v>2.037477</v>
      </c>
    </row>
    <row r="1096" spans="1:21" x14ac:dyDescent="0.35">
      <c r="A1096">
        <v>2024</v>
      </c>
      <c r="B1096" s="9" t="s">
        <v>88</v>
      </c>
      <c r="C1096" s="6" t="s">
        <v>111</v>
      </c>
      <c r="D1096">
        <v>202401</v>
      </c>
      <c r="E1096" s="11" t="s">
        <v>26</v>
      </c>
      <c r="F1096">
        <v>2.395073</v>
      </c>
      <c r="G1096">
        <v>2.395073</v>
      </c>
      <c r="H1096">
        <v>0</v>
      </c>
      <c r="I1096">
        <v>214.186847</v>
      </c>
      <c r="J1096">
        <v>19.777273000000001</v>
      </c>
      <c r="K1096">
        <v>0</v>
      </c>
      <c r="L1096">
        <v>5.9047000000000002E-2</v>
      </c>
      <c r="M1096">
        <v>5.9047000000000002E-2</v>
      </c>
      <c r="N1096">
        <v>0</v>
      </c>
      <c r="O1096">
        <v>0</v>
      </c>
      <c r="P1096">
        <v>18.313523</v>
      </c>
      <c r="Q1096">
        <v>30.062114999999999</v>
      </c>
      <c r="R1096">
        <v>0</v>
      </c>
      <c r="T1096" t="str">
        <f t="shared" si="56"/>
        <v>040044202401</v>
      </c>
      <c r="U1096">
        <f t="shared" si="57"/>
        <v>236.359193</v>
      </c>
    </row>
    <row r="1097" spans="1:21" x14ac:dyDescent="0.35">
      <c r="A1097">
        <v>2024</v>
      </c>
      <c r="B1097" s="9" t="s">
        <v>88</v>
      </c>
      <c r="C1097" s="6" t="s">
        <v>111</v>
      </c>
      <c r="D1097">
        <v>202401</v>
      </c>
      <c r="E1097" s="11" t="s">
        <v>27</v>
      </c>
      <c r="F1097">
        <v>11.093302380000001</v>
      </c>
      <c r="G1097">
        <v>11.093302380000001</v>
      </c>
      <c r="H1097">
        <v>0</v>
      </c>
      <c r="I1097">
        <v>32.466459139999998</v>
      </c>
      <c r="J1097">
        <v>3.2165059199999999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T1097" t="str">
        <f t="shared" si="56"/>
        <v>040058202401</v>
      </c>
      <c r="U1097">
        <f t="shared" si="57"/>
        <v>46.776267439999998</v>
      </c>
    </row>
    <row r="1098" spans="1:21" x14ac:dyDescent="0.35">
      <c r="A1098">
        <v>2024</v>
      </c>
      <c r="B1098" s="9" t="s">
        <v>88</v>
      </c>
      <c r="C1098" s="6" t="s">
        <v>111</v>
      </c>
      <c r="D1098">
        <v>202401</v>
      </c>
      <c r="E1098" s="11" t="s">
        <v>28</v>
      </c>
      <c r="F1098">
        <v>0</v>
      </c>
      <c r="G1098">
        <v>0</v>
      </c>
      <c r="H1098">
        <v>0</v>
      </c>
      <c r="I1098">
        <v>139.49791300000001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T1098" t="str">
        <f t="shared" si="56"/>
        <v>040059202401</v>
      </c>
      <c r="U1098">
        <f t="shared" si="57"/>
        <v>139.49791300000001</v>
      </c>
    </row>
    <row r="1099" spans="1:21" x14ac:dyDescent="0.35">
      <c r="A1099">
        <v>2024</v>
      </c>
      <c r="B1099" s="9" t="s">
        <v>88</v>
      </c>
      <c r="C1099" s="6" t="s">
        <v>111</v>
      </c>
      <c r="D1099">
        <v>202401</v>
      </c>
      <c r="E1099" s="11" t="s">
        <v>62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T1099" t="str">
        <f t="shared" si="56"/>
        <v>040060202401</v>
      </c>
      <c r="U1099">
        <f t="shared" si="57"/>
        <v>0</v>
      </c>
    </row>
    <row r="1100" spans="1:21" x14ac:dyDescent="0.35">
      <c r="A1100">
        <v>2024</v>
      </c>
      <c r="B1100" s="9" t="s">
        <v>88</v>
      </c>
      <c r="C1100" s="6" t="s">
        <v>111</v>
      </c>
      <c r="D1100">
        <v>202401</v>
      </c>
      <c r="E1100" s="11" t="s">
        <v>29</v>
      </c>
      <c r="F1100">
        <v>9.7646999999999998E-2</v>
      </c>
      <c r="G1100">
        <v>9.7646999999999998E-2</v>
      </c>
      <c r="H1100">
        <v>0</v>
      </c>
      <c r="I1100">
        <v>114.49453099999999</v>
      </c>
      <c r="J1100">
        <v>2.0975000000000001E-2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T1100" t="str">
        <f t="shared" si="56"/>
        <v>040062202401</v>
      </c>
      <c r="U1100">
        <f t="shared" si="57"/>
        <v>114.613153</v>
      </c>
    </row>
    <row r="1101" spans="1:21" x14ac:dyDescent="0.35">
      <c r="A1101">
        <v>2024</v>
      </c>
      <c r="B1101" s="9" t="s">
        <v>88</v>
      </c>
      <c r="C1101" s="6" t="s">
        <v>111</v>
      </c>
      <c r="D1101">
        <v>202401</v>
      </c>
      <c r="E1101" s="11" t="s">
        <v>30</v>
      </c>
      <c r="F1101">
        <v>127.62998359999999</v>
      </c>
      <c r="G1101">
        <v>127.62988885</v>
      </c>
      <c r="H1101">
        <v>0</v>
      </c>
      <c r="I1101">
        <v>1487.5069668199999</v>
      </c>
      <c r="J1101">
        <v>152.41285221999999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T1101" t="str">
        <f t="shared" si="56"/>
        <v>040072202401</v>
      </c>
      <c r="U1101">
        <f t="shared" si="57"/>
        <v>1767.5498026400001</v>
      </c>
    </row>
    <row r="1102" spans="1:21" x14ac:dyDescent="0.35">
      <c r="A1102">
        <v>2024</v>
      </c>
      <c r="B1102" s="9" t="s">
        <v>88</v>
      </c>
      <c r="C1102" s="6" t="s">
        <v>111</v>
      </c>
      <c r="D1102">
        <v>202401</v>
      </c>
      <c r="E1102" s="11" t="s">
        <v>31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T1102" t="str">
        <f t="shared" si="56"/>
        <v>040106202401</v>
      </c>
      <c r="U1102">
        <f t="shared" si="57"/>
        <v>0</v>
      </c>
    </row>
    <row r="1103" spans="1:21" x14ac:dyDescent="0.35">
      <c r="A1103">
        <v>2024</v>
      </c>
      <c r="B1103" s="9" t="s">
        <v>88</v>
      </c>
      <c r="C1103" s="6" t="s">
        <v>111</v>
      </c>
      <c r="D1103">
        <v>202401</v>
      </c>
      <c r="E1103" s="11" t="s">
        <v>32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T1103" t="str">
        <f t="shared" si="56"/>
        <v>040108202401</v>
      </c>
      <c r="U1103">
        <f t="shared" si="57"/>
        <v>0</v>
      </c>
    </row>
    <row r="1104" spans="1:21" x14ac:dyDescent="0.35">
      <c r="A1104">
        <v>2024</v>
      </c>
      <c r="B1104" s="9" t="s">
        <v>88</v>
      </c>
      <c r="C1104" s="6" t="s">
        <v>111</v>
      </c>
      <c r="D1104">
        <v>202401</v>
      </c>
      <c r="E1104" s="11" t="s">
        <v>33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T1104" t="str">
        <f t="shared" si="56"/>
        <v>040110202401</v>
      </c>
      <c r="U1104">
        <f t="shared" si="57"/>
        <v>0</v>
      </c>
    </row>
    <row r="1105" spans="1:21" x14ac:dyDescent="0.35">
      <c r="A1105">
        <v>2024</v>
      </c>
      <c r="B1105" s="9" t="s">
        <v>88</v>
      </c>
      <c r="C1105" s="6" t="s">
        <v>111</v>
      </c>
      <c r="D1105">
        <v>202401</v>
      </c>
      <c r="E1105" s="11" t="s">
        <v>34</v>
      </c>
      <c r="F1105">
        <v>0.15886479000000001</v>
      </c>
      <c r="G1105">
        <v>0.11935883</v>
      </c>
      <c r="H1105">
        <v>3.4588099999999997E-2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T1105" t="str">
        <f t="shared" si="56"/>
        <v>040112202401</v>
      </c>
      <c r="U1105">
        <f t="shared" si="57"/>
        <v>0.15886479000000001</v>
      </c>
    </row>
    <row r="1106" spans="1:21" x14ac:dyDescent="0.35">
      <c r="A1106">
        <v>2024</v>
      </c>
      <c r="B1106" s="9" t="s">
        <v>88</v>
      </c>
      <c r="C1106" s="6" t="s">
        <v>111</v>
      </c>
      <c r="D1106">
        <v>202401</v>
      </c>
      <c r="E1106" s="11" t="s">
        <v>35</v>
      </c>
      <c r="F1106">
        <v>25.579622000000001</v>
      </c>
      <c r="G1106">
        <v>25.579622000000001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T1106" t="str">
        <f t="shared" si="56"/>
        <v>040113202401</v>
      </c>
      <c r="U1106">
        <f t="shared" si="57"/>
        <v>25.579622000000001</v>
      </c>
    </row>
    <row r="1107" spans="1:21" x14ac:dyDescent="0.35">
      <c r="A1107">
        <v>2024</v>
      </c>
      <c r="B1107" s="9" t="s">
        <v>88</v>
      </c>
      <c r="C1107" s="6" t="s">
        <v>111</v>
      </c>
      <c r="D1107">
        <v>202401</v>
      </c>
      <c r="E1107" s="11" t="s">
        <v>37</v>
      </c>
      <c r="F1107">
        <v>676.36800000000005</v>
      </c>
      <c r="G1107">
        <v>676.36800000000005</v>
      </c>
      <c r="H1107">
        <v>0</v>
      </c>
      <c r="I1107">
        <v>1019.13123391</v>
      </c>
      <c r="J1107">
        <v>6.5489199999999997E-3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T1107" t="str">
        <f t="shared" si="56"/>
        <v>040127202401</v>
      </c>
      <c r="U1107">
        <f t="shared" si="57"/>
        <v>1695.5057828299998</v>
      </c>
    </row>
    <row r="1108" spans="1:21" x14ac:dyDescent="0.35">
      <c r="A1108">
        <v>2024</v>
      </c>
      <c r="B1108" s="9" t="s">
        <v>88</v>
      </c>
      <c r="C1108" s="6" t="s">
        <v>111</v>
      </c>
      <c r="D1108">
        <v>202401</v>
      </c>
      <c r="E1108" s="11" t="s">
        <v>38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T1108" t="str">
        <f t="shared" si="56"/>
        <v>040128202401</v>
      </c>
      <c r="U1108">
        <f t="shared" si="57"/>
        <v>0</v>
      </c>
    </row>
    <row r="1109" spans="1:21" x14ac:dyDescent="0.35">
      <c r="A1109">
        <v>2024</v>
      </c>
      <c r="B1109" s="9" t="s">
        <v>88</v>
      </c>
      <c r="C1109" s="6" t="s">
        <v>111</v>
      </c>
      <c r="D1109">
        <v>202401</v>
      </c>
      <c r="E1109" s="11" t="s">
        <v>39</v>
      </c>
      <c r="F1109">
        <v>0</v>
      </c>
      <c r="G1109">
        <v>0</v>
      </c>
      <c r="H1109">
        <v>0</v>
      </c>
      <c r="I1109">
        <v>254.43183099999999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15.381774999999999</v>
      </c>
      <c r="Q1109">
        <v>0</v>
      </c>
      <c r="R1109">
        <v>0</v>
      </c>
      <c r="T1109" t="str">
        <f t="shared" si="56"/>
        <v>040130202401</v>
      </c>
      <c r="U1109">
        <f t="shared" si="57"/>
        <v>254.43183099999999</v>
      </c>
    </row>
    <row r="1110" spans="1:21" x14ac:dyDescent="0.35">
      <c r="A1110">
        <v>2024</v>
      </c>
      <c r="B1110" s="9" t="s">
        <v>88</v>
      </c>
      <c r="C1110" s="6" t="s">
        <v>111</v>
      </c>
      <c r="D1110">
        <v>202401</v>
      </c>
      <c r="E1110" s="11" t="s">
        <v>40</v>
      </c>
      <c r="F1110">
        <v>0</v>
      </c>
      <c r="G1110">
        <v>0</v>
      </c>
      <c r="H1110">
        <v>0</v>
      </c>
      <c r="I1110">
        <v>5.0000000000000004E-6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T1110" t="str">
        <f t="shared" si="56"/>
        <v>040132202401</v>
      </c>
      <c r="U1110">
        <f t="shared" si="57"/>
        <v>5.0000000000000004E-6</v>
      </c>
    </row>
    <row r="1111" spans="1:21" x14ac:dyDescent="0.35">
      <c r="A1111">
        <v>2024</v>
      </c>
      <c r="B1111" s="9" t="s">
        <v>88</v>
      </c>
      <c r="C1111" s="6" t="s">
        <v>111</v>
      </c>
      <c r="D1111">
        <v>202401</v>
      </c>
      <c r="E1111" s="11" t="s">
        <v>41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T1111" t="str">
        <f t="shared" si="56"/>
        <v>040133202401</v>
      </c>
      <c r="U1111">
        <f t="shared" si="57"/>
        <v>0</v>
      </c>
    </row>
    <row r="1112" spans="1:21" x14ac:dyDescent="0.35">
      <c r="A1112">
        <v>2024</v>
      </c>
      <c r="B1112" s="9" t="s">
        <v>88</v>
      </c>
      <c r="C1112" s="6" t="s">
        <v>111</v>
      </c>
      <c r="D1112">
        <v>202401</v>
      </c>
      <c r="E1112" s="11" t="s">
        <v>42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T1112" t="str">
        <f t="shared" si="56"/>
        <v>040136202401</v>
      </c>
      <c r="U1112">
        <f t="shared" si="57"/>
        <v>0</v>
      </c>
    </row>
    <row r="1113" spans="1:21" x14ac:dyDescent="0.35">
      <c r="A1113">
        <v>2024</v>
      </c>
      <c r="B1113" s="9" t="s">
        <v>88</v>
      </c>
      <c r="C1113" s="6" t="s">
        <v>111</v>
      </c>
      <c r="D1113">
        <v>202401</v>
      </c>
      <c r="E1113" s="11" t="s">
        <v>43</v>
      </c>
      <c r="F1113">
        <v>0</v>
      </c>
      <c r="G1113">
        <v>0</v>
      </c>
      <c r="H1113">
        <v>0</v>
      </c>
      <c r="I1113">
        <v>11.08794692</v>
      </c>
      <c r="J1113">
        <v>1.3837626200000002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T1113" t="str">
        <f t="shared" si="56"/>
        <v>040137202401</v>
      </c>
      <c r="U1113">
        <f t="shared" si="57"/>
        <v>12.471709540000001</v>
      </c>
    </row>
    <row r="1114" spans="1:21" x14ac:dyDescent="0.35">
      <c r="A1114">
        <v>2024</v>
      </c>
      <c r="B1114" s="9" t="s">
        <v>88</v>
      </c>
      <c r="C1114" s="6" t="s">
        <v>111</v>
      </c>
      <c r="D1114">
        <v>202401</v>
      </c>
      <c r="E1114" s="11" t="s">
        <v>44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T1114" t="str">
        <f t="shared" si="56"/>
        <v>040138202401</v>
      </c>
      <c r="U1114">
        <f t="shared" si="57"/>
        <v>0</v>
      </c>
    </row>
    <row r="1115" spans="1:21" x14ac:dyDescent="0.35">
      <c r="A1115">
        <v>2024</v>
      </c>
      <c r="B1115" s="9" t="s">
        <v>88</v>
      </c>
      <c r="C1115" s="6" t="s">
        <v>111</v>
      </c>
      <c r="D1115">
        <v>202401</v>
      </c>
      <c r="E1115" s="11" t="s">
        <v>45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T1115" t="str">
        <f t="shared" si="56"/>
        <v>040139202401</v>
      </c>
      <c r="U1115">
        <f t="shared" si="57"/>
        <v>0</v>
      </c>
    </row>
    <row r="1116" spans="1:21" x14ac:dyDescent="0.35">
      <c r="A1116">
        <v>2024</v>
      </c>
      <c r="B1116" s="9" t="s">
        <v>88</v>
      </c>
      <c r="C1116" s="6" t="s">
        <v>111</v>
      </c>
      <c r="D1116">
        <v>202401</v>
      </c>
      <c r="E1116" s="11" t="s">
        <v>46</v>
      </c>
      <c r="F1116">
        <v>0</v>
      </c>
      <c r="G1116">
        <v>0</v>
      </c>
      <c r="H1116">
        <v>0</v>
      </c>
      <c r="I1116">
        <v>29.058416999999999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T1116" t="str">
        <f t="shared" si="56"/>
        <v>040140202401</v>
      </c>
      <c r="U1116">
        <f t="shared" si="57"/>
        <v>29.058416999999999</v>
      </c>
    </row>
    <row r="1117" spans="1:21" x14ac:dyDescent="0.35">
      <c r="A1117">
        <v>2024</v>
      </c>
      <c r="B1117" s="9" t="s">
        <v>88</v>
      </c>
      <c r="C1117" s="6" t="s">
        <v>111</v>
      </c>
      <c r="D1117">
        <v>202401</v>
      </c>
      <c r="E1117" s="11" t="s">
        <v>47</v>
      </c>
      <c r="F1117">
        <v>0</v>
      </c>
      <c r="G1117">
        <v>0</v>
      </c>
      <c r="H1117">
        <v>0</v>
      </c>
      <c r="I1117">
        <v>4.9820999999999997E-2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T1117" t="str">
        <f t="shared" si="56"/>
        <v>040141202401</v>
      </c>
      <c r="U1117">
        <f t="shared" si="57"/>
        <v>4.9820999999999997E-2</v>
      </c>
    </row>
    <row r="1118" spans="1:21" x14ac:dyDescent="0.35">
      <c r="A1118">
        <v>2024</v>
      </c>
      <c r="B1118" s="9" t="s">
        <v>88</v>
      </c>
      <c r="C1118" s="6" t="s">
        <v>111</v>
      </c>
      <c r="D1118">
        <v>202401</v>
      </c>
      <c r="E1118" s="11" t="s">
        <v>48</v>
      </c>
      <c r="F1118">
        <v>0.85317098000000002</v>
      </c>
      <c r="G1118">
        <v>0.85317098000000002</v>
      </c>
      <c r="H1118">
        <v>0</v>
      </c>
      <c r="I1118">
        <v>3.3050812400000003</v>
      </c>
      <c r="J1118">
        <v>4.8451679999999997E-2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4.0647905299999998</v>
      </c>
      <c r="Q1118">
        <v>2.2699999999999999E-6</v>
      </c>
      <c r="R1118">
        <v>0</v>
      </c>
      <c r="T1118" t="str">
        <f t="shared" si="56"/>
        <v>040143202401</v>
      </c>
      <c r="U1118">
        <f t="shared" si="57"/>
        <v>4.2067039000000008</v>
      </c>
    </row>
    <row r="1119" spans="1:21" x14ac:dyDescent="0.35">
      <c r="A1119">
        <v>2024</v>
      </c>
      <c r="B1119" s="9" t="s">
        <v>88</v>
      </c>
      <c r="C1119" s="6" t="s">
        <v>111</v>
      </c>
      <c r="D1119">
        <v>202401</v>
      </c>
      <c r="E1119" s="11" t="s">
        <v>49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T1119" t="str">
        <f t="shared" si="56"/>
        <v>040145202401</v>
      </c>
      <c r="U1119">
        <f t="shared" si="57"/>
        <v>0</v>
      </c>
    </row>
    <row r="1120" spans="1:21" x14ac:dyDescent="0.35">
      <c r="A1120">
        <v>2024</v>
      </c>
      <c r="B1120" s="9" t="s">
        <v>88</v>
      </c>
      <c r="C1120" s="6" t="s">
        <v>111</v>
      </c>
      <c r="D1120">
        <v>202401</v>
      </c>
      <c r="E1120" s="11" t="s">
        <v>50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T1120" t="str">
        <f t="shared" si="56"/>
        <v>040147202401</v>
      </c>
      <c r="U1120">
        <f t="shared" si="57"/>
        <v>0</v>
      </c>
    </row>
    <row r="1121" spans="1:21" x14ac:dyDescent="0.35">
      <c r="A1121">
        <v>2024</v>
      </c>
      <c r="B1121" s="9" t="s">
        <v>88</v>
      </c>
      <c r="C1121" s="6" t="s">
        <v>111</v>
      </c>
      <c r="D1121">
        <v>202401</v>
      </c>
      <c r="E1121" s="11" t="s">
        <v>51</v>
      </c>
      <c r="F1121">
        <v>0</v>
      </c>
      <c r="G1121">
        <v>0</v>
      </c>
      <c r="H1121">
        <v>0</v>
      </c>
      <c r="I1121">
        <v>3.8635100000000002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3.6165000000000003E-2</v>
      </c>
      <c r="Q1121">
        <v>0</v>
      </c>
      <c r="R1121">
        <v>0</v>
      </c>
      <c r="T1121" t="str">
        <f t="shared" si="56"/>
        <v>040149202401</v>
      </c>
      <c r="U1121">
        <f t="shared" si="57"/>
        <v>3.8635100000000002</v>
      </c>
    </row>
    <row r="1122" spans="1:21" x14ac:dyDescent="0.35">
      <c r="A1122">
        <v>2024</v>
      </c>
      <c r="B1122" s="9" t="s">
        <v>88</v>
      </c>
      <c r="C1122" s="6" t="s">
        <v>111</v>
      </c>
      <c r="D1122">
        <v>202401</v>
      </c>
      <c r="E1122" s="11" t="s">
        <v>52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T1122" t="str">
        <f t="shared" si="56"/>
        <v>040150202401</v>
      </c>
      <c r="U1122">
        <f t="shared" si="57"/>
        <v>0</v>
      </c>
    </row>
    <row r="1123" spans="1:21" x14ac:dyDescent="0.35">
      <c r="A1123">
        <v>2024</v>
      </c>
      <c r="B1123" s="9" t="s">
        <v>88</v>
      </c>
      <c r="C1123" s="6" t="s">
        <v>111</v>
      </c>
      <c r="D1123">
        <v>202401</v>
      </c>
      <c r="E1123" s="11" t="s">
        <v>53</v>
      </c>
      <c r="F1123">
        <v>1.8610770000000001</v>
      </c>
      <c r="G1123">
        <v>1.8610770000000001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T1123" t="str">
        <f t="shared" si="56"/>
        <v>040151202401</v>
      </c>
      <c r="U1123">
        <f t="shared" si="57"/>
        <v>1.8610770000000001</v>
      </c>
    </row>
    <row r="1124" spans="1:21" x14ac:dyDescent="0.35">
      <c r="A1124">
        <v>2024</v>
      </c>
      <c r="B1124" s="9" t="s">
        <v>88</v>
      </c>
      <c r="C1124" s="6" t="s">
        <v>111</v>
      </c>
      <c r="D1124">
        <v>202401</v>
      </c>
      <c r="E1124" s="11" t="s">
        <v>54</v>
      </c>
      <c r="F1124">
        <v>18.287730979999999</v>
      </c>
      <c r="G1124">
        <v>0</v>
      </c>
      <c r="H1124">
        <v>18.287730979999999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T1124" t="str">
        <f t="shared" si="56"/>
        <v>040152202401</v>
      </c>
      <c r="U1124">
        <f t="shared" si="57"/>
        <v>18.287730979999999</v>
      </c>
    </row>
    <row r="1125" spans="1:21" x14ac:dyDescent="0.35">
      <c r="A1125">
        <v>2024</v>
      </c>
      <c r="B1125" s="9" t="s">
        <v>88</v>
      </c>
      <c r="C1125" s="6" t="s">
        <v>111</v>
      </c>
      <c r="D1125">
        <v>202401</v>
      </c>
      <c r="E1125" s="11" t="s">
        <v>55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3.3384699999999996E-3</v>
      </c>
      <c r="M1125">
        <v>3.3384699999999996E-3</v>
      </c>
      <c r="N1125">
        <v>0</v>
      </c>
      <c r="O1125">
        <v>0</v>
      </c>
      <c r="P1125">
        <v>0</v>
      </c>
      <c r="Q1125">
        <v>0</v>
      </c>
      <c r="R1125">
        <v>0</v>
      </c>
      <c r="T1125" t="str">
        <f t="shared" si="56"/>
        <v>040154202401</v>
      </c>
      <c r="U1125">
        <f t="shared" si="57"/>
        <v>0</v>
      </c>
    </row>
    <row r="1126" spans="1:21" x14ac:dyDescent="0.35">
      <c r="A1126">
        <v>2024</v>
      </c>
      <c r="B1126" s="9" t="s">
        <v>88</v>
      </c>
      <c r="C1126" s="6" t="s">
        <v>111</v>
      </c>
      <c r="D1126">
        <v>202401</v>
      </c>
      <c r="E1126" s="11" t="s">
        <v>56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T1126" t="str">
        <f t="shared" ref="T1126:T1133" si="58">+E1126&amp;D1126</f>
        <v>040155202401</v>
      </c>
      <c r="U1126">
        <f t="shared" ref="U1126:U1133" si="59">+F1126+I1126+J1126</f>
        <v>0</v>
      </c>
    </row>
    <row r="1127" spans="1:21" x14ac:dyDescent="0.35">
      <c r="A1127">
        <v>2024</v>
      </c>
      <c r="B1127" s="9" t="s">
        <v>88</v>
      </c>
      <c r="C1127" s="6" t="s">
        <v>111</v>
      </c>
      <c r="D1127">
        <v>202401</v>
      </c>
      <c r="E1127" s="11" t="s">
        <v>57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T1127" t="str">
        <f t="shared" si="58"/>
        <v>040156202401</v>
      </c>
      <c r="U1127">
        <f t="shared" si="59"/>
        <v>0</v>
      </c>
    </row>
    <row r="1128" spans="1:21" x14ac:dyDescent="0.35">
      <c r="A1128">
        <v>2024</v>
      </c>
      <c r="B1128" s="9" t="s">
        <v>88</v>
      </c>
      <c r="C1128" s="6" t="s">
        <v>111</v>
      </c>
      <c r="D1128">
        <v>202401</v>
      </c>
      <c r="E1128" s="11" t="s">
        <v>58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T1128" t="str">
        <f t="shared" si="58"/>
        <v>040157202401</v>
      </c>
      <c r="U1128">
        <f t="shared" si="59"/>
        <v>0</v>
      </c>
    </row>
    <row r="1129" spans="1:21" x14ac:dyDescent="0.35">
      <c r="A1129">
        <v>2024</v>
      </c>
      <c r="B1129" s="9" t="s">
        <v>88</v>
      </c>
      <c r="C1129" s="6" t="s">
        <v>111</v>
      </c>
      <c r="D1129">
        <v>202401</v>
      </c>
      <c r="E1129" s="11" t="s">
        <v>59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T1129" t="str">
        <f t="shared" si="58"/>
        <v>040158202401</v>
      </c>
      <c r="U1129">
        <f t="shared" si="59"/>
        <v>0</v>
      </c>
    </row>
    <row r="1130" spans="1:21" x14ac:dyDescent="0.35">
      <c r="A1130">
        <v>2024</v>
      </c>
      <c r="B1130" s="9" t="s">
        <v>88</v>
      </c>
      <c r="C1130" s="6" t="s">
        <v>111</v>
      </c>
      <c r="D1130">
        <v>202401</v>
      </c>
      <c r="E1130" s="11" t="s">
        <v>60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T1130" t="str">
        <f t="shared" si="58"/>
        <v>040159202401</v>
      </c>
      <c r="U1130">
        <f t="shared" si="59"/>
        <v>0</v>
      </c>
    </row>
    <row r="1131" spans="1:21" x14ac:dyDescent="0.35">
      <c r="A1131">
        <v>2024</v>
      </c>
      <c r="B1131" s="9" t="s">
        <v>88</v>
      </c>
      <c r="C1131" s="6" t="s">
        <v>111</v>
      </c>
      <c r="D1131">
        <v>202401</v>
      </c>
      <c r="E1131" s="11" t="s">
        <v>63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T1131" t="str">
        <f t="shared" si="58"/>
        <v>040160202401</v>
      </c>
      <c r="U1131">
        <f t="shared" si="59"/>
        <v>0</v>
      </c>
    </row>
    <row r="1132" spans="1:21" x14ac:dyDescent="0.35">
      <c r="A1132">
        <v>2024</v>
      </c>
      <c r="B1132" s="9" t="s">
        <v>88</v>
      </c>
      <c r="C1132" s="6" t="s">
        <v>111</v>
      </c>
      <c r="D1132">
        <v>202401</v>
      </c>
      <c r="E1132" s="11" t="s">
        <v>61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T1132" t="str">
        <f t="shared" si="58"/>
        <v>040162202401</v>
      </c>
      <c r="U1132">
        <f t="shared" si="59"/>
        <v>0</v>
      </c>
    </row>
    <row r="1133" spans="1:21" x14ac:dyDescent="0.35">
      <c r="A1133">
        <v>2024</v>
      </c>
      <c r="B1133" s="9" t="s">
        <v>88</v>
      </c>
      <c r="C1133" s="6" t="s">
        <v>111</v>
      </c>
      <c r="D1133">
        <v>202401</v>
      </c>
      <c r="E1133" s="11" t="s">
        <v>114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T1133" t="str">
        <f t="shared" si="58"/>
        <v>040165202401</v>
      </c>
      <c r="U1133">
        <f t="shared" si="59"/>
        <v>0</v>
      </c>
    </row>
    <row r="1134" spans="1:21" x14ac:dyDescent="0.35">
      <c r="A1134">
        <v>2024</v>
      </c>
      <c r="B1134" s="9" t="s">
        <v>90</v>
      </c>
      <c r="C1134" s="6" t="s">
        <v>115</v>
      </c>
      <c r="D1134">
        <v>202402</v>
      </c>
      <c r="E1134" s="11">
        <v>5</v>
      </c>
      <c r="F1134">
        <v>3082.6262468899999</v>
      </c>
      <c r="G1134">
        <v>3080.39713992</v>
      </c>
      <c r="H1134">
        <v>2.2188964100000002</v>
      </c>
      <c r="I1134">
        <v>10148.69665928</v>
      </c>
      <c r="J1134">
        <v>484.48654079000005</v>
      </c>
      <c r="K1134">
        <v>81.59083665</v>
      </c>
      <c r="L1134">
        <v>1.29175529</v>
      </c>
      <c r="M1134">
        <v>1.29175529</v>
      </c>
      <c r="N1134">
        <v>0</v>
      </c>
      <c r="O1134">
        <v>0</v>
      </c>
      <c r="P1134">
        <v>113.61628337</v>
      </c>
      <c r="Q1134">
        <v>40.748898539999999</v>
      </c>
      <c r="R1134">
        <v>0</v>
      </c>
      <c r="T1134" t="str">
        <f t="shared" ref="T1134:T1179" si="60">+E1134&amp;D1134</f>
        <v>5202402</v>
      </c>
      <c r="U1134">
        <f t="shared" ref="U1134:U1179" si="61">+F1134+I1134+J1134</f>
        <v>13715.80944696</v>
      </c>
    </row>
    <row r="1135" spans="1:21" x14ac:dyDescent="0.35">
      <c r="A1135">
        <v>2024</v>
      </c>
      <c r="B1135" s="9" t="s">
        <v>90</v>
      </c>
      <c r="C1135" s="6" t="s">
        <v>115</v>
      </c>
      <c r="D1135">
        <v>202402</v>
      </c>
      <c r="E1135" s="11" t="s">
        <v>19</v>
      </c>
      <c r="F1135">
        <v>46.180491070000002</v>
      </c>
      <c r="G1135">
        <v>46.180491070000002</v>
      </c>
      <c r="H1135">
        <v>0</v>
      </c>
      <c r="I1135">
        <v>446.73519389999996</v>
      </c>
      <c r="J1135">
        <v>27.067843850000003</v>
      </c>
      <c r="K1135">
        <v>37.607734649999998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T1135" t="str">
        <f t="shared" si="60"/>
        <v>040002202402</v>
      </c>
      <c r="U1135">
        <f t="shared" si="61"/>
        <v>519.98352881999995</v>
      </c>
    </row>
    <row r="1136" spans="1:21" x14ac:dyDescent="0.35">
      <c r="A1136">
        <v>2024</v>
      </c>
      <c r="B1136" s="9" t="s">
        <v>90</v>
      </c>
      <c r="C1136" s="6" t="s">
        <v>115</v>
      </c>
      <c r="D1136">
        <v>202402</v>
      </c>
      <c r="E1136" s="11" t="s">
        <v>20</v>
      </c>
      <c r="F1136">
        <v>1696.2433618599998</v>
      </c>
      <c r="G1136">
        <v>1696.1895042399999</v>
      </c>
      <c r="H1136">
        <v>4.3647059999999994E-2</v>
      </c>
      <c r="I1136">
        <v>3731.4980541899999</v>
      </c>
      <c r="J1136">
        <v>100.1917223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T1136" t="str">
        <f t="shared" si="60"/>
        <v>040012202402</v>
      </c>
      <c r="U1136">
        <f t="shared" si="61"/>
        <v>5527.9331383499994</v>
      </c>
    </row>
    <row r="1137" spans="1:21" x14ac:dyDescent="0.35">
      <c r="A1137">
        <v>2024</v>
      </c>
      <c r="B1137" s="9" t="s">
        <v>90</v>
      </c>
      <c r="C1137" s="6" t="s">
        <v>115</v>
      </c>
      <c r="D1137">
        <v>202402</v>
      </c>
      <c r="E1137" s="11" t="s">
        <v>21</v>
      </c>
      <c r="F1137">
        <v>673.77143599999999</v>
      </c>
      <c r="G1137">
        <v>673.77143599999999</v>
      </c>
      <c r="H1137">
        <v>0</v>
      </c>
      <c r="I1137">
        <v>1730.9288979999999</v>
      </c>
      <c r="J1137">
        <v>127.919292</v>
      </c>
      <c r="K1137">
        <v>43.983102000000002</v>
      </c>
      <c r="L1137">
        <v>1.251736</v>
      </c>
      <c r="M1137">
        <v>1.251736</v>
      </c>
      <c r="N1137">
        <v>0</v>
      </c>
      <c r="O1137">
        <v>0</v>
      </c>
      <c r="P1137">
        <v>36.629080999999999</v>
      </c>
      <c r="Q1137">
        <v>5.0771519999999999</v>
      </c>
      <c r="R1137">
        <v>0</v>
      </c>
      <c r="T1137" t="str">
        <f t="shared" si="60"/>
        <v>040014202402</v>
      </c>
      <c r="U1137">
        <f t="shared" si="61"/>
        <v>2532.6196260000002</v>
      </c>
    </row>
    <row r="1138" spans="1:21" x14ac:dyDescent="0.35">
      <c r="A1138">
        <v>2024</v>
      </c>
      <c r="B1138" s="9" t="s">
        <v>90</v>
      </c>
      <c r="C1138" s="6" t="s">
        <v>115</v>
      </c>
      <c r="D1138">
        <v>202402</v>
      </c>
      <c r="E1138" s="11" t="s">
        <v>22</v>
      </c>
      <c r="F1138">
        <v>60.538552000000003</v>
      </c>
      <c r="G1138">
        <v>60.538552000000003</v>
      </c>
      <c r="H1138">
        <v>0</v>
      </c>
      <c r="I1138">
        <v>958.41364199999998</v>
      </c>
      <c r="J1138">
        <v>28.138252999999999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39.705703999999997</v>
      </c>
      <c r="Q1138">
        <v>19.140671000000001</v>
      </c>
      <c r="R1138">
        <v>0</v>
      </c>
      <c r="T1138" t="str">
        <f t="shared" si="60"/>
        <v>040021202402</v>
      </c>
      <c r="U1138">
        <f t="shared" si="61"/>
        <v>1047.090447</v>
      </c>
    </row>
    <row r="1139" spans="1:21" x14ac:dyDescent="0.35">
      <c r="A1139">
        <v>2024</v>
      </c>
      <c r="B1139" s="9" t="s">
        <v>90</v>
      </c>
      <c r="C1139" s="6" t="s">
        <v>115</v>
      </c>
      <c r="D1139">
        <v>202402</v>
      </c>
      <c r="E1139" s="11" t="s">
        <v>23</v>
      </c>
      <c r="F1139">
        <v>35.668690470000001</v>
      </c>
      <c r="G1139">
        <v>35.668690470000001</v>
      </c>
      <c r="H1139">
        <v>0</v>
      </c>
      <c r="I1139">
        <v>42.369150770000005</v>
      </c>
      <c r="J1139">
        <v>4.8779336500000001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0.32341476000000002</v>
      </c>
      <c r="R1139">
        <v>0</v>
      </c>
      <c r="T1139" t="str">
        <f t="shared" si="60"/>
        <v>040030202402</v>
      </c>
      <c r="U1139">
        <f t="shared" si="61"/>
        <v>82.915774890000009</v>
      </c>
    </row>
    <row r="1140" spans="1:21" x14ac:dyDescent="0.35">
      <c r="A1140">
        <v>2024</v>
      </c>
      <c r="B1140" s="9" t="s">
        <v>90</v>
      </c>
      <c r="C1140" s="6" t="s">
        <v>115</v>
      </c>
      <c r="D1140">
        <v>202402</v>
      </c>
      <c r="E1140" s="11" t="s">
        <v>24</v>
      </c>
      <c r="F1140">
        <v>0</v>
      </c>
      <c r="G1140">
        <v>0</v>
      </c>
      <c r="H1140">
        <v>0</v>
      </c>
      <c r="I1140">
        <v>6.4376449999999998</v>
      </c>
      <c r="J1140">
        <v>2.385E-3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T1140" t="str">
        <f t="shared" si="60"/>
        <v>040036202402</v>
      </c>
      <c r="U1140">
        <f t="shared" si="61"/>
        <v>6.4400300000000001</v>
      </c>
    </row>
    <row r="1141" spans="1:21" x14ac:dyDescent="0.35">
      <c r="A1141">
        <v>2024</v>
      </c>
      <c r="B1141" s="9" t="s">
        <v>90</v>
      </c>
      <c r="C1141" s="6" t="s">
        <v>115</v>
      </c>
      <c r="D1141">
        <v>202402</v>
      </c>
      <c r="E1141" s="11" t="s">
        <v>25</v>
      </c>
      <c r="F1141">
        <v>3.4956520000000002</v>
      </c>
      <c r="G1141">
        <v>3.4956520000000002</v>
      </c>
      <c r="H1141">
        <v>0</v>
      </c>
      <c r="I1141">
        <v>1.8306260000000001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T1141" t="str">
        <f t="shared" si="60"/>
        <v>040042202402</v>
      </c>
      <c r="U1141">
        <f t="shared" si="61"/>
        <v>5.3262780000000003</v>
      </c>
    </row>
    <row r="1142" spans="1:21" x14ac:dyDescent="0.35">
      <c r="A1142">
        <v>2024</v>
      </c>
      <c r="B1142" s="9" t="s">
        <v>90</v>
      </c>
      <c r="C1142" s="6" t="s">
        <v>115</v>
      </c>
      <c r="D1142">
        <v>202402</v>
      </c>
      <c r="E1142" s="11" t="s">
        <v>26</v>
      </c>
      <c r="F1142">
        <v>16.374701000000002</v>
      </c>
      <c r="G1142">
        <v>16.374701000000002</v>
      </c>
      <c r="H1142">
        <v>0</v>
      </c>
      <c r="I1142">
        <v>169.923509</v>
      </c>
      <c r="J1142">
        <v>15.741733</v>
      </c>
      <c r="K1142">
        <v>0</v>
      </c>
      <c r="L1142">
        <v>2.9973E-2</v>
      </c>
      <c r="M1142">
        <v>2.9973E-2</v>
      </c>
      <c r="N1142">
        <v>0</v>
      </c>
      <c r="O1142">
        <v>0</v>
      </c>
      <c r="P1142">
        <v>9.0622779999999992</v>
      </c>
      <c r="Q1142">
        <v>16.037673000000002</v>
      </c>
      <c r="R1142">
        <v>0</v>
      </c>
      <c r="T1142" t="str">
        <f t="shared" si="60"/>
        <v>040044202402</v>
      </c>
      <c r="U1142">
        <f t="shared" si="61"/>
        <v>202.03994299999999</v>
      </c>
    </row>
    <row r="1143" spans="1:21" x14ac:dyDescent="0.35">
      <c r="A1143">
        <v>2024</v>
      </c>
      <c r="B1143" s="9" t="s">
        <v>90</v>
      </c>
      <c r="C1143" s="6" t="s">
        <v>115</v>
      </c>
      <c r="D1143">
        <v>202402</v>
      </c>
      <c r="E1143" s="11" t="s">
        <v>27</v>
      </c>
      <c r="F1143">
        <v>63.919368390000002</v>
      </c>
      <c r="G1143">
        <v>63.919368390000002</v>
      </c>
      <c r="H1143">
        <v>0</v>
      </c>
      <c r="I1143">
        <v>14.208004970000001</v>
      </c>
      <c r="J1143">
        <v>2.62138955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T1143" t="str">
        <f t="shared" si="60"/>
        <v>040058202402</v>
      </c>
      <c r="U1143">
        <f t="shared" si="61"/>
        <v>80.748762910000011</v>
      </c>
    </row>
    <row r="1144" spans="1:21" x14ac:dyDescent="0.35">
      <c r="A1144">
        <v>2024</v>
      </c>
      <c r="B1144" s="9" t="s">
        <v>90</v>
      </c>
      <c r="C1144" s="6" t="s">
        <v>115</v>
      </c>
      <c r="D1144">
        <v>202402</v>
      </c>
      <c r="E1144" s="11" t="s">
        <v>28</v>
      </c>
      <c r="F1144">
        <v>115.85732299999999</v>
      </c>
      <c r="G1144">
        <v>115.85732299999999</v>
      </c>
      <c r="H1144">
        <v>0</v>
      </c>
      <c r="I1144">
        <v>165.34315900000001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T1144" t="str">
        <f t="shared" si="60"/>
        <v>040059202402</v>
      </c>
      <c r="U1144">
        <f t="shared" si="61"/>
        <v>281.20048200000002</v>
      </c>
    </row>
    <row r="1145" spans="1:21" x14ac:dyDescent="0.35">
      <c r="A1145">
        <v>2024</v>
      </c>
      <c r="B1145" s="9" t="s">
        <v>90</v>
      </c>
      <c r="C1145" s="6" t="s">
        <v>115</v>
      </c>
      <c r="D1145">
        <v>202402</v>
      </c>
      <c r="E1145" s="11" t="s">
        <v>62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T1145" t="str">
        <f t="shared" si="60"/>
        <v>040060202402</v>
      </c>
      <c r="U1145">
        <f t="shared" si="61"/>
        <v>0</v>
      </c>
    </row>
    <row r="1146" spans="1:21" x14ac:dyDescent="0.35">
      <c r="A1146">
        <v>2024</v>
      </c>
      <c r="B1146" s="9" t="s">
        <v>90</v>
      </c>
      <c r="C1146" s="6" t="s">
        <v>115</v>
      </c>
      <c r="D1146">
        <v>202402</v>
      </c>
      <c r="E1146" s="11" t="s">
        <v>29</v>
      </c>
      <c r="F1146">
        <v>1.4293999999999999E-2</v>
      </c>
      <c r="G1146">
        <v>1.4293999999999999E-2</v>
      </c>
      <c r="H1146">
        <v>0</v>
      </c>
      <c r="I1146">
        <v>102.391353</v>
      </c>
      <c r="J1146">
        <v>0.223132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T1146" t="str">
        <f t="shared" si="60"/>
        <v>040062202402</v>
      </c>
      <c r="U1146">
        <f t="shared" si="61"/>
        <v>102.62877900000001</v>
      </c>
    </row>
    <row r="1147" spans="1:21" x14ac:dyDescent="0.35">
      <c r="A1147">
        <v>2024</v>
      </c>
      <c r="B1147" s="9" t="s">
        <v>90</v>
      </c>
      <c r="C1147" s="6" t="s">
        <v>115</v>
      </c>
      <c r="D1147">
        <v>202402</v>
      </c>
      <c r="E1147" s="11" t="s">
        <v>30</v>
      </c>
      <c r="F1147">
        <v>327.67941530000002</v>
      </c>
      <c r="G1147">
        <v>327.67941530000002</v>
      </c>
      <c r="H1147">
        <v>0</v>
      </c>
      <c r="I1147">
        <v>1373.40238279</v>
      </c>
      <c r="J1147">
        <v>177.42420888999999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T1147" t="str">
        <f t="shared" si="60"/>
        <v>040072202402</v>
      </c>
      <c r="U1147">
        <f t="shared" si="61"/>
        <v>1878.5060069800002</v>
      </c>
    </row>
    <row r="1148" spans="1:21" x14ac:dyDescent="0.35">
      <c r="A1148">
        <v>2024</v>
      </c>
      <c r="B1148" s="9" t="s">
        <v>90</v>
      </c>
      <c r="C1148" s="6" t="s">
        <v>115</v>
      </c>
      <c r="D1148">
        <v>202402</v>
      </c>
      <c r="E1148" s="11" t="s">
        <v>31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T1148" t="str">
        <f t="shared" si="60"/>
        <v>040106202402</v>
      </c>
      <c r="U1148">
        <f t="shared" si="61"/>
        <v>0</v>
      </c>
    </row>
    <row r="1149" spans="1:21" x14ac:dyDescent="0.35">
      <c r="A1149">
        <v>2024</v>
      </c>
      <c r="B1149" s="9" t="s">
        <v>90</v>
      </c>
      <c r="C1149" s="6" t="s">
        <v>115</v>
      </c>
      <c r="D1149">
        <v>202402</v>
      </c>
      <c r="E1149" s="11" t="s">
        <v>32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T1149" t="str">
        <f t="shared" si="60"/>
        <v>040108202402</v>
      </c>
      <c r="U1149">
        <f t="shared" si="61"/>
        <v>0</v>
      </c>
    </row>
    <row r="1150" spans="1:21" x14ac:dyDescent="0.35">
      <c r="A1150">
        <v>2024</v>
      </c>
      <c r="B1150" s="9" t="s">
        <v>90</v>
      </c>
      <c r="C1150" s="6" t="s">
        <v>115</v>
      </c>
      <c r="D1150">
        <v>202402</v>
      </c>
      <c r="E1150" s="11" t="s">
        <v>33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T1150" t="str">
        <f t="shared" si="60"/>
        <v>040110202402</v>
      </c>
      <c r="U1150">
        <f t="shared" si="61"/>
        <v>0</v>
      </c>
    </row>
    <row r="1151" spans="1:21" x14ac:dyDescent="0.35">
      <c r="A1151">
        <v>2024</v>
      </c>
      <c r="B1151" s="9" t="s">
        <v>90</v>
      </c>
      <c r="C1151" s="6" t="s">
        <v>115</v>
      </c>
      <c r="D1151">
        <v>202402</v>
      </c>
      <c r="E1151" s="11" t="s">
        <v>34</v>
      </c>
      <c r="F1151">
        <v>8.6389090000000002E-2</v>
      </c>
      <c r="G1151">
        <v>8.6389090000000002E-2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T1151" t="str">
        <f t="shared" si="60"/>
        <v>040112202402</v>
      </c>
      <c r="U1151">
        <f t="shared" si="61"/>
        <v>8.6389090000000002E-2</v>
      </c>
    </row>
    <row r="1152" spans="1:21" x14ac:dyDescent="0.35">
      <c r="A1152">
        <v>2024</v>
      </c>
      <c r="B1152" s="9" t="s">
        <v>90</v>
      </c>
      <c r="C1152" s="6" t="s">
        <v>115</v>
      </c>
      <c r="D1152">
        <v>202402</v>
      </c>
      <c r="E1152" s="11" t="s">
        <v>35</v>
      </c>
      <c r="F1152">
        <v>25.161080999999999</v>
      </c>
      <c r="G1152">
        <v>25.161080999999999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T1152" t="str">
        <f t="shared" si="60"/>
        <v>040113202402</v>
      </c>
      <c r="U1152">
        <f t="shared" si="61"/>
        <v>25.161080999999999</v>
      </c>
    </row>
    <row r="1153" spans="1:21" x14ac:dyDescent="0.35">
      <c r="A1153">
        <v>2024</v>
      </c>
      <c r="B1153" s="9" t="s">
        <v>90</v>
      </c>
      <c r="C1153" s="6" t="s">
        <v>115</v>
      </c>
      <c r="D1153">
        <v>202402</v>
      </c>
      <c r="E1153" s="11" t="s">
        <v>37</v>
      </c>
      <c r="F1153">
        <v>0</v>
      </c>
      <c r="G1153">
        <v>0</v>
      </c>
      <c r="H1153">
        <v>0</v>
      </c>
      <c r="I1153">
        <v>1019.85677441</v>
      </c>
      <c r="J1153">
        <v>9.3305000000000003E-3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T1153" t="str">
        <f t="shared" si="60"/>
        <v>040127202402</v>
      </c>
      <c r="U1153">
        <f t="shared" si="61"/>
        <v>1019.86610491</v>
      </c>
    </row>
    <row r="1154" spans="1:21" x14ac:dyDescent="0.35">
      <c r="A1154">
        <v>2024</v>
      </c>
      <c r="B1154" s="9" t="s">
        <v>90</v>
      </c>
      <c r="C1154" s="6" t="s">
        <v>115</v>
      </c>
      <c r="D1154">
        <v>202402</v>
      </c>
      <c r="E1154" s="11" t="s">
        <v>38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T1154" t="str">
        <f t="shared" si="60"/>
        <v>040128202402</v>
      </c>
      <c r="U1154">
        <f t="shared" si="61"/>
        <v>0</v>
      </c>
    </row>
    <row r="1155" spans="1:21" x14ac:dyDescent="0.35">
      <c r="A1155">
        <v>2024</v>
      </c>
      <c r="B1155" s="9" t="s">
        <v>90</v>
      </c>
      <c r="C1155" s="6" t="s">
        <v>115</v>
      </c>
      <c r="D1155">
        <v>202402</v>
      </c>
      <c r="E1155" s="11" t="s">
        <v>39</v>
      </c>
      <c r="F1155">
        <v>0</v>
      </c>
      <c r="G1155">
        <v>0</v>
      </c>
      <c r="H1155">
        <v>0</v>
      </c>
      <c r="I1155">
        <v>332.71005400000001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24.263349999999999</v>
      </c>
      <c r="Q1155">
        <v>0</v>
      </c>
      <c r="R1155">
        <v>0</v>
      </c>
      <c r="T1155" t="str">
        <f t="shared" si="60"/>
        <v>040130202402</v>
      </c>
      <c r="U1155">
        <f t="shared" si="61"/>
        <v>332.71005400000001</v>
      </c>
    </row>
    <row r="1156" spans="1:21" x14ac:dyDescent="0.35">
      <c r="A1156">
        <v>2024</v>
      </c>
      <c r="B1156" s="9" t="s">
        <v>90</v>
      </c>
      <c r="C1156" s="6" t="s">
        <v>115</v>
      </c>
      <c r="D1156">
        <v>202402</v>
      </c>
      <c r="E1156" s="11" t="s">
        <v>40</v>
      </c>
      <c r="F1156">
        <v>0</v>
      </c>
      <c r="G1156">
        <v>0</v>
      </c>
      <c r="H1156">
        <v>0</v>
      </c>
      <c r="I1156">
        <v>7.9999999999999996E-6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T1156" t="str">
        <f t="shared" si="60"/>
        <v>040132202402</v>
      </c>
      <c r="U1156">
        <f t="shared" si="61"/>
        <v>7.9999999999999996E-6</v>
      </c>
    </row>
    <row r="1157" spans="1:21" x14ac:dyDescent="0.35">
      <c r="A1157">
        <v>2024</v>
      </c>
      <c r="B1157" s="9" t="s">
        <v>90</v>
      </c>
      <c r="C1157" s="6" t="s">
        <v>115</v>
      </c>
      <c r="D1157">
        <v>202402</v>
      </c>
      <c r="E1157" s="11" t="s">
        <v>41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T1157" t="str">
        <f t="shared" si="60"/>
        <v>040133202402</v>
      </c>
      <c r="U1157">
        <f t="shared" si="61"/>
        <v>0</v>
      </c>
    </row>
    <row r="1158" spans="1:21" x14ac:dyDescent="0.35">
      <c r="A1158">
        <v>2024</v>
      </c>
      <c r="B1158" s="9" t="s">
        <v>90</v>
      </c>
      <c r="C1158" s="6" t="s">
        <v>115</v>
      </c>
      <c r="D1158">
        <v>202402</v>
      </c>
      <c r="E1158" s="11" t="s">
        <v>42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T1158" t="str">
        <f t="shared" si="60"/>
        <v>040136202402</v>
      </c>
      <c r="U1158">
        <f t="shared" si="61"/>
        <v>0</v>
      </c>
    </row>
    <row r="1159" spans="1:21" x14ac:dyDescent="0.35">
      <c r="A1159">
        <v>2024</v>
      </c>
      <c r="B1159" s="9" t="s">
        <v>90</v>
      </c>
      <c r="C1159" s="6" t="s">
        <v>115</v>
      </c>
      <c r="D1159">
        <v>202402</v>
      </c>
      <c r="E1159" s="11" t="s">
        <v>43</v>
      </c>
      <c r="F1159">
        <v>0</v>
      </c>
      <c r="G1159">
        <v>0</v>
      </c>
      <c r="H1159">
        <v>0</v>
      </c>
      <c r="I1159">
        <v>15.04840875</v>
      </c>
      <c r="J1159">
        <v>0.15356987999999999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T1159" t="str">
        <f t="shared" si="60"/>
        <v>040137202402</v>
      </c>
      <c r="U1159">
        <f t="shared" si="61"/>
        <v>15.201978629999999</v>
      </c>
    </row>
    <row r="1160" spans="1:21" x14ac:dyDescent="0.35">
      <c r="A1160">
        <v>2024</v>
      </c>
      <c r="B1160" s="9" t="s">
        <v>90</v>
      </c>
      <c r="C1160" s="6" t="s">
        <v>115</v>
      </c>
      <c r="D1160">
        <v>202402</v>
      </c>
      <c r="E1160" s="11" t="s">
        <v>44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T1160" t="str">
        <f t="shared" si="60"/>
        <v>040138202402</v>
      </c>
      <c r="U1160">
        <f t="shared" si="61"/>
        <v>0</v>
      </c>
    </row>
    <row r="1161" spans="1:21" x14ac:dyDescent="0.35">
      <c r="A1161">
        <v>2024</v>
      </c>
      <c r="B1161" s="9" t="s">
        <v>90</v>
      </c>
      <c r="C1161" s="6" t="s">
        <v>115</v>
      </c>
      <c r="D1161">
        <v>202402</v>
      </c>
      <c r="E1161" s="11" t="s">
        <v>45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T1161" t="str">
        <f t="shared" si="60"/>
        <v>040139202402</v>
      </c>
      <c r="U1161">
        <f t="shared" si="61"/>
        <v>0</v>
      </c>
    </row>
    <row r="1162" spans="1:21" x14ac:dyDescent="0.35">
      <c r="A1162">
        <v>2024</v>
      </c>
      <c r="B1162" s="9" t="s">
        <v>90</v>
      </c>
      <c r="C1162" s="6" t="s">
        <v>115</v>
      </c>
      <c r="D1162">
        <v>202402</v>
      </c>
      <c r="E1162" s="11" t="s">
        <v>46</v>
      </c>
      <c r="F1162">
        <v>0</v>
      </c>
      <c r="G1162">
        <v>0</v>
      </c>
      <c r="H1162">
        <v>0</v>
      </c>
      <c r="I1162">
        <v>29.476811000000001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T1162" t="str">
        <f t="shared" si="60"/>
        <v>040140202402</v>
      </c>
      <c r="U1162">
        <f t="shared" si="61"/>
        <v>29.476811000000001</v>
      </c>
    </row>
    <row r="1163" spans="1:21" x14ac:dyDescent="0.35">
      <c r="A1163">
        <v>2024</v>
      </c>
      <c r="B1163" s="9" t="s">
        <v>90</v>
      </c>
      <c r="C1163" s="6" t="s">
        <v>115</v>
      </c>
      <c r="D1163">
        <v>202402</v>
      </c>
      <c r="E1163" s="11" t="s">
        <v>47</v>
      </c>
      <c r="F1163">
        <v>0</v>
      </c>
      <c r="G1163">
        <v>0</v>
      </c>
      <c r="H1163">
        <v>0</v>
      </c>
      <c r="I1163">
        <v>3.1184E-2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T1163" t="str">
        <f t="shared" si="60"/>
        <v>040141202402</v>
      </c>
      <c r="U1163">
        <f t="shared" si="61"/>
        <v>3.1184E-2</v>
      </c>
    </row>
    <row r="1164" spans="1:21" x14ac:dyDescent="0.35">
      <c r="A1164">
        <v>2024</v>
      </c>
      <c r="B1164" s="9" t="s">
        <v>90</v>
      </c>
      <c r="C1164" s="6" t="s">
        <v>115</v>
      </c>
      <c r="D1164">
        <v>202402</v>
      </c>
      <c r="E1164" s="11" t="s">
        <v>48</v>
      </c>
      <c r="F1164">
        <v>2.5612544900000001</v>
      </c>
      <c r="G1164">
        <v>0.38600514000000002</v>
      </c>
      <c r="H1164">
        <v>2.1752493500000001</v>
      </c>
      <c r="I1164">
        <v>2.9516705000000001</v>
      </c>
      <c r="J1164">
        <v>0.11574717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3.9301513699999999</v>
      </c>
      <c r="Q1164">
        <v>0.16998778</v>
      </c>
      <c r="R1164">
        <v>0</v>
      </c>
      <c r="T1164" t="str">
        <f t="shared" si="60"/>
        <v>040143202402</v>
      </c>
      <c r="U1164">
        <f t="shared" si="61"/>
        <v>5.6286721599999998</v>
      </c>
    </row>
    <row r="1165" spans="1:21" x14ac:dyDescent="0.35">
      <c r="A1165">
        <v>2024</v>
      </c>
      <c r="B1165" s="9" t="s">
        <v>90</v>
      </c>
      <c r="C1165" s="6" t="s">
        <v>115</v>
      </c>
      <c r="D1165">
        <v>202402</v>
      </c>
      <c r="E1165" s="11" t="s">
        <v>49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T1165" t="str">
        <f t="shared" si="60"/>
        <v>040145202402</v>
      </c>
      <c r="U1165">
        <f t="shared" si="61"/>
        <v>0</v>
      </c>
    </row>
    <row r="1166" spans="1:21" x14ac:dyDescent="0.35">
      <c r="A1166">
        <v>2024</v>
      </c>
      <c r="B1166" s="9" t="s">
        <v>90</v>
      </c>
      <c r="C1166" s="6" t="s">
        <v>115</v>
      </c>
      <c r="D1166">
        <v>202402</v>
      </c>
      <c r="E1166" s="11" t="s">
        <v>50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T1166" t="str">
        <f t="shared" si="60"/>
        <v>040147202402</v>
      </c>
      <c r="U1166">
        <f t="shared" si="61"/>
        <v>0</v>
      </c>
    </row>
    <row r="1167" spans="1:21" x14ac:dyDescent="0.35">
      <c r="A1167">
        <v>2024</v>
      </c>
      <c r="B1167" s="9" t="s">
        <v>90</v>
      </c>
      <c r="C1167" s="6" t="s">
        <v>115</v>
      </c>
      <c r="D1167">
        <v>202402</v>
      </c>
      <c r="E1167" s="11" t="s">
        <v>51</v>
      </c>
      <c r="F1167">
        <v>0</v>
      </c>
      <c r="G1167">
        <v>0</v>
      </c>
      <c r="H1167">
        <v>0</v>
      </c>
      <c r="I1167">
        <v>5.1401300000000001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2.5718999999999999E-2</v>
      </c>
      <c r="Q1167">
        <v>0</v>
      </c>
      <c r="R1167">
        <v>0</v>
      </c>
      <c r="T1167" t="str">
        <f t="shared" si="60"/>
        <v>040149202402</v>
      </c>
      <c r="U1167">
        <f t="shared" si="61"/>
        <v>5.1401300000000001</v>
      </c>
    </row>
    <row r="1168" spans="1:21" x14ac:dyDescent="0.35">
      <c r="A1168">
        <v>2024</v>
      </c>
      <c r="B1168" s="9" t="s">
        <v>90</v>
      </c>
      <c r="C1168" s="6" t="s">
        <v>115</v>
      </c>
      <c r="D1168">
        <v>202402</v>
      </c>
      <c r="E1168" s="11" t="s">
        <v>52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T1168" t="str">
        <f t="shared" si="60"/>
        <v>040150202402</v>
      </c>
      <c r="U1168">
        <f t="shared" si="61"/>
        <v>0</v>
      </c>
    </row>
    <row r="1169" spans="1:21" x14ac:dyDescent="0.35">
      <c r="A1169">
        <v>2024</v>
      </c>
      <c r="B1169" s="9" t="s">
        <v>90</v>
      </c>
      <c r="C1169" s="6" t="s">
        <v>115</v>
      </c>
      <c r="D1169">
        <v>202402</v>
      </c>
      <c r="E1169" s="11" t="s">
        <v>53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T1169" t="str">
        <f t="shared" si="60"/>
        <v>040151202402</v>
      </c>
      <c r="U1169">
        <f t="shared" si="61"/>
        <v>0</v>
      </c>
    </row>
    <row r="1170" spans="1:21" x14ac:dyDescent="0.35">
      <c r="A1170">
        <v>2024</v>
      </c>
      <c r="B1170" s="9" t="s">
        <v>90</v>
      </c>
      <c r="C1170" s="6" t="s">
        <v>115</v>
      </c>
      <c r="D1170">
        <v>202402</v>
      </c>
      <c r="E1170" s="11" t="s">
        <v>54</v>
      </c>
      <c r="F1170">
        <v>1.2066877</v>
      </c>
      <c r="G1170">
        <v>1.2066877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T1170" t="str">
        <f t="shared" si="60"/>
        <v>040152202402</v>
      </c>
      <c r="U1170">
        <f t="shared" si="61"/>
        <v>1.2066877</v>
      </c>
    </row>
    <row r="1171" spans="1:21" x14ac:dyDescent="0.35">
      <c r="A1171">
        <v>2024</v>
      </c>
      <c r="B1171" s="9" t="s">
        <v>90</v>
      </c>
      <c r="C1171" s="6" t="s">
        <v>115</v>
      </c>
      <c r="D1171">
        <v>202402</v>
      </c>
      <c r="E1171" s="11" t="s">
        <v>55</v>
      </c>
      <c r="F1171">
        <v>13.867549519999999</v>
      </c>
      <c r="G1171">
        <v>13.867549519999999</v>
      </c>
      <c r="H1171">
        <v>0</v>
      </c>
      <c r="I1171">
        <v>0</v>
      </c>
      <c r="J1171">
        <v>0</v>
      </c>
      <c r="K1171">
        <v>0</v>
      </c>
      <c r="L1171">
        <v>1.0046290000000001E-2</v>
      </c>
      <c r="M1171">
        <v>1.0046290000000001E-2</v>
      </c>
      <c r="N1171">
        <v>0</v>
      </c>
      <c r="O1171">
        <v>0</v>
      </c>
      <c r="P1171">
        <v>0</v>
      </c>
      <c r="Q1171">
        <v>0</v>
      </c>
      <c r="R1171">
        <v>0</v>
      </c>
      <c r="T1171" t="str">
        <f t="shared" si="60"/>
        <v>040154202402</v>
      </c>
      <c r="U1171">
        <f t="shared" si="61"/>
        <v>13.867549519999999</v>
      </c>
    </row>
    <row r="1172" spans="1:21" x14ac:dyDescent="0.35">
      <c r="A1172">
        <v>2024</v>
      </c>
      <c r="B1172" s="9" t="s">
        <v>90</v>
      </c>
      <c r="C1172" s="6" t="s">
        <v>115</v>
      </c>
      <c r="D1172">
        <v>202402</v>
      </c>
      <c r="E1172" s="11" t="s">
        <v>56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T1172" t="str">
        <f t="shared" si="60"/>
        <v>040155202402</v>
      </c>
      <c r="U1172">
        <f t="shared" si="61"/>
        <v>0</v>
      </c>
    </row>
    <row r="1173" spans="1:21" x14ac:dyDescent="0.35">
      <c r="A1173">
        <v>2024</v>
      </c>
      <c r="B1173" s="9" t="s">
        <v>90</v>
      </c>
      <c r="C1173" s="6" t="s">
        <v>115</v>
      </c>
      <c r="D1173">
        <v>202402</v>
      </c>
      <c r="E1173" s="11" t="s">
        <v>57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T1173" t="str">
        <f t="shared" si="60"/>
        <v>040156202402</v>
      </c>
      <c r="U1173">
        <f t="shared" si="61"/>
        <v>0</v>
      </c>
    </row>
    <row r="1174" spans="1:21" x14ac:dyDescent="0.35">
      <c r="A1174">
        <v>2024</v>
      </c>
      <c r="B1174" s="9" t="s">
        <v>90</v>
      </c>
      <c r="C1174" s="6" t="s">
        <v>115</v>
      </c>
      <c r="D1174">
        <v>202402</v>
      </c>
      <c r="E1174" s="11" t="s">
        <v>58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T1174" t="str">
        <f t="shared" si="60"/>
        <v>040157202402</v>
      </c>
      <c r="U1174">
        <f t="shared" si="61"/>
        <v>0</v>
      </c>
    </row>
    <row r="1175" spans="1:21" x14ac:dyDescent="0.35">
      <c r="A1175">
        <v>2024</v>
      </c>
      <c r="B1175" s="9" t="s">
        <v>90</v>
      </c>
      <c r="C1175" s="6" t="s">
        <v>115</v>
      </c>
      <c r="D1175">
        <v>202402</v>
      </c>
      <c r="E1175" s="11" t="s">
        <v>59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T1175" t="str">
        <f t="shared" si="60"/>
        <v>040158202402</v>
      </c>
      <c r="U1175">
        <f t="shared" si="61"/>
        <v>0</v>
      </c>
    </row>
    <row r="1176" spans="1:21" x14ac:dyDescent="0.35">
      <c r="A1176">
        <v>2024</v>
      </c>
      <c r="B1176" s="9" t="s">
        <v>90</v>
      </c>
      <c r="C1176" s="6" t="s">
        <v>115</v>
      </c>
      <c r="D1176">
        <v>202402</v>
      </c>
      <c r="E1176" s="11" t="s">
        <v>60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T1176" t="str">
        <f t="shared" si="60"/>
        <v>040159202402</v>
      </c>
      <c r="U1176">
        <f t="shared" si="61"/>
        <v>0</v>
      </c>
    </row>
    <row r="1177" spans="1:21" x14ac:dyDescent="0.35">
      <c r="A1177">
        <v>2024</v>
      </c>
      <c r="B1177" s="9" t="s">
        <v>90</v>
      </c>
      <c r="C1177" s="6" t="s">
        <v>115</v>
      </c>
      <c r="D1177">
        <v>202402</v>
      </c>
      <c r="E1177" s="11" t="s">
        <v>63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T1177" t="str">
        <f t="shared" si="60"/>
        <v>040160202402</v>
      </c>
      <c r="U1177">
        <f t="shared" si="61"/>
        <v>0</v>
      </c>
    </row>
    <row r="1178" spans="1:21" x14ac:dyDescent="0.35">
      <c r="A1178">
        <v>2024</v>
      </c>
      <c r="B1178" s="9" t="s">
        <v>90</v>
      </c>
      <c r="C1178" s="6" t="s">
        <v>115</v>
      </c>
      <c r="D1178">
        <v>202402</v>
      </c>
      <c r="E1178" s="11" t="s">
        <v>61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T1178" t="str">
        <f t="shared" si="60"/>
        <v>040162202402</v>
      </c>
      <c r="U1178">
        <f t="shared" si="61"/>
        <v>0</v>
      </c>
    </row>
    <row r="1179" spans="1:21" x14ac:dyDescent="0.35">
      <c r="A1179">
        <v>2024</v>
      </c>
      <c r="B1179" s="9" t="s">
        <v>90</v>
      </c>
      <c r="C1179" s="6" t="s">
        <v>115</v>
      </c>
      <c r="D1179">
        <v>202402</v>
      </c>
      <c r="E1179" s="11" t="s">
        <v>114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T1179" t="str">
        <f t="shared" si="60"/>
        <v>040165202402</v>
      </c>
      <c r="U1179">
        <f t="shared" si="61"/>
        <v>0</v>
      </c>
    </row>
    <row r="1180" spans="1:21" x14ac:dyDescent="0.35">
      <c r="A1180">
        <v>2024</v>
      </c>
      <c r="B1180" s="9" t="s">
        <v>91</v>
      </c>
      <c r="C1180" s="6" t="s">
        <v>116</v>
      </c>
      <c r="D1180">
        <v>202403</v>
      </c>
      <c r="E1180" s="11">
        <v>5</v>
      </c>
      <c r="F1180">
        <v>3034.0123611500003</v>
      </c>
      <c r="G1180">
        <v>3023.0269224399999</v>
      </c>
      <c r="H1180">
        <v>9.8794492300000005</v>
      </c>
      <c r="I1180">
        <v>10181.484792409999</v>
      </c>
      <c r="J1180">
        <v>447.23121073999999</v>
      </c>
      <c r="K1180">
        <v>38.953546750000001</v>
      </c>
      <c r="L1180">
        <v>0.18348100000000001</v>
      </c>
      <c r="M1180">
        <v>0.18348100000000001</v>
      </c>
      <c r="N1180">
        <v>0</v>
      </c>
      <c r="O1180">
        <v>0</v>
      </c>
      <c r="P1180">
        <v>99.364640909999991</v>
      </c>
      <c r="Q1180">
        <v>35.553420430000003</v>
      </c>
      <c r="R1180">
        <v>0</v>
      </c>
      <c r="T1180" t="str">
        <f t="shared" ref="T1180:T1225" si="62">+E1180&amp;D1180</f>
        <v>5202403</v>
      </c>
      <c r="U1180">
        <f t="shared" ref="U1180:U1225" si="63">+F1180+I1180+J1180</f>
        <v>13662.728364299999</v>
      </c>
    </row>
    <row r="1181" spans="1:21" x14ac:dyDescent="0.35">
      <c r="A1181">
        <v>2024</v>
      </c>
      <c r="B1181" s="9" t="s">
        <v>91</v>
      </c>
      <c r="C1181" s="6" t="s">
        <v>116</v>
      </c>
      <c r="D1181">
        <v>202403</v>
      </c>
      <c r="E1181" s="11" t="s">
        <v>19</v>
      </c>
      <c r="F1181">
        <v>71.154156880000002</v>
      </c>
      <c r="G1181">
        <v>71.154156880000002</v>
      </c>
      <c r="H1181">
        <v>0</v>
      </c>
      <c r="I1181">
        <v>270.13839658999996</v>
      </c>
      <c r="J1181">
        <v>35.856648880000002</v>
      </c>
      <c r="K1181">
        <v>38.953546750000001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T1181" t="str">
        <f t="shared" si="62"/>
        <v>040002202403</v>
      </c>
      <c r="U1181">
        <f t="shared" si="63"/>
        <v>377.14920235</v>
      </c>
    </row>
    <row r="1182" spans="1:21" x14ac:dyDescent="0.35">
      <c r="A1182">
        <v>2024</v>
      </c>
      <c r="B1182" s="9" t="s">
        <v>91</v>
      </c>
      <c r="C1182" s="6" t="s">
        <v>116</v>
      </c>
      <c r="D1182">
        <v>202403</v>
      </c>
      <c r="E1182" s="11" t="s">
        <v>20</v>
      </c>
      <c r="F1182">
        <v>415.31052786999999</v>
      </c>
      <c r="G1182">
        <v>414.98172429000005</v>
      </c>
      <c r="H1182">
        <v>0.26548709999999998</v>
      </c>
      <c r="I1182">
        <v>3720.8160949399999</v>
      </c>
      <c r="J1182">
        <v>30.31936936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T1182" t="str">
        <f t="shared" si="62"/>
        <v>040012202403</v>
      </c>
      <c r="U1182">
        <f t="shared" si="63"/>
        <v>4166.445992169999</v>
      </c>
    </row>
    <row r="1183" spans="1:21" x14ac:dyDescent="0.35">
      <c r="A1183">
        <v>2024</v>
      </c>
      <c r="B1183" s="9" t="s">
        <v>91</v>
      </c>
      <c r="C1183" s="6" t="s">
        <v>116</v>
      </c>
      <c r="D1183">
        <v>202403</v>
      </c>
      <c r="E1183" s="11" t="s">
        <v>21</v>
      </c>
      <c r="F1183">
        <v>740.091498</v>
      </c>
      <c r="G1183">
        <v>740.091498</v>
      </c>
      <c r="H1183">
        <v>0</v>
      </c>
      <c r="I1183">
        <v>2029.38978</v>
      </c>
      <c r="J1183">
        <v>95.181537000000006</v>
      </c>
      <c r="K1183">
        <v>0</v>
      </c>
      <c r="L1183">
        <v>0.110391</v>
      </c>
      <c r="M1183">
        <v>0.110391</v>
      </c>
      <c r="N1183">
        <v>0</v>
      </c>
      <c r="O1183">
        <v>0</v>
      </c>
      <c r="P1183">
        <v>31.584358999999999</v>
      </c>
      <c r="Q1183">
        <v>5.6756520000000004</v>
      </c>
      <c r="R1183">
        <v>0</v>
      </c>
      <c r="T1183" t="str">
        <f t="shared" si="62"/>
        <v>040014202403</v>
      </c>
      <c r="U1183">
        <f t="shared" si="63"/>
        <v>2864.6628150000001</v>
      </c>
    </row>
    <row r="1184" spans="1:21" x14ac:dyDescent="0.35">
      <c r="A1184">
        <v>2024</v>
      </c>
      <c r="B1184" s="9" t="s">
        <v>91</v>
      </c>
      <c r="C1184" s="6" t="s">
        <v>116</v>
      </c>
      <c r="D1184">
        <v>202403</v>
      </c>
      <c r="E1184" s="11" t="s">
        <v>22</v>
      </c>
      <c r="F1184">
        <v>454.00895400000002</v>
      </c>
      <c r="G1184">
        <v>452.96628099999998</v>
      </c>
      <c r="H1184">
        <v>0</v>
      </c>
      <c r="I1184">
        <v>889.30512199999998</v>
      </c>
      <c r="J1184">
        <v>32.939298000000001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35.823486000000003</v>
      </c>
      <c r="Q1184">
        <v>17.370526999999999</v>
      </c>
      <c r="R1184">
        <v>0</v>
      </c>
      <c r="T1184" t="str">
        <f t="shared" si="62"/>
        <v>040021202403</v>
      </c>
      <c r="U1184">
        <f t="shared" si="63"/>
        <v>1376.2533740000001</v>
      </c>
    </row>
    <row r="1185" spans="1:21" x14ac:dyDescent="0.35">
      <c r="A1185">
        <v>2024</v>
      </c>
      <c r="B1185" s="9" t="s">
        <v>91</v>
      </c>
      <c r="C1185" s="6" t="s">
        <v>116</v>
      </c>
      <c r="D1185">
        <v>202403</v>
      </c>
      <c r="E1185" s="11" t="s">
        <v>23</v>
      </c>
      <c r="F1185">
        <v>36.761880249999997</v>
      </c>
      <c r="G1185">
        <v>36.761880249999997</v>
      </c>
      <c r="H1185">
        <v>0</v>
      </c>
      <c r="I1185">
        <v>41.902621170000003</v>
      </c>
      <c r="J1185">
        <v>3.1582614900000001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0.45496846999999996</v>
      </c>
      <c r="R1185">
        <v>0</v>
      </c>
      <c r="T1185" t="str">
        <f t="shared" si="62"/>
        <v>040030202403</v>
      </c>
      <c r="U1185">
        <f t="shared" si="63"/>
        <v>81.822762909999994</v>
      </c>
    </row>
    <row r="1186" spans="1:21" x14ac:dyDescent="0.35">
      <c r="A1186">
        <v>2024</v>
      </c>
      <c r="B1186" s="9" t="s">
        <v>91</v>
      </c>
      <c r="C1186" s="6" t="s">
        <v>116</v>
      </c>
      <c r="D1186">
        <v>202403</v>
      </c>
      <c r="E1186" s="11" t="s">
        <v>24</v>
      </c>
      <c r="F1186">
        <v>0</v>
      </c>
      <c r="G1186">
        <v>0</v>
      </c>
      <c r="H1186">
        <v>0</v>
      </c>
      <c r="I1186">
        <v>9.2187359999999998</v>
      </c>
      <c r="J1186">
        <v>1.6670000000000001E-3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T1186" t="str">
        <f t="shared" si="62"/>
        <v>040036202403</v>
      </c>
      <c r="U1186">
        <f t="shared" si="63"/>
        <v>9.2204029999999992</v>
      </c>
    </row>
    <row r="1187" spans="1:21" x14ac:dyDescent="0.35">
      <c r="A1187">
        <v>2024</v>
      </c>
      <c r="B1187" s="9" t="s">
        <v>91</v>
      </c>
      <c r="C1187" s="6" t="s">
        <v>116</v>
      </c>
      <c r="D1187">
        <v>202403</v>
      </c>
      <c r="E1187" s="11" t="s">
        <v>25</v>
      </c>
      <c r="F1187">
        <v>12.975320999999999</v>
      </c>
      <c r="G1187">
        <v>12.975320999999999</v>
      </c>
      <c r="H1187">
        <v>0</v>
      </c>
      <c r="I1187">
        <v>1.4796309999999999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T1187" t="str">
        <f t="shared" si="62"/>
        <v>040042202403</v>
      </c>
      <c r="U1187">
        <f t="shared" si="63"/>
        <v>14.454951999999999</v>
      </c>
    </row>
    <row r="1188" spans="1:21" x14ac:dyDescent="0.35">
      <c r="A1188">
        <v>2024</v>
      </c>
      <c r="B1188" s="9" t="s">
        <v>91</v>
      </c>
      <c r="C1188" s="6" t="s">
        <v>116</v>
      </c>
      <c r="D1188">
        <v>202403</v>
      </c>
      <c r="E1188" s="11" t="s">
        <v>26</v>
      </c>
      <c r="F1188">
        <v>0.71143500000000004</v>
      </c>
      <c r="G1188">
        <v>0.71143500000000004</v>
      </c>
      <c r="H1188">
        <v>0</v>
      </c>
      <c r="I1188">
        <v>157.83381900000001</v>
      </c>
      <c r="J1188">
        <v>22.494160999999998</v>
      </c>
      <c r="K1188">
        <v>0</v>
      </c>
      <c r="L1188">
        <v>7.3090000000000002E-2</v>
      </c>
      <c r="M1188">
        <v>7.3090000000000002E-2</v>
      </c>
      <c r="N1188">
        <v>0</v>
      </c>
      <c r="O1188">
        <v>0</v>
      </c>
      <c r="P1188">
        <v>11.741175999999999</v>
      </c>
      <c r="Q1188">
        <v>12.036047</v>
      </c>
      <c r="R1188">
        <v>0</v>
      </c>
      <c r="T1188" t="str">
        <f t="shared" si="62"/>
        <v>040044202403</v>
      </c>
      <c r="U1188">
        <f t="shared" si="63"/>
        <v>181.03941499999999</v>
      </c>
    </row>
    <row r="1189" spans="1:21" x14ac:dyDescent="0.35">
      <c r="A1189">
        <v>2024</v>
      </c>
      <c r="B1189" s="9" t="s">
        <v>91</v>
      </c>
      <c r="C1189" s="6" t="s">
        <v>116</v>
      </c>
      <c r="D1189">
        <v>202403</v>
      </c>
      <c r="E1189" s="11" t="s">
        <v>27</v>
      </c>
      <c r="F1189">
        <v>19.973696780000001</v>
      </c>
      <c r="G1189">
        <v>19.973696780000001</v>
      </c>
      <c r="H1189">
        <v>0</v>
      </c>
      <c r="I1189">
        <v>115.13369440000001</v>
      </c>
      <c r="J1189">
        <v>0.68116296999999992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T1189" t="str">
        <f t="shared" si="62"/>
        <v>040058202403</v>
      </c>
      <c r="U1189">
        <f t="shared" si="63"/>
        <v>135.78855415000001</v>
      </c>
    </row>
    <row r="1190" spans="1:21" x14ac:dyDescent="0.35">
      <c r="A1190">
        <v>2024</v>
      </c>
      <c r="B1190" s="9" t="s">
        <v>91</v>
      </c>
      <c r="C1190" s="6" t="s">
        <v>116</v>
      </c>
      <c r="D1190">
        <v>202403</v>
      </c>
      <c r="E1190" s="11" t="s">
        <v>28</v>
      </c>
      <c r="F1190">
        <v>0</v>
      </c>
      <c r="G1190">
        <v>0</v>
      </c>
      <c r="H1190">
        <v>0</v>
      </c>
      <c r="I1190">
        <v>148.40714800000001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T1190" t="str">
        <f t="shared" si="62"/>
        <v>040059202403</v>
      </c>
      <c r="U1190">
        <f t="shared" si="63"/>
        <v>148.40714800000001</v>
      </c>
    </row>
    <row r="1191" spans="1:21" x14ac:dyDescent="0.35">
      <c r="A1191">
        <v>2024</v>
      </c>
      <c r="B1191" s="9" t="s">
        <v>91</v>
      </c>
      <c r="C1191" s="6" t="s">
        <v>116</v>
      </c>
      <c r="D1191">
        <v>202403</v>
      </c>
      <c r="E1191" s="11" t="s">
        <v>62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T1191" t="str">
        <f t="shared" si="62"/>
        <v>040060202403</v>
      </c>
      <c r="U1191">
        <f t="shared" si="63"/>
        <v>0</v>
      </c>
    </row>
    <row r="1192" spans="1:21" x14ac:dyDescent="0.35">
      <c r="A1192">
        <v>2024</v>
      </c>
      <c r="B1192" s="9" t="s">
        <v>91</v>
      </c>
      <c r="C1192" s="6" t="s">
        <v>116</v>
      </c>
      <c r="D1192">
        <v>202403</v>
      </c>
      <c r="E1192" s="11" t="s">
        <v>29</v>
      </c>
      <c r="F1192">
        <v>6.7219999999999997E-3</v>
      </c>
      <c r="G1192">
        <v>6.7219999999999997E-3</v>
      </c>
      <c r="H1192">
        <v>0</v>
      </c>
      <c r="I1192">
        <v>85.559607</v>
      </c>
      <c r="J1192">
        <v>1.5077999999999999E-2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T1192" t="str">
        <f t="shared" si="62"/>
        <v>040062202403</v>
      </c>
      <c r="U1192">
        <f t="shared" si="63"/>
        <v>85.581406999999999</v>
      </c>
    </row>
    <row r="1193" spans="1:21" x14ac:dyDescent="0.35">
      <c r="A1193">
        <v>2024</v>
      </c>
      <c r="B1193" s="9" t="s">
        <v>91</v>
      </c>
      <c r="C1193" s="6" t="s">
        <v>116</v>
      </c>
      <c r="D1193">
        <v>202403</v>
      </c>
      <c r="E1193" s="11" t="s">
        <v>30</v>
      </c>
      <c r="F1193">
        <v>75.302616610000001</v>
      </c>
      <c r="G1193">
        <v>75.302616610000001</v>
      </c>
      <c r="H1193">
        <v>0</v>
      </c>
      <c r="I1193">
        <v>1347.1370077399999</v>
      </c>
      <c r="J1193">
        <v>226.18117419999999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T1193" t="str">
        <f t="shared" si="62"/>
        <v>040072202403</v>
      </c>
      <c r="U1193">
        <f t="shared" si="63"/>
        <v>1648.62079855</v>
      </c>
    </row>
    <row r="1194" spans="1:21" x14ac:dyDescent="0.35">
      <c r="A1194">
        <v>2024</v>
      </c>
      <c r="B1194" s="9" t="s">
        <v>91</v>
      </c>
      <c r="C1194" s="6" t="s">
        <v>116</v>
      </c>
      <c r="D1194">
        <v>202403</v>
      </c>
      <c r="E1194" s="11" t="s">
        <v>31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T1194" t="str">
        <f t="shared" si="62"/>
        <v>040106202403</v>
      </c>
      <c r="U1194">
        <f t="shared" si="63"/>
        <v>0</v>
      </c>
    </row>
    <row r="1195" spans="1:21" x14ac:dyDescent="0.35">
      <c r="A1195">
        <v>2024</v>
      </c>
      <c r="B1195" s="9" t="s">
        <v>91</v>
      </c>
      <c r="C1195" s="6" t="s">
        <v>116</v>
      </c>
      <c r="D1195">
        <v>202403</v>
      </c>
      <c r="E1195" s="11" t="s">
        <v>32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T1195" t="str">
        <f t="shared" si="62"/>
        <v>040108202403</v>
      </c>
      <c r="U1195">
        <f t="shared" si="63"/>
        <v>0</v>
      </c>
    </row>
    <row r="1196" spans="1:21" x14ac:dyDescent="0.35">
      <c r="A1196">
        <v>2024</v>
      </c>
      <c r="B1196" s="9" t="s">
        <v>91</v>
      </c>
      <c r="C1196" s="6" t="s">
        <v>116</v>
      </c>
      <c r="D1196">
        <v>202403</v>
      </c>
      <c r="E1196" s="11" t="s">
        <v>33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T1196" t="str">
        <f t="shared" si="62"/>
        <v>040110202403</v>
      </c>
      <c r="U1196">
        <f t="shared" si="63"/>
        <v>0</v>
      </c>
    </row>
    <row r="1197" spans="1:21" x14ac:dyDescent="0.35">
      <c r="A1197">
        <v>2024</v>
      </c>
      <c r="B1197" s="9" t="s">
        <v>91</v>
      </c>
      <c r="C1197" s="6" t="s">
        <v>116</v>
      </c>
      <c r="D1197">
        <v>202403</v>
      </c>
      <c r="E1197" s="11" t="s">
        <v>34</v>
      </c>
      <c r="F1197">
        <v>0.12456848</v>
      </c>
      <c r="G1197">
        <v>0.12375492</v>
      </c>
      <c r="H1197">
        <v>8.1355999999999996E-4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T1197" t="str">
        <f t="shared" si="62"/>
        <v>040112202403</v>
      </c>
      <c r="U1197">
        <f t="shared" si="63"/>
        <v>0.12456848</v>
      </c>
    </row>
    <row r="1198" spans="1:21" x14ac:dyDescent="0.35">
      <c r="A1198">
        <v>2024</v>
      </c>
      <c r="B1198" s="9" t="s">
        <v>91</v>
      </c>
      <c r="C1198" s="6" t="s">
        <v>116</v>
      </c>
      <c r="D1198">
        <v>202403</v>
      </c>
      <c r="E1198" s="11" t="s">
        <v>35</v>
      </c>
      <c r="F1198">
        <v>25.136571</v>
      </c>
      <c r="G1198">
        <v>25.136571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T1198" t="str">
        <f t="shared" si="62"/>
        <v>040113202403</v>
      </c>
      <c r="U1198">
        <f t="shared" si="63"/>
        <v>25.136571</v>
      </c>
    </row>
    <row r="1199" spans="1:21" x14ac:dyDescent="0.35">
      <c r="A1199">
        <v>2024</v>
      </c>
      <c r="B1199" s="9" t="s">
        <v>91</v>
      </c>
      <c r="C1199" s="6" t="s">
        <v>116</v>
      </c>
      <c r="D1199">
        <v>202403</v>
      </c>
      <c r="E1199" s="11" t="s">
        <v>37</v>
      </c>
      <c r="F1199">
        <v>0</v>
      </c>
      <c r="G1199">
        <v>0</v>
      </c>
      <c r="H1199">
        <v>0</v>
      </c>
      <c r="I1199">
        <v>947.80158007</v>
      </c>
      <c r="J1199">
        <v>3.2208239999999999E-2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T1199" t="str">
        <f t="shared" si="62"/>
        <v>040127202403</v>
      </c>
      <c r="U1199">
        <f t="shared" si="63"/>
        <v>947.83378831000005</v>
      </c>
    </row>
    <row r="1200" spans="1:21" x14ac:dyDescent="0.35">
      <c r="A1200">
        <v>2024</v>
      </c>
      <c r="B1200" s="9" t="s">
        <v>91</v>
      </c>
      <c r="C1200" s="6" t="s">
        <v>116</v>
      </c>
      <c r="D1200">
        <v>202403</v>
      </c>
      <c r="E1200" s="11" t="s">
        <v>38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T1200" t="str">
        <f t="shared" si="62"/>
        <v>040128202403</v>
      </c>
      <c r="U1200">
        <f t="shared" si="63"/>
        <v>0</v>
      </c>
    </row>
    <row r="1201" spans="1:21" x14ac:dyDescent="0.35">
      <c r="A1201">
        <v>2024</v>
      </c>
      <c r="B1201" s="9" t="s">
        <v>91</v>
      </c>
      <c r="C1201" s="6" t="s">
        <v>116</v>
      </c>
      <c r="D1201">
        <v>202403</v>
      </c>
      <c r="E1201" s="11" t="s">
        <v>39</v>
      </c>
      <c r="F1201">
        <v>0</v>
      </c>
      <c r="G1201">
        <v>0</v>
      </c>
      <c r="H1201">
        <v>0</v>
      </c>
      <c r="I1201">
        <v>344.01599499999998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14.910985</v>
      </c>
      <c r="Q1201">
        <v>0</v>
      </c>
      <c r="R1201">
        <v>0</v>
      </c>
      <c r="T1201" t="str">
        <f t="shared" si="62"/>
        <v>040130202403</v>
      </c>
      <c r="U1201">
        <f t="shared" si="63"/>
        <v>344.01599499999998</v>
      </c>
    </row>
    <row r="1202" spans="1:21" x14ac:dyDescent="0.35">
      <c r="A1202">
        <v>2024</v>
      </c>
      <c r="B1202" s="9" t="s">
        <v>91</v>
      </c>
      <c r="C1202" s="6" t="s">
        <v>116</v>
      </c>
      <c r="D1202">
        <v>202403</v>
      </c>
      <c r="E1202" s="11" t="s">
        <v>40</v>
      </c>
      <c r="F1202">
        <v>1155.2851499999999</v>
      </c>
      <c r="G1202">
        <v>1155.2851499999999</v>
      </c>
      <c r="H1202">
        <v>0</v>
      </c>
      <c r="I1202">
        <v>6.9999999999999999E-6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T1202" t="str">
        <f t="shared" si="62"/>
        <v>040132202403</v>
      </c>
      <c r="U1202">
        <f t="shared" si="63"/>
        <v>1155.285157</v>
      </c>
    </row>
    <row r="1203" spans="1:21" x14ac:dyDescent="0.35">
      <c r="A1203">
        <v>2024</v>
      </c>
      <c r="B1203" s="9" t="s">
        <v>91</v>
      </c>
      <c r="C1203" s="6" t="s">
        <v>116</v>
      </c>
      <c r="D1203">
        <v>202403</v>
      </c>
      <c r="E1203" s="11" t="s">
        <v>41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T1203" t="str">
        <f t="shared" si="62"/>
        <v>040133202403</v>
      </c>
      <c r="U1203">
        <f t="shared" si="63"/>
        <v>0</v>
      </c>
    </row>
    <row r="1204" spans="1:21" x14ac:dyDescent="0.35">
      <c r="A1204">
        <v>2024</v>
      </c>
      <c r="B1204" s="9" t="s">
        <v>91</v>
      </c>
      <c r="C1204" s="6" t="s">
        <v>116</v>
      </c>
      <c r="D1204">
        <v>202403</v>
      </c>
      <c r="E1204" s="11" t="s">
        <v>42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T1204" t="str">
        <f t="shared" si="62"/>
        <v>040136202403</v>
      </c>
      <c r="U1204">
        <f t="shared" si="63"/>
        <v>0</v>
      </c>
    </row>
    <row r="1205" spans="1:21" x14ac:dyDescent="0.35">
      <c r="A1205">
        <v>2024</v>
      </c>
      <c r="B1205" s="9" t="s">
        <v>91</v>
      </c>
      <c r="C1205" s="6" t="s">
        <v>116</v>
      </c>
      <c r="D1205">
        <v>202403</v>
      </c>
      <c r="E1205" s="11" t="s">
        <v>43</v>
      </c>
      <c r="F1205">
        <v>0</v>
      </c>
      <c r="G1205">
        <v>0</v>
      </c>
      <c r="H1205">
        <v>0</v>
      </c>
      <c r="I1205">
        <v>10.053164900000001</v>
      </c>
      <c r="J1205">
        <v>0.35120903999999997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T1205" t="str">
        <f t="shared" si="62"/>
        <v>040137202403</v>
      </c>
      <c r="U1205">
        <f t="shared" si="63"/>
        <v>10.404373940000001</v>
      </c>
    </row>
    <row r="1206" spans="1:21" x14ac:dyDescent="0.35">
      <c r="A1206">
        <v>2024</v>
      </c>
      <c r="B1206" s="9" t="s">
        <v>91</v>
      </c>
      <c r="C1206" s="6" t="s">
        <v>116</v>
      </c>
      <c r="D1206">
        <v>202403</v>
      </c>
      <c r="E1206" s="11" t="s">
        <v>44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T1206" t="str">
        <f t="shared" si="62"/>
        <v>040138202403</v>
      </c>
      <c r="U1206">
        <f t="shared" si="63"/>
        <v>0</v>
      </c>
    </row>
    <row r="1207" spans="1:21" x14ac:dyDescent="0.35">
      <c r="A1207">
        <v>2024</v>
      </c>
      <c r="B1207" s="9" t="s">
        <v>91</v>
      </c>
      <c r="C1207" s="6" t="s">
        <v>116</v>
      </c>
      <c r="D1207">
        <v>202403</v>
      </c>
      <c r="E1207" s="11" t="s">
        <v>45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T1207" t="str">
        <f t="shared" si="62"/>
        <v>040139202403</v>
      </c>
      <c r="U1207">
        <f t="shared" si="63"/>
        <v>0</v>
      </c>
    </row>
    <row r="1208" spans="1:21" x14ac:dyDescent="0.35">
      <c r="A1208">
        <v>2024</v>
      </c>
      <c r="B1208" s="9" t="s">
        <v>91</v>
      </c>
      <c r="C1208" s="6" t="s">
        <v>116</v>
      </c>
      <c r="D1208">
        <v>202403</v>
      </c>
      <c r="E1208" s="11" t="s">
        <v>46</v>
      </c>
      <c r="F1208">
        <v>0</v>
      </c>
      <c r="G1208">
        <v>0</v>
      </c>
      <c r="H1208">
        <v>0</v>
      </c>
      <c r="I1208">
        <v>45.609363999999999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T1208" t="str">
        <f t="shared" si="62"/>
        <v>040140202403</v>
      </c>
      <c r="U1208">
        <f t="shared" si="63"/>
        <v>45.609363999999999</v>
      </c>
    </row>
    <row r="1209" spans="1:21" x14ac:dyDescent="0.35">
      <c r="A1209">
        <v>2024</v>
      </c>
      <c r="B1209" s="9" t="s">
        <v>91</v>
      </c>
      <c r="C1209" s="6" t="s">
        <v>116</v>
      </c>
      <c r="D1209">
        <v>202403</v>
      </c>
      <c r="E1209" s="11" t="s">
        <v>47</v>
      </c>
      <c r="F1209">
        <v>0</v>
      </c>
      <c r="G1209">
        <v>0</v>
      </c>
      <c r="H1209">
        <v>0</v>
      </c>
      <c r="I1209">
        <v>13.037756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T1209" t="str">
        <f t="shared" si="62"/>
        <v>040141202403</v>
      </c>
      <c r="U1209">
        <f t="shared" si="63"/>
        <v>13.037756</v>
      </c>
    </row>
    <row r="1210" spans="1:21" x14ac:dyDescent="0.35">
      <c r="A1210">
        <v>2024</v>
      </c>
      <c r="B1210" s="9" t="s">
        <v>91</v>
      </c>
      <c r="C1210" s="6" t="s">
        <v>116</v>
      </c>
      <c r="D1210">
        <v>202403</v>
      </c>
      <c r="E1210" s="11" t="s">
        <v>48</v>
      </c>
      <c r="F1210">
        <v>5.0403549500000002</v>
      </c>
      <c r="G1210">
        <v>4.0362567299999998</v>
      </c>
      <c r="H1210">
        <v>1.0040982199999999</v>
      </c>
      <c r="I1210">
        <v>1.6077636000000002</v>
      </c>
      <c r="J1210">
        <v>1.9435560000000001E-2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5.28128391</v>
      </c>
      <c r="Q1210">
        <v>1.6225959999999998E-2</v>
      </c>
      <c r="R1210">
        <v>0</v>
      </c>
      <c r="T1210" t="str">
        <f t="shared" si="62"/>
        <v>040143202403</v>
      </c>
      <c r="U1210">
        <f t="shared" si="63"/>
        <v>6.6675541100000002</v>
      </c>
    </row>
    <row r="1211" spans="1:21" x14ac:dyDescent="0.35">
      <c r="A1211">
        <v>2024</v>
      </c>
      <c r="B1211" s="9" t="s">
        <v>91</v>
      </c>
      <c r="C1211" s="6" t="s">
        <v>116</v>
      </c>
      <c r="D1211">
        <v>202403</v>
      </c>
      <c r="E1211" s="11" t="s">
        <v>49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T1211" t="str">
        <f t="shared" si="62"/>
        <v>040145202403</v>
      </c>
      <c r="U1211">
        <f t="shared" si="63"/>
        <v>0</v>
      </c>
    </row>
    <row r="1212" spans="1:21" x14ac:dyDescent="0.35">
      <c r="A1212">
        <v>2024</v>
      </c>
      <c r="B1212" s="9" t="s">
        <v>91</v>
      </c>
      <c r="C1212" s="6" t="s">
        <v>116</v>
      </c>
      <c r="D1212">
        <v>202403</v>
      </c>
      <c r="E1212" s="11" t="s">
        <v>50</v>
      </c>
      <c r="F1212">
        <v>9.7822823299999992</v>
      </c>
      <c r="G1212">
        <v>1.17323198</v>
      </c>
      <c r="H1212">
        <v>8.6090503500000004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T1212" t="str">
        <f t="shared" si="62"/>
        <v>040147202403</v>
      </c>
      <c r="U1212">
        <f t="shared" si="63"/>
        <v>9.7822823299999992</v>
      </c>
    </row>
    <row r="1213" spans="1:21" x14ac:dyDescent="0.35">
      <c r="A1213">
        <v>2024</v>
      </c>
      <c r="B1213" s="9" t="s">
        <v>91</v>
      </c>
      <c r="C1213" s="6" t="s">
        <v>116</v>
      </c>
      <c r="D1213">
        <v>202403</v>
      </c>
      <c r="E1213" s="11" t="s">
        <v>51</v>
      </c>
      <c r="F1213">
        <v>0</v>
      </c>
      <c r="G1213">
        <v>0</v>
      </c>
      <c r="H1213">
        <v>0</v>
      </c>
      <c r="I1213">
        <v>3.0375040000000002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2.3351E-2</v>
      </c>
      <c r="Q1213">
        <v>0</v>
      </c>
      <c r="R1213">
        <v>0</v>
      </c>
      <c r="T1213" t="str">
        <f t="shared" si="62"/>
        <v>040149202403</v>
      </c>
      <c r="U1213">
        <f t="shared" si="63"/>
        <v>3.0375040000000002</v>
      </c>
    </row>
    <row r="1214" spans="1:21" x14ac:dyDescent="0.35">
      <c r="A1214">
        <v>2024</v>
      </c>
      <c r="B1214" s="9" t="s">
        <v>91</v>
      </c>
      <c r="C1214" s="6" t="s">
        <v>116</v>
      </c>
      <c r="D1214">
        <v>202403</v>
      </c>
      <c r="E1214" s="11" t="s">
        <v>52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T1214" t="str">
        <f t="shared" si="62"/>
        <v>040150202403</v>
      </c>
      <c r="U1214">
        <f t="shared" si="63"/>
        <v>0</v>
      </c>
    </row>
    <row r="1215" spans="1:21" x14ac:dyDescent="0.35">
      <c r="A1215">
        <v>2024</v>
      </c>
      <c r="B1215" s="9" t="s">
        <v>91</v>
      </c>
      <c r="C1215" s="6" t="s">
        <v>116</v>
      </c>
      <c r="D1215">
        <v>202403</v>
      </c>
      <c r="E1215" s="11" t="s">
        <v>53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T1215" t="str">
        <f t="shared" si="62"/>
        <v>040151202403</v>
      </c>
      <c r="U1215">
        <f t="shared" si="63"/>
        <v>0</v>
      </c>
    </row>
    <row r="1216" spans="1:21" x14ac:dyDescent="0.35">
      <c r="A1216">
        <v>2024</v>
      </c>
      <c r="B1216" s="9" t="s">
        <v>91</v>
      </c>
      <c r="C1216" s="6" t="s">
        <v>116</v>
      </c>
      <c r="D1216">
        <v>202403</v>
      </c>
      <c r="E1216" s="11" t="s">
        <v>54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T1216" t="str">
        <f t="shared" si="62"/>
        <v>040152202403</v>
      </c>
      <c r="U1216">
        <f t="shared" si="63"/>
        <v>0</v>
      </c>
    </row>
    <row r="1217" spans="1:21" x14ac:dyDescent="0.35">
      <c r="A1217">
        <v>2024</v>
      </c>
      <c r="B1217" s="9" t="s">
        <v>91</v>
      </c>
      <c r="C1217" s="6" t="s">
        <v>116</v>
      </c>
      <c r="D1217">
        <v>202403</v>
      </c>
      <c r="E1217" s="11" t="s">
        <v>55</v>
      </c>
      <c r="F1217">
        <v>12.346626000000001</v>
      </c>
      <c r="G1217">
        <v>12.346626000000001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T1217" t="str">
        <f t="shared" si="62"/>
        <v>040154202403</v>
      </c>
      <c r="U1217">
        <f t="shared" si="63"/>
        <v>12.346626000000001</v>
      </c>
    </row>
    <row r="1218" spans="1:21" x14ac:dyDescent="0.35">
      <c r="A1218">
        <v>2024</v>
      </c>
      <c r="B1218" s="9" t="s">
        <v>91</v>
      </c>
      <c r="C1218" s="6" t="s">
        <v>116</v>
      </c>
      <c r="D1218">
        <v>202403</v>
      </c>
      <c r="E1218" s="11" t="s">
        <v>56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T1218" t="str">
        <f t="shared" si="62"/>
        <v>040155202403</v>
      </c>
      <c r="U1218">
        <f t="shared" si="63"/>
        <v>0</v>
      </c>
    </row>
    <row r="1219" spans="1:21" x14ac:dyDescent="0.35">
      <c r="A1219">
        <v>2024</v>
      </c>
      <c r="B1219" s="9" t="s">
        <v>91</v>
      </c>
      <c r="C1219" s="6" t="s">
        <v>116</v>
      </c>
      <c r="D1219">
        <v>202403</v>
      </c>
      <c r="E1219" s="11" t="s">
        <v>57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T1219" t="str">
        <f t="shared" si="62"/>
        <v>040156202403</v>
      </c>
      <c r="U1219">
        <f t="shared" si="63"/>
        <v>0</v>
      </c>
    </row>
    <row r="1220" spans="1:21" x14ac:dyDescent="0.35">
      <c r="A1220">
        <v>2024</v>
      </c>
      <c r="B1220" s="9" t="s">
        <v>91</v>
      </c>
      <c r="C1220" s="6" t="s">
        <v>116</v>
      </c>
      <c r="D1220">
        <v>202403</v>
      </c>
      <c r="E1220" s="11" t="s">
        <v>58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T1220" t="str">
        <f t="shared" si="62"/>
        <v>040157202403</v>
      </c>
      <c r="U1220">
        <f t="shared" si="63"/>
        <v>0</v>
      </c>
    </row>
    <row r="1221" spans="1:21" x14ac:dyDescent="0.35">
      <c r="A1221">
        <v>2024</v>
      </c>
      <c r="B1221" s="9" t="s">
        <v>91</v>
      </c>
      <c r="C1221" s="6" t="s">
        <v>116</v>
      </c>
      <c r="D1221">
        <v>202403</v>
      </c>
      <c r="E1221" s="11" t="s">
        <v>59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T1221" t="str">
        <f t="shared" si="62"/>
        <v>040158202403</v>
      </c>
      <c r="U1221">
        <f t="shared" si="63"/>
        <v>0</v>
      </c>
    </row>
    <row r="1222" spans="1:21" x14ac:dyDescent="0.35">
      <c r="A1222">
        <v>2024</v>
      </c>
      <c r="B1222" s="9" t="s">
        <v>91</v>
      </c>
      <c r="C1222" s="6" t="s">
        <v>116</v>
      </c>
      <c r="D1222">
        <v>202403</v>
      </c>
      <c r="E1222" s="11" t="s">
        <v>60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T1222" t="str">
        <f t="shared" si="62"/>
        <v>040159202403</v>
      </c>
      <c r="U1222">
        <f t="shared" si="63"/>
        <v>0</v>
      </c>
    </row>
    <row r="1223" spans="1:21" x14ac:dyDescent="0.35">
      <c r="A1223">
        <v>2024</v>
      </c>
      <c r="B1223" s="9" t="s">
        <v>91</v>
      </c>
      <c r="C1223" s="6" t="s">
        <v>116</v>
      </c>
      <c r="D1223">
        <v>202403</v>
      </c>
      <c r="E1223" s="11" t="s">
        <v>63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T1223" t="str">
        <f t="shared" si="62"/>
        <v>040160202403</v>
      </c>
      <c r="U1223">
        <f t="shared" si="63"/>
        <v>0</v>
      </c>
    </row>
    <row r="1224" spans="1:21" x14ac:dyDescent="0.35">
      <c r="A1224">
        <v>2024</v>
      </c>
      <c r="B1224" s="9" t="s">
        <v>91</v>
      </c>
      <c r="C1224" s="6" t="s">
        <v>116</v>
      </c>
      <c r="D1224">
        <v>202403</v>
      </c>
      <c r="E1224" s="11" t="s">
        <v>61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T1224" t="str">
        <f t="shared" si="62"/>
        <v>040162202403</v>
      </c>
      <c r="U1224">
        <f t="shared" si="63"/>
        <v>0</v>
      </c>
    </row>
    <row r="1225" spans="1:21" x14ac:dyDescent="0.35">
      <c r="A1225">
        <v>2024</v>
      </c>
      <c r="B1225" s="9" t="s">
        <v>91</v>
      </c>
      <c r="C1225" s="6" t="s">
        <v>116</v>
      </c>
      <c r="D1225">
        <v>202403</v>
      </c>
      <c r="E1225" s="11" t="s">
        <v>114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T1225" t="str">
        <f t="shared" si="62"/>
        <v>040165202403</v>
      </c>
      <c r="U1225">
        <f t="shared" si="63"/>
        <v>0</v>
      </c>
    </row>
    <row r="1226" spans="1:21" x14ac:dyDescent="0.35">
      <c r="A1226">
        <v>2024</v>
      </c>
      <c r="B1226" s="9" t="s">
        <v>92</v>
      </c>
      <c r="C1226" s="6" t="s">
        <v>117</v>
      </c>
      <c r="D1226">
        <v>202404</v>
      </c>
      <c r="E1226" s="11">
        <v>5</v>
      </c>
      <c r="F1226">
        <v>956.68022401999997</v>
      </c>
      <c r="G1226">
        <v>955.49823513000001</v>
      </c>
      <c r="H1226">
        <v>1.1817814799999999</v>
      </c>
      <c r="I1226">
        <v>10613.42787827</v>
      </c>
      <c r="J1226">
        <v>681.53722197000002</v>
      </c>
      <c r="K1226">
        <v>55.103554289999998</v>
      </c>
      <c r="L1226">
        <v>8.361118320000001</v>
      </c>
      <c r="M1226">
        <v>1.7436287399999999</v>
      </c>
      <c r="N1226">
        <v>6.61748958</v>
      </c>
      <c r="O1226">
        <v>0</v>
      </c>
      <c r="P1226">
        <v>125.16485748999999</v>
      </c>
      <c r="Q1226">
        <v>51.573768880000003</v>
      </c>
      <c r="R1226">
        <v>0</v>
      </c>
      <c r="T1226" t="str">
        <f t="shared" ref="T1226:T1271" si="64">+E1226&amp;D1226</f>
        <v>5202404</v>
      </c>
      <c r="U1226">
        <f t="shared" ref="U1226:U1271" si="65">+F1226+I1226+J1226</f>
        <v>12251.64532426</v>
      </c>
    </row>
    <row r="1227" spans="1:21" x14ac:dyDescent="0.35">
      <c r="A1227">
        <v>2024</v>
      </c>
      <c r="B1227" s="9" t="s">
        <v>92</v>
      </c>
      <c r="C1227" s="6" t="s">
        <v>117</v>
      </c>
      <c r="D1227">
        <v>202404</v>
      </c>
      <c r="E1227" s="11" t="s">
        <v>19</v>
      </c>
      <c r="F1227">
        <v>222.91342468000002</v>
      </c>
      <c r="G1227">
        <v>222.91342468000002</v>
      </c>
      <c r="H1227">
        <v>0</v>
      </c>
      <c r="I1227">
        <v>445.83783791000002</v>
      </c>
      <c r="J1227">
        <v>68.496099670000007</v>
      </c>
      <c r="K1227">
        <v>55.103554289999998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T1227" t="str">
        <f t="shared" si="64"/>
        <v>040002202404</v>
      </c>
      <c r="U1227">
        <f t="shared" si="65"/>
        <v>737.24736226000005</v>
      </c>
    </row>
    <row r="1228" spans="1:21" x14ac:dyDescent="0.35">
      <c r="A1228">
        <v>2024</v>
      </c>
      <c r="B1228" s="9" t="s">
        <v>92</v>
      </c>
      <c r="C1228" s="6" t="s">
        <v>117</v>
      </c>
      <c r="D1228">
        <v>202404</v>
      </c>
      <c r="E1228" s="11" t="s">
        <v>20</v>
      </c>
      <c r="F1228">
        <v>177.16562311000001</v>
      </c>
      <c r="G1228">
        <v>177.16562311000001</v>
      </c>
      <c r="H1228">
        <v>0</v>
      </c>
      <c r="I1228">
        <v>3576.9363550500002</v>
      </c>
      <c r="J1228">
        <v>251.33150108000001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T1228" t="str">
        <f t="shared" si="64"/>
        <v>040012202404</v>
      </c>
      <c r="U1228">
        <f t="shared" si="65"/>
        <v>4005.4334792400005</v>
      </c>
    </row>
    <row r="1229" spans="1:21" x14ac:dyDescent="0.35">
      <c r="A1229">
        <v>2024</v>
      </c>
      <c r="B1229" s="9" t="s">
        <v>92</v>
      </c>
      <c r="C1229" s="6" t="s">
        <v>117</v>
      </c>
      <c r="D1229">
        <v>202404</v>
      </c>
      <c r="E1229" s="11" t="s">
        <v>21</v>
      </c>
      <c r="F1229">
        <v>274.10614900000002</v>
      </c>
      <c r="G1229">
        <v>274.10614900000002</v>
      </c>
      <c r="H1229">
        <v>0</v>
      </c>
      <c r="I1229">
        <v>2071.6867649999999</v>
      </c>
      <c r="J1229">
        <v>125.10054</v>
      </c>
      <c r="K1229">
        <v>0</v>
      </c>
      <c r="L1229">
        <v>8.4693000000000004E-2</v>
      </c>
      <c r="M1229">
        <v>8.4693000000000004E-2</v>
      </c>
      <c r="N1229">
        <v>0</v>
      </c>
      <c r="O1229">
        <v>0</v>
      </c>
      <c r="P1229">
        <v>41.224035000000001</v>
      </c>
      <c r="Q1229">
        <v>10.254211</v>
      </c>
      <c r="R1229">
        <v>0</v>
      </c>
      <c r="T1229" t="str">
        <f t="shared" si="64"/>
        <v>040014202404</v>
      </c>
      <c r="U1229">
        <f t="shared" si="65"/>
        <v>2470.893454</v>
      </c>
    </row>
    <row r="1230" spans="1:21" x14ac:dyDescent="0.35">
      <c r="A1230">
        <v>2024</v>
      </c>
      <c r="B1230" s="9" t="s">
        <v>92</v>
      </c>
      <c r="C1230" s="6" t="s">
        <v>117</v>
      </c>
      <c r="D1230">
        <v>202404</v>
      </c>
      <c r="E1230" s="11" t="s">
        <v>22</v>
      </c>
      <c r="F1230">
        <v>47.585062999999998</v>
      </c>
      <c r="G1230">
        <v>47.585062999999998</v>
      </c>
      <c r="H1230">
        <v>0</v>
      </c>
      <c r="I1230">
        <v>963.17774099999997</v>
      </c>
      <c r="J1230">
        <v>33.774914000000003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54.680725000000002</v>
      </c>
      <c r="Q1230">
        <v>17.466248</v>
      </c>
      <c r="R1230">
        <v>0</v>
      </c>
      <c r="T1230" t="str">
        <f t="shared" si="64"/>
        <v>040021202404</v>
      </c>
      <c r="U1230">
        <f t="shared" si="65"/>
        <v>1044.537718</v>
      </c>
    </row>
    <row r="1231" spans="1:21" x14ac:dyDescent="0.35">
      <c r="A1231">
        <v>2024</v>
      </c>
      <c r="B1231" s="9" t="s">
        <v>92</v>
      </c>
      <c r="C1231" s="6" t="s">
        <v>117</v>
      </c>
      <c r="D1231">
        <v>202404</v>
      </c>
      <c r="E1231" s="11" t="s">
        <v>23</v>
      </c>
      <c r="F1231">
        <v>10.648109679999999</v>
      </c>
      <c r="G1231">
        <v>10.648109679999999</v>
      </c>
      <c r="H1231">
        <v>0</v>
      </c>
      <c r="I1231">
        <v>46.42567339</v>
      </c>
      <c r="J1231">
        <v>2.0965871799999998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0.40428563000000001</v>
      </c>
      <c r="R1231">
        <v>0</v>
      </c>
      <c r="T1231" t="str">
        <f t="shared" si="64"/>
        <v>040030202404</v>
      </c>
      <c r="U1231">
        <f t="shared" si="65"/>
        <v>59.170370249999998</v>
      </c>
    </row>
    <row r="1232" spans="1:21" x14ac:dyDescent="0.35">
      <c r="A1232">
        <v>2024</v>
      </c>
      <c r="B1232" s="9" t="s">
        <v>92</v>
      </c>
      <c r="C1232" s="6" t="s">
        <v>117</v>
      </c>
      <c r="D1232">
        <v>202404</v>
      </c>
      <c r="E1232" s="11" t="s">
        <v>24</v>
      </c>
      <c r="F1232">
        <v>0</v>
      </c>
      <c r="G1232">
        <v>0</v>
      </c>
      <c r="H1232">
        <v>0</v>
      </c>
      <c r="I1232">
        <v>8.1512899999999995</v>
      </c>
      <c r="J1232">
        <v>1.258E-3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T1232" t="str">
        <f t="shared" si="64"/>
        <v>040036202404</v>
      </c>
      <c r="U1232">
        <f t="shared" si="65"/>
        <v>8.1525479999999995</v>
      </c>
    </row>
    <row r="1233" spans="1:21" x14ac:dyDescent="0.35">
      <c r="A1233">
        <v>2024</v>
      </c>
      <c r="B1233" s="9" t="s">
        <v>92</v>
      </c>
      <c r="C1233" s="6" t="s">
        <v>117</v>
      </c>
      <c r="D1233">
        <v>202404</v>
      </c>
      <c r="E1233" s="11" t="s">
        <v>25</v>
      </c>
      <c r="F1233">
        <v>18.013110999999999</v>
      </c>
      <c r="G1233">
        <v>18.013110999999999</v>
      </c>
      <c r="H1233">
        <v>0</v>
      </c>
      <c r="I1233">
        <v>2.3306339999999999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T1233" t="str">
        <f t="shared" si="64"/>
        <v>040042202404</v>
      </c>
      <c r="U1233">
        <f t="shared" si="65"/>
        <v>20.343744999999998</v>
      </c>
    </row>
    <row r="1234" spans="1:21" x14ac:dyDescent="0.35">
      <c r="A1234">
        <v>2024</v>
      </c>
      <c r="B1234" s="9" t="s">
        <v>92</v>
      </c>
      <c r="C1234" s="6" t="s">
        <v>117</v>
      </c>
      <c r="D1234">
        <v>202404</v>
      </c>
      <c r="E1234" s="11" t="s">
        <v>26</v>
      </c>
      <c r="F1234">
        <v>0.16904</v>
      </c>
      <c r="G1234">
        <v>0.16904</v>
      </c>
      <c r="H1234">
        <v>0</v>
      </c>
      <c r="I1234">
        <v>235.693016</v>
      </c>
      <c r="J1234">
        <v>33.437455999999997</v>
      </c>
      <c r="K1234">
        <v>0</v>
      </c>
      <c r="L1234">
        <v>2.8349999999999998E-3</v>
      </c>
      <c r="M1234">
        <v>2.8349999999999998E-3</v>
      </c>
      <c r="N1234">
        <v>0</v>
      </c>
      <c r="O1234">
        <v>0</v>
      </c>
      <c r="P1234">
        <v>15.907197999999999</v>
      </c>
      <c r="Q1234">
        <v>23.024771999999999</v>
      </c>
      <c r="R1234">
        <v>0</v>
      </c>
      <c r="T1234" t="str">
        <f t="shared" si="64"/>
        <v>040044202404</v>
      </c>
      <c r="U1234">
        <f t="shared" si="65"/>
        <v>269.29951199999999</v>
      </c>
    </row>
    <row r="1235" spans="1:21" x14ac:dyDescent="0.35">
      <c r="A1235">
        <v>2024</v>
      </c>
      <c r="B1235" s="9" t="s">
        <v>92</v>
      </c>
      <c r="C1235" s="6" t="s">
        <v>117</v>
      </c>
      <c r="D1235">
        <v>202404</v>
      </c>
      <c r="E1235" s="11" t="s">
        <v>27</v>
      </c>
      <c r="F1235">
        <v>30.3630131</v>
      </c>
      <c r="G1235">
        <v>30.3630131</v>
      </c>
      <c r="H1235">
        <v>0</v>
      </c>
      <c r="I1235">
        <v>73.627235670000005</v>
      </c>
      <c r="J1235">
        <v>0.72238384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T1235" t="str">
        <f t="shared" si="64"/>
        <v>040058202404</v>
      </c>
      <c r="U1235">
        <f t="shared" si="65"/>
        <v>104.71263261000001</v>
      </c>
    </row>
    <row r="1236" spans="1:21" x14ac:dyDescent="0.35">
      <c r="A1236">
        <v>2024</v>
      </c>
      <c r="B1236" s="9" t="s">
        <v>92</v>
      </c>
      <c r="C1236" s="6" t="s">
        <v>117</v>
      </c>
      <c r="D1236">
        <v>202404</v>
      </c>
      <c r="E1236" s="11" t="s">
        <v>28</v>
      </c>
      <c r="F1236">
        <v>0</v>
      </c>
      <c r="G1236">
        <v>0</v>
      </c>
      <c r="H1236">
        <v>0</v>
      </c>
      <c r="I1236">
        <v>176.337648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T1236" t="str">
        <f t="shared" si="64"/>
        <v>040059202404</v>
      </c>
      <c r="U1236">
        <f t="shared" si="65"/>
        <v>176.337648</v>
      </c>
    </row>
    <row r="1237" spans="1:21" x14ac:dyDescent="0.35">
      <c r="A1237">
        <v>2024</v>
      </c>
      <c r="B1237" s="9" t="s">
        <v>92</v>
      </c>
      <c r="C1237" s="6" t="s">
        <v>117</v>
      </c>
      <c r="D1237">
        <v>202404</v>
      </c>
      <c r="E1237" s="11" t="s">
        <v>62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T1237" t="str">
        <f t="shared" si="64"/>
        <v>040060202404</v>
      </c>
      <c r="U1237">
        <f t="shared" si="65"/>
        <v>0</v>
      </c>
    </row>
    <row r="1238" spans="1:21" x14ac:dyDescent="0.35">
      <c r="A1238">
        <v>2024</v>
      </c>
      <c r="B1238" s="9" t="s">
        <v>92</v>
      </c>
      <c r="C1238" s="6" t="s">
        <v>117</v>
      </c>
      <c r="D1238">
        <v>202404</v>
      </c>
      <c r="E1238" s="11" t="s">
        <v>29</v>
      </c>
      <c r="F1238">
        <v>0.43281199999999997</v>
      </c>
      <c r="G1238">
        <v>0.43281199999999997</v>
      </c>
      <c r="H1238">
        <v>0</v>
      </c>
      <c r="I1238">
        <v>89.207902000000004</v>
      </c>
      <c r="J1238">
        <v>1.9269000000000001E-2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T1238" t="str">
        <f t="shared" si="64"/>
        <v>040062202404</v>
      </c>
      <c r="U1238">
        <f t="shared" si="65"/>
        <v>89.659982999999997</v>
      </c>
    </row>
    <row r="1239" spans="1:21" x14ac:dyDescent="0.35">
      <c r="A1239">
        <v>2024</v>
      </c>
      <c r="B1239" s="9" t="s">
        <v>92</v>
      </c>
      <c r="C1239" s="6" t="s">
        <v>117</v>
      </c>
      <c r="D1239">
        <v>202404</v>
      </c>
      <c r="E1239" s="11" t="s">
        <v>30</v>
      </c>
      <c r="F1239">
        <v>138.32750862999998</v>
      </c>
      <c r="G1239">
        <v>138.32730122000001</v>
      </c>
      <c r="H1239">
        <v>0</v>
      </c>
      <c r="I1239">
        <v>1361.3140012700001</v>
      </c>
      <c r="J1239">
        <v>165.94356361000001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T1239" t="str">
        <f t="shared" si="64"/>
        <v>040072202404</v>
      </c>
      <c r="U1239">
        <f t="shared" si="65"/>
        <v>1665.58507351</v>
      </c>
    </row>
    <row r="1240" spans="1:21" x14ac:dyDescent="0.35">
      <c r="A1240">
        <v>2024</v>
      </c>
      <c r="B1240" s="9" t="s">
        <v>92</v>
      </c>
      <c r="C1240" s="6" t="s">
        <v>117</v>
      </c>
      <c r="D1240">
        <v>202404</v>
      </c>
      <c r="E1240" s="11" t="s">
        <v>31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T1240" t="str">
        <f t="shared" si="64"/>
        <v>040106202404</v>
      </c>
      <c r="U1240">
        <f t="shared" si="65"/>
        <v>0</v>
      </c>
    </row>
    <row r="1241" spans="1:21" x14ac:dyDescent="0.35">
      <c r="A1241">
        <v>2024</v>
      </c>
      <c r="B1241" s="9" t="s">
        <v>92</v>
      </c>
      <c r="C1241" s="6" t="s">
        <v>117</v>
      </c>
      <c r="D1241">
        <v>202404</v>
      </c>
      <c r="E1241" s="11" t="s">
        <v>32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T1241" t="str">
        <f t="shared" si="64"/>
        <v>040108202404</v>
      </c>
      <c r="U1241">
        <f t="shared" si="65"/>
        <v>0</v>
      </c>
    </row>
    <row r="1242" spans="1:21" x14ac:dyDescent="0.35">
      <c r="A1242">
        <v>2024</v>
      </c>
      <c r="B1242" s="9" t="s">
        <v>92</v>
      </c>
      <c r="C1242" s="6" t="s">
        <v>117</v>
      </c>
      <c r="D1242">
        <v>202404</v>
      </c>
      <c r="E1242" s="11" t="s">
        <v>33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T1242" t="str">
        <f t="shared" si="64"/>
        <v>040110202404</v>
      </c>
      <c r="U1242">
        <f t="shared" si="65"/>
        <v>0</v>
      </c>
    </row>
    <row r="1243" spans="1:21" x14ac:dyDescent="0.35">
      <c r="A1243">
        <v>2024</v>
      </c>
      <c r="B1243" s="9" t="s">
        <v>92</v>
      </c>
      <c r="C1243" s="6" t="s">
        <v>117</v>
      </c>
      <c r="D1243">
        <v>202404</v>
      </c>
      <c r="E1243" s="11" t="s">
        <v>34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7.3646453699999999</v>
      </c>
      <c r="M1243">
        <v>0.74715578999999999</v>
      </c>
      <c r="N1243">
        <v>6.61748958</v>
      </c>
      <c r="O1243">
        <v>0</v>
      </c>
      <c r="P1243">
        <v>0</v>
      </c>
      <c r="Q1243">
        <v>0</v>
      </c>
      <c r="R1243">
        <v>0</v>
      </c>
      <c r="T1243" t="str">
        <f t="shared" si="64"/>
        <v>040112202404</v>
      </c>
      <c r="U1243">
        <f t="shared" si="65"/>
        <v>0</v>
      </c>
    </row>
    <row r="1244" spans="1:21" x14ac:dyDescent="0.35">
      <c r="A1244">
        <v>2024</v>
      </c>
      <c r="B1244" s="9" t="s">
        <v>92</v>
      </c>
      <c r="C1244" s="6" t="s">
        <v>117</v>
      </c>
      <c r="D1244">
        <v>202404</v>
      </c>
      <c r="E1244" s="11" t="s">
        <v>35</v>
      </c>
      <c r="F1244">
        <v>24.573226999999999</v>
      </c>
      <c r="G1244">
        <v>24.573226999999999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T1244" t="str">
        <f t="shared" si="64"/>
        <v>040113202404</v>
      </c>
      <c r="U1244">
        <f t="shared" si="65"/>
        <v>24.573226999999999</v>
      </c>
    </row>
    <row r="1245" spans="1:21" x14ac:dyDescent="0.35">
      <c r="A1245">
        <v>2024</v>
      </c>
      <c r="B1245" s="9" t="s">
        <v>92</v>
      </c>
      <c r="C1245" s="6" t="s">
        <v>117</v>
      </c>
      <c r="D1245">
        <v>202404</v>
      </c>
      <c r="E1245" s="11" t="s">
        <v>37</v>
      </c>
      <c r="F1245">
        <v>0</v>
      </c>
      <c r="G1245">
        <v>0</v>
      </c>
      <c r="H1245">
        <v>0</v>
      </c>
      <c r="I1245">
        <v>1176.83231105</v>
      </c>
      <c r="J1245">
        <v>5.5009300000000002E-3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T1245" t="str">
        <f t="shared" si="64"/>
        <v>040127202404</v>
      </c>
      <c r="U1245">
        <f t="shared" si="65"/>
        <v>1176.83781198</v>
      </c>
    </row>
    <row r="1246" spans="1:21" x14ac:dyDescent="0.35">
      <c r="A1246">
        <v>2024</v>
      </c>
      <c r="B1246" s="9" t="s">
        <v>92</v>
      </c>
      <c r="C1246" s="6" t="s">
        <v>117</v>
      </c>
      <c r="D1246">
        <v>202404</v>
      </c>
      <c r="E1246" s="11" t="s">
        <v>38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T1246" t="str">
        <f t="shared" si="64"/>
        <v>040128202404</v>
      </c>
      <c r="U1246">
        <f t="shared" si="65"/>
        <v>0</v>
      </c>
    </row>
    <row r="1247" spans="1:21" x14ac:dyDescent="0.35">
      <c r="A1247">
        <v>2024</v>
      </c>
      <c r="B1247" s="9" t="s">
        <v>92</v>
      </c>
      <c r="C1247" s="6" t="s">
        <v>117</v>
      </c>
      <c r="D1247">
        <v>202404</v>
      </c>
      <c r="E1247" s="11" t="s">
        <v>39</v>
      </c>
      <c r="F1247">
        <v>0</v>
      </c>
      <c r="G1247">
        <v>0</v>
      </c>
      <c r="H1247">
        <v>0</v>
      </c>
      <c r="I1247">
        <v>325.83137799999997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8.1097540000000006</v>
      </c>
      <c r="Q1247">
        <v>0</v>
      </c>
      <c r="R1247">
        <v>0</v>
      </c>
      <c r="T1247" t="str">
        <f t="shared" si="64"/>
        <v>040130202404</v>
      </c>
      <c r="U1247">
        <f t="shared" si="65"/>
        <v>325.83137799999997</v>
      </c>
    </row>
    <row r="1248" spans="1:21" x14ac:dyDescent="0.35">
      <c r="A1248">
        <v>2024</v>
      </c>
      <c r="B1248" s="9" t="s">
        <v>92</v>
      </c>
      <c r="C1248" s="6" t="s">
        <v>117</v>
      </c>
      <c r="D1248">
        <v>202404</v>
      </c>
      <c r="E1248" s="11" t="s">
        <v>40</v>
      </c>
      <c r="F1248">
        <v>0.16119700000000001</v>
      </c>
      <c r="G1248">
        <v>0.16119700000000001</v>
      </c>
      <c r="H1248">
        <v>0</v>
      </c>
      <c r="I1248">
        <v>3.9999999999999998E-6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T1248" t="str">
        <f t="shared" si="64"/>
        <v>040132202404</v>
      </c>
      <c r="U1248">
        <f t="shared" si="65"/>
        <v>0.16120100000000001</v>
      </c>
    </row>
    <row r="1249" spans="1:21" x14ac:dyDescent="0.35">
      <c r="A1249">
        <v>2024</v>
      </c>
      <c r="B1249" s="9" t="s">
        <v>92</v>
      </c>
      <c r="C1249" s="6" t="s">
        <v>117</v>
      </c>
      <c r="D1249">
        <v>202404</v>
      </c>
      <c r="E1249" s="11" t="s">
        <v>41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T1249" t="str">
        <f t="shared" si="64"/>
        <v>040133202404</v>
      </c>
      <c r="U1249">
        <f t="shared" si="65"/>
        <v>0</v>
      </c>
    </row>
    <row r="1250" spans="1:21" x14ac:dyDescent="0.35">
      <c r="A1250">
        <v>2024</v>
      </c>
      <c r="B1250" s="9" t="s">
        <v>92</v>
      </c>
      <c r="C1250" s="6" t="s">
        <v>117</v>
      </c>
      <c r="D1250">
        <v>202404</v>
      </c>
      <c r="E1250" s="11" t="s">
        <v>42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T1250" t="str">
        <f t="shared" si="64"/>
        <v>040136202404</v>
      </c>
      <c r="U1250">
        <f t="shared" si="65"/>
        <v>0</v>
      </c>
    </row>
    <row r="1251" spans="1:21" x14ac:dyDescent="0.35">
      <c r="A1251">
        <v>2024</v>
      </c>
      <c r="B1251" s="9" t="s">
        <v>92</v>
      </c>
      <c r="C1251" s="6" t="s">
        <v>117</v>
      </c>
      <c r="D1251">
        <v>202404</v>
      </c>
      <c r="E1251" s="11" t="s">
        <v>43</v>
      </c>
      <c r="F1251">
        <v>0</v>
      </c>
      <c r="G1251">
        <v>0</v>
      </c>
      <c r="H1251">
        <v>0</v>
      </c>
      <c r="I1251">
        <v>9.967197650000001</v>
      </c>
      <c r="J1251">
        <v>0.51004459000000002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T1251" t="str">
        <f t="shared" si="64"/>
        <v>040137202404</v>
      </c>
      <c r="U1251">
        <f t="shared" si="65"/>
        <v>10.477242240000001</v>
      </c>
    </row>
    <row r="1252" spans="1:21" x14ac:dyDescent="0.35">
      <c r="A1252">
        <v>2024</v>
      </c>
      <c r="B1252" s="9" t="s">
        <v>92</v>
      </c>
      <c r="C1252" s="6" t="s">
        <v>117</v>
      </c>
      <c r="D1252">
        <v>202404</v>
      </c>
      <c r="E1252" s="11" t="s">
        <v>44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T1252" t="str">
        <f t="shared" si="64"/>
        <v>040138202404</v>
      </c>
      <c r="U1252">
        <f t="shared" si="65"/>
        <v>0</v>
      </c>
    </row>
    <row r="1253" spans="1:21" x14ac:dyDescent="0.35">
      <c r="A1253">
        <v>2024</v>
      </c>
      <c r="B1253" s="9" t="s">
        <v>92</v>
      </c>
      <c r="C1253" s="6" t="s">
        <v>117</v>
      </c>
      <c r="D1253">
        <v>202404</v>
      </c>
      <c r="E1253" s="11" t="s">
        <v>45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T1253" t="str">
        <f t="shared" si="64"/>
        <v>040139202404</v>
      </c>
      <c r="U1253">
        <f t="shared" si="65"/>
        <v>0</v>
      </c>
    </row>
    <row r="1254" spans="1:21" x14ac:dyDescent="0.35">
      <c r="A1254">
        <v>2024</v>
      </c>
      <c r="B1254" s="9" t="s">
        <v>92</v>
      </c>
      <c r="C1254" s="6" t="s">
        <v>117</v>
      </c>
      <c r="D1254">
        <v>202404</v>
      </c>
      <c r="E1254" s="11" t="s">
        <v>46</v>
      </c>
      <c r="F1254">
        <v>0</v>
      </c>
      <c r="G1254">
        <v>0</v>
      </c>
      <c r="H1254">
        <v>0</v>
      </c>
      <c r="I1254">
        <v>37.672615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T1254" t="str">
        <f t="shared" si="64"/>
        <v>040140202404</v>
      </c>
      <c r="U1254">
        <f t="shared" si="65"/>
        <v>37.672615</v>
      </c>
    </row>
    <row r="1255" spans="1:21" x14ac:dyDescent="0.35">
      <c r="A1255">
        <v>2024</v>
      </c>
      <c r="B1255" s="9" t="s">
        <v>92</v>
      </c>
      <c r="C1255" s="6" t="s">
        <v>117</v>
      </c>
      <c r="D1255">
        <v>202404</v>
      </c>
      <c r="E1255" s="11" t="s">
        <v>47</v>
      </c>
      <c r="F1255">
        <v>0</v>
      </c>
      <c r="G1255">
        <v>0</v>
      </c>
      <c r="H1255">
        <v>0</v>
      </c>
      <c r="I1255">
        <v>7.8978000000000007E-2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T1255" t="str">
        <f t="shared" si="64"/>
        <v>040141202404</v>
      </c>
      <c r="U1255">
        <f t="shared" si="65"/>
        <v>7.8978000000000007E-2</v>
      </c>
    </row>
    <row r="1256" spans="1:21" x14ac:dyDescent="0.35">
      <c r="A1256">
        <v>2024</v>
      </c>
      <c r="B1256" s="9" t="s">
        <v>92</v>
      </c>
      <c r="C1256" s="6" t="s">
        <v>117</v>
      </c>
      <c r="D1256">
        <v>202404</v>
      </c>
      <c r="E1256" s="11" t="s">
        <v>48</v>
      </c>
      <c r="F1256">
        <v>12.22194582</v>
      </c>
      <c r="G1256">
        <v>11.04016434</v>
      </c>
      <c r="H1256">
        <v>1.1817814799999999</v>
      </c>
      <c r="I1256">
        <v>5.9384952800000006</v>
      </c>
      <c r="J1256">
        <v>9.8104070000000002E-2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5.2431454899999999</v>
      </c>
      <c r="Q1256">
        <v>0.42425225</v>
      </c>
      <c r="R1256">
        <v>0</v>
      </c>
      <c r="T1256" t="str">
        <f t="shared" si="64"/>
        <v>040143202404</v>
      </c>
      <c r="U1256">
        <f t="shared" si="65"/>
        <v>18.258545170000001</v>
      </c>
    </row>
    <row r="1257" spans="1:21" x14ac:dyDescent="0.35">
      <c r="A1257">
        <v>2024</v>
      </c>
      <c r="B1257" s="9" t="s">
        <v>92</v>
      </c>
      <c r="C1257" s="6" t="s">
        <v>117</v>
      </c>
      <c r="D1257">
        <v>202404</v>
      </c>
      <c r="E1257" s="11" t="s">
        <v>49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T1257" t="str">
        <f t="shared" si="64"/>
        <v>040145202404</v>
      </c>
      <c r="U1257">
        <f t="shared" si="65"/>
        <v>0</v>
      </c>
    </row>
    <row r="1258" spans="1:21" x14ac:dyDescent="0.35">
      <c r="A1258">
        <v>2024</v>
      </c>
      <c r="B1258" s="9" t="s">
        <v>92</v>
      </c>
      <c r="C1258" s="6" t="s">
        <v>117</v>
      </c>
      <c r="D1258">
        <v>202404</v>
      </c>
      <c r="E1258" s="11" t="s">
        <v>50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T1258" t="str">
        <f t="shared" si="64"/>
        <v>040147202404</v>
      </c>
      <c r="U1258">
        <f t="shared" si="65"/>
        <v>0</v>
      </c>
    </row>
    <row r="1259" spans="1:21" x14ac:dyDescent="0.35">
      <c r="A1259">
        <v>2024</v>
      </c>
      <c r="B1259" s="9" t="s">
        <v>92</v>
      </c>
      <c r="C1259" s="6" t="s">
        <v>117</v>
      </c>
      <c r="D1259">
        <v>202404</v>
      </c>
      <c r="E1259" s="11" t="s">
        <v>51</v>
      </c>
      <c r="F1259">
        <v>0</v>
      </c>
      <c r="G1259">
        <v>0</v>
      </c>
      <c r="H1259">
        <v>0</v>
      </c>
      <c r="I1259">
        <v>6.3807999999999998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T1259" t="str">
        <f t="shared" si="64"/>
        <v>040149202404</v>
      </c>
      <c r="U1259">
        <f t="shared" si="65"/>
        <v>6.3807999999999998</v>
      </c>
    </row>
    <row r="1260" spans="1:21" x14ac:dyDescent="0.35">
      <c r="A1260">
        <v>2024</v>
      </c>
      <c r="B1260" s="9" t="s">
        <v>92</v>
      </c>
      <c r="C1260" s="6" t="s">
        <v>117</v>
      </c>
      <c r="D1260">
        <v>202404</v>
      </c>
      <c r="E1260" s="11" t="s">
        <v>52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T1260" t="str">
        <f t="shared" si="64"/>
        <v>040150202404</v>
      </c>
      <c r="U1260">
        <f t="shared" si="65"/>
        <v>0</v>
      </c>
    </row>
    <row r="1261" spans="1:21" x14ac:dyDescent="0.35">
      <c r="A1261">
        <v>2024</v>
      </c>
      <c r="B1261" s="9" t="s">
        <v>92</v>
      </c>
      <c r="C1261" s="6" t="s">
        <v>117</v>
      </c>
      <c r="D1261">
        <v>202404</v>
      </c>
      <c r="E1261" s="11" t="s">
        <v>53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T1261" t="str">
        <f t="shared" si="64"/>
        <v>040151202404</v>
      </c>
      <c r="U1261">
        <f t="shared" si="65"/>
        <v>0</v>
      </c>
    </row>
    <row r="1262" spans="1:21" x14ac:dyDescent="0.35">
      <c r="A1262">
        <v>2024</v>
      </c>
      <c r="B1262" s="9" t="s">
        <v>92</v>
      </c>
      <c r="C1262" s="6" t="s">
        <v>117</v>
      </c>
      <c r="D1262">
        <v>202404</v>
      </c>
      <c r="E1262" s="11" t="s">
        <v>54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T1262" t="str">
        <f t="shared" si="64"/>
        <v>040152202404</v>
      </c>
      <c r="U1262">
        <f t="shared" si="65"/>
        <v>0</v>
      </c>
    </row>
    <row r="1263" spans="1:21" x14ac:dyDescent="0.35">
      <c r="A1263">
        <v>2024</v>
      </c>
      <c r="B1263" s="9" t="s">
        <v>92</v>
      </c>
      <c r="C1263" s="6" t="s">
        <v>117</v>
      </c>
      <c r="D1263">
        <v>202404</v>
      </c>
      <c r="E1263" s="11" t="s">
        <v>55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0.90894494999999997</v>
      </c>
      <c r="M1263">
        <v>0.90894494999999997</v>
      </c>
      <c r="N1263">
        <v>0</v>
      </c>
      <c r="O1263">
        <v>0</v>
      </c>
      <c r="P1263">
        <v>0</v>
      </c>
      <c r="Q1263">
        <v>0</v>
      </c>
      <c r="R1263">
        <v>0</v>
      </c>
      <c r="T1263" t="str">
        <f t="shared" si="64"/>
        <v>040154202404</v>
      </c>
      <c r="U1263">
        <f t="shared" si="65"/>
        <v>0</v>
      </c>
    </row>
    <row r="1264" spans="1:21" x14ac:dyDescent="0.35">
      <c r="A1264">
        <v>2024</v>
      </c>
      <c r="B1264" s="9" t="s">
        <v>92</v>
      </c>
      <c r="C1264" s="6" t="s">
        <v>117</v>
      </c>
      <c r="D1264">
        <v>202404</v>
      </c>
      <c r="E1264" s="11" t="s">
        <v>56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T1264" t="str">
        <f t="shared" si="64"/>
        <v>040155202404</v>
      </c>
      <c r="U1264">
        <f t="shared" si="65"/>
        <v>0</v>
      </c>
    </row>
    <row r="1265" spans="1:21" x14ac:dyDescent="0.35">
      <c r="A1265">
        <v>2024</v>
      </c>
      <c r="B1265" s="9" t="s">
        <v>92</v>
      </c>
      <c r="C1265" s="6" t="s">
        <v>117</v>
      </c>
      <c r="D1265">
        <v>202404</v>
      </c>
      <c r="E1265" s="11" t="s">
        <v>57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T1265" t="str">
        <f t="shared" si="64"/>
        <v>040156202404</v>
      </c>
      <c r="U1265">
        <f t="shared" si="65"/>
        <v>0</v>
      </c>
    </row>
    <row r="1266" spans="1:21" x14ac:dyDescent="0.35">
      <c r="A1266">
        <v>2024</v>
      </c>
      <c r="B1266" s="9" t="s">
        <v>92</v>
      </c>
      <c r="C1266" s="6" t="s">
        <v>117</v>
      </c>
      <c r="D1266">
        <v>202404</v>
      </c>
      <c r="E1266" s="11" t="s">
        <v>58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T1266" t="str">
        <f t="shared" si="64"/>
        <v>040157202404</v>
      </c>
      <c r="U1266">
        <f t="shared" si="65"/>
        <v>0</v>
      </c>
    </row>
    <row r="1267" spans="1:21" x14ac:dyDescent="0.35">
      <c r="A1267">
        <v>2024</v>
      </c>
      <c r="B1267" s="9" t="s">
        <v>92</v>
      </c>
      <c r="C1267" s="6" t="s">
        <v>117</v>
      </c>
      <c r="D1267">
        <v>202404</v>
      </c>
      <c r="E1267" s="11" t="s">
        <v>59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T1267" t="str">
        <f t="shared" si="64"/>
        <v>040158202404</v>
      </c>
      <c r="U1267">
        <f t="shared" si="65"/>
        <v>0</v>
      </c>
    </row>
    <row r="1268" spans="1:21" x14ac:dyDescent="0.35">
      <c r="A1268">
        <v>2024</v>
      </c>
      <c r="B1268" s="9" t="s">
        <v>92</v>
      </c>
      <c r="C1268" s="6" t="s">
        <v>117</v>
      </c>
      <c r="D1268">
        <v>202404</v>
      </c>
      <c r="E1268" s="11" t="s">
        <v>60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T1268" t="str">
        <f t="shared" si="64"/>
        <v>040159202404</v>
      </c>
      <c r="U1268">
        <f t="shared" si="65"/>
        <v>0</v>
      </c>
    </row>
    <row r="1269" spans="1:21" x14ac:dyDescent="0.35">
      <c r="A1269">
        <v>2024</v>
      </c>
      <c r="B1269" s="9" t="s">
        <v>92</v>
      </c>
      <c r="C1269" s="6" t="s">
        <v>117</v>
      </c>
      <c r="D1269">
        <v>202404</v>
      </c>
      <c r="E1269" s="11" t="s">
        <v>63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T1269" t="str">
        <f t="shared" si="64"/>
        <v>040160202404</v>
      </c>
      <c r="U1269">
        <f t="shared" si="65"/>
        <v>0</v>
      </c>
    </row>
    <row r="1270" spans="1:21" x14ac:dyDescent="0.35">
      <c r="A1270">
        <v>2024</v>
      </c>
      <c r="B1270" s="9" t="s">
        <v>92</v>
      </c>
      <c r="C1270" s="6" t="s">
        <v>117</v>
      </c>
      <c r="D1270">
        <v>202404</v>
      </c>
      <c r="E1270" s="11" t="s">
        <v>61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T1270" t="str">
        <f t="shared" si="64"/>
        <v>040162202404</v>
      </c>
      <c r="U1270">
        <f t="shared" si="65"/>
        <v>0</v>
      </c>
    </row>
    <row r="1271" spans="1:21" x14ac:dyDescent="0.35">
      <c r="A1271">
        <v>2024</v>
      </c>
      <c r="B1271" s="9" t="s">
        <v>92</v>
      </c>
      <c r="C1271" s="6" t="s">
        <v>117</v>
      </c>
      <c r="D1271">
        <v>202404</v>
      </c>
      <c r="E1271" s="11" t="s">
        <v>114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T1271" t="str">
        <f t="shared" si="64"/>
        <v>040165202404</v>
      </c>
      <c r="U1271">
        <f t="shared" si="65"/>
        <v>0</v>
      </c>
    </row>
    <row r="1272" spans="1:21" x14ac:dyDescent="0.35">
      <c r="A1272">
        <v>2024</v>
      </c>
      <c r="B1272" s="9" t="s">
        <v>94</v>
      </c>
      <c r="C1272" s="6" t="s">
        <v>118</v>
      </c>
      <c r="D1272">
        <v>202405</v>
      </c>
      <c r="E1272" s="11">
        <v>5</v>
      </c>
      <c r="F1272">
        <v>847.99709834999999</v>
      </c>
      <c r="G1272">
        <v>846.48197608999999</v>
      </c>
      <c r="H1272">
        <v>1.494383</v>
      </c>
      <c r="I1272">
        <v>9839.8841021799999</v>
      </c>
      <c r="J1272">
        <v>702.91968544000008</v>
      </c>
      <c r="K1272">
        <v>46.585197139999998</v>
      </c>
      <c r="L1272">
        <v>3.9505121700000001</v>
      </c>
      <c r="M1272">
        <v>3.9212440399999999</v>
      </c>
      <c r="N1272">
        <v>2.926813E-2</v>
      </c>
      <c r="O1272">
        <v>0</v>
      </c>
      <c r="P1272">
        <v>124.72044801999999</v>
      </c>
      <c r="Q1272">
        <v>54.056319710000004</v>
      </c>
      <c r="R1272">
        <v>0</v>
      </c>
      <c r="T1272" t="str">
        <f t="shared" ref="T1272:T1317" si="66">+E1272&amp;D1272</f>
        <v>5202405</v>
      </c>
      <c r="U1272">
        <f t="shared" ref="U1272:U1317" si="67">+F1272+I1272+J1272</f>
        <v>11390.80088597</v>
      </c>
    </row>
    <row r="1273" spans="1:21" x14ac:dyDescent="0.35">
      <c r="A1273">
        <v>2024</v>
      </c>
      <c r="B1273" s="9" t="s">
        <v>94</v>
      </c>
      <c r="C1273" s="6" t="s">
        <v>118</v>
      </c>
      <c r="D1273">
        <v>202405</v>
      </c>
      <c r="E1273" s="11" t="s">
        <v>19</v>
      </c>
      <c r="F1273">
        <v>51.288373440000001</v>
      </c>
      <c r="G1273">
        <v>51.288373440000001</v>
      </c>
      <c r="H1273">
        <v>0</v>
      </c>
      <c r="I1273">
        <v>372.23055841000001</v>
      </c>
      <c r="J1273">
        <v>41.335280170000004</v>
      </c>
      <c r="K1273">
        <v>46.585197139999998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T1273" t="str">
        <f t="shared" si="66"/>
        <v>040002202405</v>
      </c>
      <c r="U1273">
        <f t="shared" si="67"/>
        <v>464.85421201999998</v>
      </c>
    </row>
    <row r="1274" spans="1:21" x14ac:dyDescent="0.35">
      <c r="A1274">
        <v>2024</v>
      </c>
      <c r="B1274" s="9" t="s">
        <v>94</v>
      </c>
      <c r="C1274" s="6" t="s">
        <v>118</v>
      </c>
      <c r="D1274">
        <v>202405</v>
      </c>
      <c r="E1274" s="11" t="s">
        <v>20</v>
      </c>
      <c r="F1274">
        <v>279.69134148000001</v>
      </c>
      <c r="G1274">
        <v>279.60714758</v>
      </c>
      <c r="H1274">
        <v>6.3485639999999996E-2</v>
      </c>
      <c r="I1274">
        <v>3736.42238112</v>
      </c>
      <c r="J1274">
        <v>140.58759017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T1274" t="str">
        <f t="shared" si="66"/>
        <v>040012202405</v>
      </c>
      <c r="U1274">
        <f t="shared" si="67"/>
        <v>4156.7013127700002</v>
      </c>
    </row>
    <row r="1275" spans="1:21" x14ac:dyDescent="0.35">
      <c r="A1275">
        <v>2024</v>
      </c>
      <c r="B1275" s="9" t="s">
        <v>94</v>
      </c>
      <c r="C1275" s="6" t="s">
        <v>118</v>
      </c>
      <c r="D1275">
        <v>202405</v>
      </c>
      <c r="E1275" s="11" t="s">
        <v>21</v>
      </c>
      <c r="F1275">
        <v>228.966835</v>
      </c>
      <c r="G1275">
        <v>228.966835</v>
      </c>
      <c r="H1275">
        <v>0</v>
      </c>
      <c r="I1275">
        <v>1687.254514</v>
      </c>
      <c r="J1275">
        <v>177.704331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39.816271</v>
      </c>
      <c r="Q1275">
        <v>4.6530129999999996</v>
      </c>
      <c r="R1275">
        <v>0</v>
      </c>
      <c r="T1275" t="str">
        <f t="shared" si="66"/>
        <v>040014202405</v>
      </c>
      <c r="U1275">
        <f t="shared" si="67"/>
        <v>2093.9256799999998</v>
      </c>
    </row>
    <row r="1276" spans="1:21" x14ac:dyDescent="0.35">
      <c r="A1276">
        <v>2024</v>
      </c>
      <c r="B1276" s="9" t="s">
        <v>94</v>
      </c>
      <c r="C1276" s="6" t="s">
        <v>118</v>
      </c>
      <c r="D1276">
        <v>202405</v>
      </c>
      <c r="E1276" s="11" t="s">
        <v>22</v>
      </c>
      <c r="F1276">
        <v>63.146780999999997</v>
      </c>
      <c r="G1276">
        <v>63.146749999999997</v>
      </c>
      <c r="H1276">
        <v>0</v>
      </c>
      <c r="I1276">
        <v>893.14646900000002</v>
      </c>
      <c r="J1276">
        <v>40.844470999999999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56.633844000000003</v>
      </c>
      <c r="Q1276">
        <v>23.980117</v>
      </c>
      <c r="R1276">
        <v>0</v>
      </c>
      <c r="T1276" t="str">
        <f t="shared" si="66"/>
        <v>040021202405</v>
      </c>
      <c r="U1276">
        <f t="shared" si="67"/>
        <v>997.13772100000006</v>
      </c>
    </row>
    <row r="1277" spans="1:21" x14ac:dyDescent="0.35">
      <c r="A1277">
        <v>2024</v>
      </c>
      <c r="B1277" s="9" t="s">
        <v>94</v>
      </c>
      <c r="C1277" s="6" t="s">
        <v>118</v>
      </c>
      <c r="D1277">
        <v>202405</v>
      </c>
      <c r="E1277" s="11" t="s">
        <v>23</v>
      </c>
      <c r="F1277">
        <v>11.80816594</v>
      </c>
      <c r="G1277">
        <v>11.80816594</v>
      </c>
      <c r="H1277">
        <v>0</v>
      </c>
      <c r="I1277">
        <v>48.513020009999998</v>
      </c>
      <c r="J1277">
        <v>0.95310581000000005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0.31776031999999999</v>
      </c>
      <c r="R1277">
        <v>0</v>
      </c>
      <c r="T1277" t="str">
        <f t="shared" si="66"/>
        <v>040030202405</v>
      </c>
      <c r="U1277">
        <f t="shared" si="67"/>
        <v>61.274291759999997</v>
      </c>
    </row>
    <row r="1278" spans="1:21" x14ac:dyDescent="0.35">
      <c r="A1278">
        <v>2024</v>
      </c>
      <c r="B1278" s="9" t="s">
        <v>94</v>
      </c>
      <c r="C1278" s="6" t="s">
        <v>118</v>
      </c>
      <c r="D1278">
        <v>202405</v>
      </c>
      <c r="E1278" s="11" t="s">
        <v>24</v>
      </c>
      <c r="F1278">
        <v>0</v>
      </c>
      <c r="G1278">
        <v>0</v>
      </c>
      <c r="H1278">
        <v>0</v>
      </c>
      <c r="I1278">
        <v>10.765376</v>
      </c>
      <c r="J1278">
        <v>1.9919999999999998E-3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T1278" t="str">
        <f t="shared" si="66"/>
        <v>040036202405</v>
      </c>
      <c r="U1278">
        <f t="shared" si="67"/>
        <v>10.767367999999999</v>
      </c>
    </row>
    <row r="1279" spans="1:21" x14ac:dyDescent="0.35">
      <c r="A1279">
        <v>2024</v>
      </c>
      <c r="B1279" s="9" t="s">
        <v>94</v>
      </c>
      <c r="C1279" s="6" t="s">
        <v>118</v>
      </c>
      <c r="D1279">
        <v>202405</v>
      </c>
      <c r="E1279" s="11" t="s">
        <v>25</v>
      </c>
      <c r="F1279">
        <v>28.259499000000002</v>
      </c>
      <c r="G1279">
        <v>28.259499000000002</v>
      </c>
      <c r="H1279">
        <v>0</v>
      </c>
      <c r="I1279">
        <v>2.0957159999999999</v>
      </c>
      <c r="J1279">
        <v>1.1596599999999999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T1279" t="str">
        <f t="shared" si="66"/>
        <v>040042202405</v>
      </c>
      <c r="U1279">
        <f t="shared" si="67"/>
        <v>31.514875</v>
      </c>
    </row>
    <row r="1280" spans="1:21" x14ac:dyDescent="0.35">
      <c r="A1280">
        <v>2024</v>
      </c>
      <c r="B1280" s="9" t="s">
        <v>94</v>
      </c>
      <c r="C1280" s="6" t="s">
        <v>118</v>
      </c>
      <c r="D1280">
        <v>202405</v>
      </c>
      <c r="E1280" s="11" t="s">
        <v>26</v>
      </c>
      <c r="F1280">
        <v>2.520375</v>
      </c>
      <c r="G1280">
        <v>2.520375</v>
      </c>
      <c r="H1280">
        <v>0</v>
      </c>
      <c r="I1280">
        <v>204.81688199999999</v>
      </c>
      <c r="J1280">
        <v>17.005019999999998</v>
      </c>
      <c r="K1280">
        <v>0</v>
      </c>
      <c r="L1280">
        <v>8.3029999999999996E-3</v>
      </c>
      <c r="M1280">
        <v>8.3029999999999996E-3</v>
      </c>
      <c r="N1280">
        <v>0</v>
      </c>
      <c r="O1280">
        <v>0</v>
      </c>
      <c r="P1280">
        <v>16.159476999999999</v>
      </c>
      <c r="Q1280">
        <v>24.981217000000001</v>
      </c>
      <c r="R1280">
        <v>0</v>
      </c>
      <c r="T1280" t="str">
        <f t="shared" si="66"/>
        <v>040044202405</v>
      </c>
      <c r="U1280">
        <f t="shared" si="67"/>
        <v>224.342277</v>
      </c>
    </row>
    <row r="1281" spans="1:21" x14ac:dyDescent="0.35">
      <c r="A1281">
        <v>2024</v>
      </c>
      <c r="B1281" s="9" t="s">
        <v>94</v>
      </c>
      <c r="C1281" s="6" t="s">
        <v>118</v>
      </c>
      <c r="D1281">
        <v>202405</v>
      </c>
      <c r="E1281" s="11" t="s">
        <v>27</v>
      </c>
      <c r="F1281">
        <v>14.931954279999999</v>
      </c>
      <c r="G1281">
        <v>14.931954279999999</v>
      </c>
      <c r="H1281">
        <v>0</v>
      </c>
      <c r="I1281">
        <v>73.443410270000001</v>
      </c>
      <c r="J1281">
        <v>0.57387765000000002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T1281" t="str">
        <f t="shared" si="66"/>
        <v>040058202405</v>
      </c>
      <c r="U1281">
        <f t="shared" si="67"/>
        <v>88.9492422</v>
      </c>
    </row>
    <row r="1282" spans="1:21" x14ac:dyDescent="0.35">
      <c r="A1282">
        <v>2024</v>
      </c>
      <c r="B1282" s="9" t="s">
        <v>94</v>
      </c>
      <c r="C1282" s="6" t="s">
        <v>118</v>
      </c>
      <c r="D1282">
        <v>202405</v>
      </c>
      <c r="E1282" s="11" t="s">
        <v>28</v>
      </c>
      <c r="F1282">
        <v>0</v>
      </c>
      <c r="G1282">
        <v>0</v>
      </c>
      <c r="H1282">
        <v>0</v>
      </c>
      <c r="I1282">
        <v>173.23462499999999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T1282" t="str">
        <f t="shared" si="66"/>
        <v>040059202405</v>
      </c>
      <c r="U1282">
        <f t="shared" si="67"/>
        <v>173.23462499999999</v>
      </c>
    </row>
    <row r="1283" spans="1:21" x14ac:dyDescent="0.35">
      <c r="A1283">
        <v>2024</v>
      </c>
      <c r="B1283" s="9" t="s">
        <v>94</v>
      </c>
      <c r="C1283" s="6" t="s">
        <v>118</v>
      </c>
      <c r="D1283">
        <v>202405</v>
      </c>
      <c r="E1283" s="11" t="s">
        <v>62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T1283" t="str">
        <f t="shared" si="66"/>
        <v>040060202405</v>
      </c>
      <c r="U1283">
        <f t="shared" si="67"/>
        <v>0</v>
      </c>
    </row>
    <row r="1284" spans="1:21" x14ac:dyDescent="0.35">
      <c r="A1284">
        <v>2024</v>
      </c>
      <c r="B1284" s="9" t="s">
        <v>94</v>
      </c>
      <c r="C1284" s="6" t="s">
        <v>118</v>
      </c>
      <c r="D1284">
        <v>202405</v>
      </c>
      <c r="E1284" s="11" t="s">
        <v>29</v>
      </c>
      <c r="F1284">
        <v>2.4077999999999999E-2</v>
      </c>
      <c r="G1284">
        <v>2.4077999999999999E-2</v>
      </c>
      <c r="H1284">
        <v>0</v>
      </c>
      <c r="I1284">
        <v>110.925546</v>
      </c>
      <c r="J1284">
        <v>1.519E-2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T1284" t="str">
        <f t="shared" si="66"/>
        <v>040062202405</v>
      </c>
      <c r="U1284">
        <f t="shared" si="67"/>
        <v>110.964814</v>
      </c>
    </row>
    <row r="1285" spans="1:21" x14ac:dyDescent="0.35">
      <c r="A1285">
        <v>2024</v>
      </c>
      <c r="B1285" s="9" t="s">
        <v>94</v>
      </c>
      <c r="C1285" s="6" t="s">
        <v>118</v>
      </c>
      <c r="D1285">
        <v>202405</v>
      </c>
      <c r="E1285" s="11" t="s">
        <v>30</v>
      </c>
      <c r="F1285">
        <v>111.52415659</v>
      </c>
      <c r="G1285">
        <v>111.52415659</v>
      </c>
      <c r="H1285">
        <v>0</v>
      </c>
      <c r="I1285">
        <v>1154.77155831</v>
      </c>
      <c r="J1285">
        <v>243.57021644999998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T1285" t="str">
        <f t="shared" si="66"/>
        <v>040072202405</v>
      </c>
      <c r="U1285">
        <f t="shared" si="67"/>
        <v>1509.8659313500002</v>
      </c>
    </row>
    <row r="1286" spans="1:21" x14ac:dyDescent="0.35">
      <c r="A1286">
        <v>2024</v>
      </c>
      <c r="B1286" s="9" t="s">
        <v>94</v>
      </c>
      <c r="C1286" s="6" t="s">
        <v>118</v>
      </c>
      <c r="D1286">
        <v>202405</v>
      </c>
      <c r="E1286" s="11" t="s">
        <v>31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T1286" t="str">
        <f t="shared" si="66"/>
        <v>040106202405</v>
      </c>
      <c r="U1286">
        <f t="shared" si="67"/>
        <v>0</v>
      </c>
    </row>
    <row r="1287" spans="1:21" x14ac:dyDescent="0.35">
      <c r="A1287">
        <v>2024</v>
      </c>
      <c r="B1287" s="9" t="s">
        <v>94</v>
      </c>
      <c r="C1287" s="6" t="s">
        <v>118</v>
      </c>
      <c r="D1287">
        <v>202405</v>
      </c>
      <c r="E1287" s="11" t="s">
        <v>32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T1287" t="str">
        <f t="shared" si="66"/>
        <v>040108202405</v>
      </c>
      <c r="U1287">
        <f t="shared" si="67"/>
        <v>0</v>
      </c>
    </row>
    <row r="1288" spans="1:21" x14ac:dyDescent="0.35">
      <c r="A1288">
        <v>2024</v>
      </c>
      <c r="B1288" s="9" t="s">
        <v>94</v>
      </c>
      <c r="C1288" s="6" t="s">
        <v>118</v>
      </c>
      <c r="D1288">
        <v>202405</v>
      </c>
      <c r="E1288" s="11" t="s">
        <v>33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T1288" t="str">
        <f t="shared" si="66"/>
        <v>040110202405</v>
      </c>
      <c r="U1288">
        <f t="shared" si="67"/>
        <v>0</v>
      </c>
    </row>
    <row r="1289" spans="1:21" x14ac:dyDescent="0.35">
      <c r="A1289">
        <v>2024</v>
      </c>
      <c r="B1289" s="9" t="s">
        <v>94</v>
      </c>
      <c r="C1289" s="6" t="s">
        <v>118</v>
      </c>
      <c r="D1289">
        <v>202405</v>
      </c>
      <c r="E1289" s="11" t="s">
        <v>34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0.60869534999999997</v>
      </c>
      <c r="M1289">
        <v>0.57942722999999996</v>
      </c>
      <c r="N1289">
        <v>2.9268119999999998E-2</v>
      </c>
      <c r="O1289">
        <v>0</v>
      </c>
      <c r="P1289">
        <v>0</v>
      </c>
      <c r="Q1289">
        <v>0</v>
      </c>
      <c r="R1289">
        <v>0</v>
      </c>
      <c r="T1289" t="str">
        <f t="shared" si="66"/>
        <v>040112202405</v>
      </c>
      <c r="U1289">
        <f t="shared" si="67"/>
        <v>0</v>
      </c>
    </row>
    <row r="1290" spans="1:21" x14ac:dyDescent="0.35">
      <c r="A1290">
        <v>2024</v>
      </c>
      <c r="B1290" s="9" t="s">
        <v>94</v>
      </c>
      <c r="C1290" s="6" t="s">
        <v>118</v>
      </c>
      <c r="D1290">
        <v>202405</v>
      </c>
      <c r="E1290" s="11" t="s">
        <v>35</v>
      </c>
      <c r="F1290">
        <v>43.268599999999999</v>
      </c>
      <c r="G1290">
        <v>43.268599999999999</v>
      </c>
      <c r="H1290">
        <v>0</v>
      </c>
      <c r="I1290">
        <v>0</v>
      </c>
      <c r="J1290">
        <v>0</v>
      </c>
      <c r="K1290">
        <v>0</v>
      </c>
      <c r="L1290">
        <v>3.2821630000000002</v>
      </c>
      <c r="M1290">
        <v>3.2821630000000002</v>
      </c>
      <c r="N1290">
        <v>0</v>
      </c>
      <c r="O1290">
        <v>0</v>
      </c>
      <c r="P1290">
        <v>0</v>
      </c>
      <c r="Q1290">
        <v>0</v>
      </c>
      <c r="R1290">
        <v>0</v>
      </c>
      <c r="T1290" t="str">
        <f t="shared" si="66"/>
        <v>040113202405</v>
      </c>
      <c r="U1290">
        <f t="shared" si="67"/>
        <v>43.268599999999999</v>
      </c>
    </row>
    <row r="1291" spans="1:21" x14ac:dyDescent="0.35">
      <c r="A1291">
        <v>2024</v>
      </c>
      <c r="B1291" s="9" t="s">
        <v>94</v>
      </c>
      <c r="C1291" s="6" t="s">
        <v>118</v>
      </c>
      <c r="D1291">
        <v>202405</v>
      </c>
      <c r="E1291" s="11" t="s">
        <v>37</v>
      </c>
      <c r="F1291">
        <v>0</v>
      </c>
      <c r="G1291">
        <v>0</v>
      </c>
      <c r="H1291">
        <v>0</v>
      </c>
      <c r="I1291">
        <v>915.88296777999994</v>
      </c>
      <c r="J1291">
        <v>6.8750600000000005E-3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T1291" t="str">
        <f t="shared" si="66"/>
        <v>040127202405</v>
      </c>
      <c r="U1291">
        <f t="shared" si="67"/>
        <v>915.88984283999991</v>
      </c>
    </row>
    <row r="1292" spans="1:21" x14ac:dyDescent="0.35">
      <c r="A1292">
        <v>2024</v>
      </c>
      <c r="B1292" s="9" t="s">
        <v>94</v>
      </c>
      <c r="C1292" s="6" t="s">
        <v>118</v>
      </c>
      <c r="D1292">
        <v>202405</v>
      </c>
      <c r="E1292" s="11" t="s">
        <v>38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T1292" t="str">
        <f t="shared" si="66"/>
        <v>040128202405</v>
      </c>
      <c r="U1292">
        <f t="shared" si="67"/>
        <v>0</v>
      </c>
    </row>
    <row r="1293" spans="1:21" x14ac:dyDescent="0.35">
      <c r="A1293">
        <v>2024</v>
      </c>
      <c r="B1293" s="9" t="s">
        <v>94</v>
      </c>
      <c r="C1293" s="6" t="s">
        <v>118</v>
      </c>
      <c r="D1293">
        <v>202405</v>
      </c>
      <c r="E1293" s="11" t="s">
        <v>39</v>
      </c>
      <c r="F1293">
        <v>0</v>
      </c>
      <c r="G1293">
        <v>0</v>
      </c>
      <c r="H1293">
        <v>0</v>
      </c>
      <c r="I1293">
        <v>393.364687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7.7797340000000004</v>
      </c>
      <c r="Q1293">
        <v>0</v>
      </c>
      <c r="R1293">
        <v>0</v>
      </c>
      <c r="T1293" t="str">
        <f t="shared" si="66"/>
        <v>040130202405</v>
      </c>
      <c r="U1293">
        <f t="shared" si="67"/>
        <v>393.364687</v>
      </c>
    </row>
    <row r="1294" spans="1:21" x14ac:dyDescent="0.35">
      <c r="A1294">
        <v>2024</v>
      </c>
      <c r="B1294" s="9" t="s">
        <v>94</v>
      </c>
      <c r="C1294" s="6" t="s">
        <v>118</v>
      </c>
      <c r="D1294">
        <v>202405</v>
      </c>
      <c r="E1294" s="11" t="s">
        <v>40</v>
      </c>
      <c r="F1294">
        <v>0</v>
      </c>
      <c r="G1294">
        <v>0</v>
      </c>
      <c r="H1294">
        <v>0</v>
      </c>
      <c r="I1294">
        <v>6.0000000000000002E-6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T1294" t="str">
        <f t="shared" si="66"/>
        <v>040132202405</v>
      </c>
      <c r="U1294">
        <f t="shared" si="67"/>
        <v>6.0000000000000002E-6</v>
      </c>
    </row>
    <row r="1295" spans="1:21" x14ac:dyDescent="0.35">
      <c r="A1295">
        <v>2024</v>
      </c>
      <c r="B1295" s="9" t="s">
        <v>94</v>
      </c>
      <c r="C1295" s="6" t="s">
        <v>118</v>
      </c>
      <c r="D1295">
        <v>202405</v>
      </c>
      <c r="E1295" s="11" t="s">
        <v>41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T1295" t="str">
        <f t="shared" si="66"/>
        <v>040133202405</v>
      </c>
      <c r="U1295">
        <f t="shared" si="67"/>
        <v>0</v>
      </c>
    </row>
    <row r="1296" spans="1:21" x14ac:dyDescent="0.35">
      <c r="A1296">
        <v>2024</v>
      </c>
      <c r="B1296" s="9" t="s">
        <v>94</v>
      </c>
      <c r="C1296" s="6" t="s">
        <v>118</v>
      </c>
      <c r="D1296">
        <v>202405</v>
      </c>
      <c r="E1296" s="11" t="s">
        <v>42</v>
      </c>
      <c r="F1296">
        <v>2.292697</v>
      </c>
      <c r="G1296">
        <v>2.292697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T1296" t="str">
        <f t="shared" si="66"/>
        <v>040136202405</v>
      </c>
      <c r="U1296">
        <f t="shared" si="67"/>
        <v>2.292697</v>
      </c>
    </row>
    <row r="1297" spans="1:21" x14ac:dyDescent="0.35">
      <c r="A1297">
        <v>2024</v>
      </c>
      <c r="B1297" s="9" t="s">
        <v>94</v>
      </c>
      <c r="C1297" s="6" t="s">
        <v>118</v>
      </c>
      <c r="D1297">
        <v>202405</v>
      </c>
      <c r="E1297" s="11" t="s">
        <v>43</v>
      </c>
      <c r="F1297">
        <v>0</v>
      </c>
      <c r="G1297">
        <v>0</v>
      </c>
      <c r="H1297">
        <v>0</v>
      </c>
      <c r="I1297">
        <v>12.595697640000001</v>
      </c>
      <c r="J1297">
        <v>1.71335302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T1297" t="str">
        <f t="shared" si="66"/>
        <v>040137202405</v>
      </c>
      <c r="U1297">
        <f t="shared" si="67"/>
        <v>14.30905066</v>
      </c>
    </row>
    <row r="1298" spans="1:21" x14ac:dyDescent="0.35">
      <c r="A1298">
        <v>2024</v>
      </c>
      <c r="B1298" s="9" t="s">
        <v>94</v>
      </c>
      <c r="C1298" s="6" t="s">
        <v>118</v>
      </c>
      <c r="D1298">
        <v>202405</v>
      </c>
      <c r="E1298" s="11" t="s">
        <v>44</v>
      </c>
      <c r="F1298">
        <v>0</v>
      </c>
      <c r="G1298">
        <v>0</v>
      </c>
      <c r="H1298">
        <v>0</v>
      </c>
      <c r="I1298">
        <v>1.1624611899999999</v>
      </c>
      <c r="J1298">
        <v>0</v>
      </c>
      <c r="K1298">
        <v>0</v>
      </c>
      <c r="L1298">
        <v>1E-8</v>
      </c>
      <c r="M1298">
        <v>0</v>
      </c>
      <c r="N1298">
        <v>1E-8</v>
      </c>
      <c r="O1298">
        <v>0</v>
      </c>
      <c r="P1298">
        <v>4.8579E-4</v>
      </c>
      <c r="Q1298">
        <v>0</v>
      </c>
      <c r="R1298">
        <v>0</v>
      </c>
      <c r="T1298" t="str">
        <f t="shared" si="66"/>
        <v>040138202405</v>
      </c>
      <c r="U1298">
        <f t="shared" si="67"/>
        <v>1.1624611899999999</v>
      </c>
    </row>
    <row r="1299" spans="1:21" x14ac:dyDescent="0.35">
      <c r="A1299">
        <v>2024</v>
      </c>
      <c r="B1299" s="9" t="s">
        <v>94</v>
      </c>
      <c r="C1299" s="6" t="s">
        <v>118</v>
      </c>
      <c r="D1299">
        <v>202405</v>
      </c>
      <c r="E1299" s="11" t="s">
        <v>45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T1299" t="str">
        <f t="shared" si="66"/>
        <v>040139202405</v>
      </c>
      <c r="U1299">
        <f t="shared" si="67"/>
        <v>0</v>
      </c>
    </row>
    <row r="1300" spans="1:21" x14ac:dyDescent="0.35">
      <c r="A1300">
        <v>2024</v>
      </c>
      <c r="B1300" s="9" t="s">
        <v>94</v>
      </c>
      <c r="C1300" s="6" t="s">
        <v>118</v>
      </c>
      <c r="D1300">
        <v>202405</v>
      </c>
      <c r="E1300" s="11" t="s">
        <v>46</v>
      </c>
      <c r="F1300">
        <v>0</v>
      </c>
      <c r="G1300">
        <v>0</v>
      </c>
      <c r="H1300">
        <v>0</v>
      </c>
      <c r="I1300">
        <v>33.82526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T1300" t="str">
        <f t="shared" si="66"/>
        <v>040140202405</v>
      </c>
      <c r="U1300">
        <f t="shared" si="67"/>
        <v>33.82526</v>
      </c>
    </row>
    <row r="1301" spans="1:21" x14ac:dyDescent="0.35">
      <c r="A1301">
        <v>2024</v>
      </c>
      <c r="B1301" s="9" t="s">
        <v>94</v>
      </c>
      <c r="C1301" s="6" t="s">
        <v>118</v>
      </c>
      <c r="D1301">
        <v>202405</v>
      </c>
      <c r="E1301" s="11" t="s">
        <v>47</v>
      </c>
      <c r="F1301">
        <v>0</v>
      </c>
      <c r="G1301">
        <v>0</v>
      </c>
      <c r="H1301">
        <v>0</v>
      </c>
      <c r="I1301">
        <v>3.0776000000000001E-2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T1301" t="str">
        <f t="shared" si="66"/>
        <v>040141202405</v>
      </c>
      <c r="U1301">
        <f t="shared" si="67"/>
        <v>3.0776000000000001E-2</v>
      </c>
    </row>
    <row r="1302" spans="1:21" x14ac:dyDescent="0.35">
      <c r="A1302">
        <v>2024</v>
      </c>
      <c r="B1302" s="9" t="s">
        <v>94</v>
      </c>
      <c r="C1302" s="6" t="s">
        <v>118</v>
      </c>
      <c r="D1302">
        <v>202405</v>
      </c>
      <c r="E1302" s="11" t="s">
        <v>48</v>
      </c>
      <c r="F1302">
        <v>10.27424162</v>
      </c>
      <c r="G1302">
        <v>8.8433442600000003</v>
      </c>
      <c r="H1302">
        <v>1.4308973600000001</v>
      </c>
      <c r="I1302">
        <v>10.982058449999998</v>
      </c>
      <c r="J1302">
        <v>37.448723109999996</v>
      </c>
      <c r="K1302">
        <v>0</v>
      </c>
      <c r="L1302">
        <v>2.3430549999999998E-2</v>
      </c>
      <c r="M1302">
        <v>2.3430549999999998E-2</v>
      </c>
      <c r="N1302">
        <v>0</v>
      </c>
      <c r="O1302">
        <v>0</v>
      </c>
      <c r="P1302">
        <v>4.3022002300000004</v>
      </c>
      <c r="Q1302">
        <v>0.12421239000000001</v>
      </c>
      <c r="R1302">
        <v>0</v>
      </c>
      <c r="T1302" t="str">
        <f t="shared" si="66"/>
        <v>040143202405</v>
      </c>
      <c r="U1302">
        <f t="shared" si="67"/>
        <v>58.705023179999998</v>
      </c>
    </row>
    <row r="1303" spans="1:21" x14ac:dyDescent="0.35">
      <c r="A1303">
        <v>2024</v>
      </c>
      <c r="B1303" s="9" t="s">
        <v>94</v>
      </c>
      <c r="C1303" s="6" t="s">
        <v>118</v>
      </c>
      <c r="D1303">
        <v>202405</v>
      </c>
      <c r="E1303" s="11" t="s">
        <v>49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T1303" t="str">
        <f t="shared" si="66"/>
        <v>040145202405</v>
      </c>
      <c r="U1303">
        <f t="shared" si="67"/>
        <v>0</v>
      </c>
    </row>
    <row r="1304" spans="1:21" x14ac:dyDescent="0.35">
      <c r="A1304">
        <v>2024</v>
      </c>
      <c r="B1304" s="9" t="s">
        <v>94</v>
      </c>
      <c r="C1304" s="6" t="s">
        <v>118</v>
      </c>
      <c r="D1304">
        <v>202405</v>
      </c>
      <c r="E1304" s="11" t="s">
        <v>50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T1304" t="str">
        <f t="shared" si="66"/>
        <v>040147202405</v>
      </c>
      <c r="U1304">
        <f t="shared" si="67"/>
        <v>0</v>
      </c>
    </row>
    <row r="1305" spans="1:21" x14ac:dyDescent="0.35">
      <c r="A1305">
        <v>2024</v>
      </c>
      <c r="B1305" s="9" t="s">
        <v>94</v>
      </c>
      <c r="C1305" s="6" t="s">
        <v>118</v>
      </c>
      <c r="D1305">
        <v>202405</v>
      </c>
      <c r="E1305" s="11" t="s">
        <v>51</v>
      </c>
      <c r="F1305">
        <v>0</v>
      </c>
      <c r="G1305">
        <v>0</v>
      </c>
      <c r="H1305">
        <v>0</v>
      </c>
      <c r="I1305">
        <v>4.4201319999999997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2.8435999999999999E-2</v>
      </c>
      <c r="Q1305">
        <v>0</v>
      </c>
      <c r="R1305">
        <v>0</v>
      </c>
      <c r="T1305" t="str">
        <f t="shared" si="66"/>
        <v>040149202405</v>
      </c>
      <c r="U1305">
        <f t="shared" si="67"/>
        <v>4.4201319999999997</v>
      </c>
    </row>
    <row r="1306" spans="1:21" x14ac:dyDescent="0.35">
      <c r="A1306">
        <v>2024</v>
      </c>
      <c r="B1306" s="9" t="s">
        <v>94</v>
      </c>
      <c r="C1306" s="6" t="s">
        <v>118</v>
      </c>
      <c r="D1306">
        <v>202405</v>
      </c>
      <c r="E1306" s="11" t="s">
        <v>52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T1306" t="str">
        <f t="shared" si="66"/>
        <v>040150202405</v>
      </c>
      <c r="U1306">
        <f t="shared" si="67"/>
        <v>0</v>
      </c>
    </row>
    <row r="1307" spans="1:21" x14ac:dyDescent="0.35">
      <c r="A1307">
        <v>2024</v>
      </c>
      <c r="B1307" s="9" t="s">
        <v>94</v>
      </c>
      <c r="C1307" s="6" t="s">
        <v>118</v>
      </c>
      <c r="D1307">
        <v>202405</v>
      </c>
      <c r="E1307" s="11" t="s">
        <v>53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T1307" t="str">
        <f t="shared" si="66"/>
        <v>040151202405</v>
      </c>
      <c r="U1307">
        <f t="shared" si="67"/>
        <v>0</v>
      </c>
    </row>
    <row r="1308" spans="1:21" x14ac:dyDescent="0.35">
      <c r="A1308">
        <v>2024</v>
      </c>
      <c r="B1308" s="9" t="s">
        <v>94</v>
      </c>
      <c r="C1308" s="6" t="s">
        <v>118</v>
      </c>
      <c r="D1308">
        <v>202405</v>
      </c>
      <c r="E1308" s="11" t="s">
        <v>54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T1308" t="str">
        <f t="shared" si="66"/>
        <v>040152202405</v>
      </c>
      <c r="U1308">
        <f t="shared" si="67"/>
        <v>0</v>
      </c>
    </row>
    <row r="1309" spans="1:21" x14ac:dyDescent="0.35">
      <c r="A1309">
        <v>2024</v>
      </c>
      <c r="B1309" s="9" t="s">
        <v>94</v>
      </c>
      <c r="C1309" s="6" t="s">
        <v>118</v>
      </c>
      <c r="D1309">
        <v>202405</v>
      </c>
      <c r="E1309" s="11" t="s">
        <v>55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2.7920259999999999E-2</v>
      </c>
      <c r="M1309">
        <v>2.7920259999999999E-2</v>
      </c>
      <c r="N1309">
        <v>0</v>
      </c>
      <c r="O1309">
        <v>0</v>
      </c>
      <c r="P1309">
        <v>0</v>
      </c>
      <c r="Q1309">
        <v>0</v>
      </c>
      <c r="R1309">
        <v>0</v>
      </c>
      <c r="T1309" t="str">
        <f t="shared" si="66"/>
        <v>040154202405</v>
      </c>
      <c r="U1309">
        <f t="shared" si="67"/>
        <v>0</v>
      </c>
    </row>
    <row r="1310" spans="1:21" x14ac:dyDescent="0.35">
      <c r="A1310">
        <v>2024</v>
      </c>
      <c r="B1310" s="9" t="s">
        <v>94</v>
      </c>
      <c r="C1310" s="6" t="s">
        <v>118</v>
      </c>
      <c r="D1310">
        <v>202405</v>
      </c>
      <c r="E1310" s="11" t="s">
        <v>56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T1310" t="str">
        <f t="shared" si="66"/>
        <v>040155202405</v>
      </c>
      <c r="U1310">
        <f t="shared" si="67"/>
        <v>0</v>
      </c>
    </row>
    <row r="1311" spans="1:21" x14ac:dyDescent="0.35">
      <c r="A1311">
        <v>2024</v>
      </c>
      <c r="B1311" s="9" t="s">
        <v>94</v>
      </c>
      <c r="C1311" s="6" t="s">
        <v>118</v>
      </c>
      <c r="D1311">
        <v>202405</v>
      </c>
      <c r="E1311" s="11" t="s">
        <v>57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T1311" t="str">
        <f t="shared" si="66"/>
        <v>040156202405</v>
      </c>
      <c r="U1311">
        <f t="shared" si="67"/>
        <v>0</v>
      </c>
    </row>
    <row r="1312" spans="1:21" x14ac:dyDescent="0.35">
      <c r="A1312">
        <v>2024</v>
      </c>
      <c r="B1312" s="9" t="s">
        <v>94</v>
      </c>
      <c r="C1312" s="6" t="s">
        <v>118</v>
      </c>
      <c r="D1312">
        <v>202405</v>
      </c>
      <c r="E1312" s="11" t="s">
        <v>58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T1312" t="str">
        <f t="shared" si="66"/>
        <v>040157202405</v>
      </c>
      <c r="U1312">
        <f t="shared" si="67"/>
        <v>0</v>
      </c>
    </row>
    <row r="1313" spans="1:21" x14ac:dyDescent="0.35">
      <c r="A1313">
        <v>2024</v>
      </c>
      <c r="B1313" s="9" t="s">
        <v>94</v>
      </c>
      <c r="C1313" s="6" t="s">
        <v>118</v>
      </c>
      <c r="D1313">
        <v>202405</v>
      </c>
      <c r="E1313" s="11" t="s">
        <v>59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T1313" t="str">
        <f t="shared" si="66"/>
        <v>040158202405</v>
      </c>
      <c r="U1313">
        <f t="shared" si="67"/>
        <v>0</v>
      </c>
    </row>
    <row r="1314" spans="1:21" x14ac:dyDescent="0.35">
      <c r="A1314">
        <v>2024</v>
      </c>
      <c r="B1314" s="9" t="s">
        <v>94</v>
      </c>
      <c r="C1314" s="6" t="s">
        <v>118</v>
      </c>
      <c r="D1314">
        <v>202405</v>
      </c>
      <c r="E1314" s="11" t="s">
        <v>60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T1314" t="str">
        <f t="shared" si="66"/>
        <v>040159202405</v>
      </c>
      <c r="U1314">
        <f t="shared" si="67"/>
        <v>0</v>
      </c>
    </row>
    <row r="1315" spans="1:21" x14ac:dyDescent="0.35">
      <c r="A1315">
        <v>2024</v>
      </c>
      <c r="B1315" s="9" t="s">
        <v>94</v>
      </c>
      <c r="C1315" s="6" t="s">
        <v>118</v>
      </c>
      <c r="D1315">
        <v>202405</v>
      </c>
      <c r="E1315" s="11" t="s">
        <v>63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T1315" t="str">
        <f t="shared" si="66"/>
        <v>040160202405</v>
      </c>
      <c r="U1315">
        <f t="shared" si="67"/>
        <v>0</v>
      </c>
    </row>
    <row r="1316" spans="1:21" x14ac:dyDescent="0.35">
      <c r="A1316">
        <v>2024</v>
      </c>
      <c r="B1316" s="9" t="s">
        <v>94</v>
      </c>
      <c r="C1316" s="6" t="s">
        <v>118</v>
      </c>
      <c r="D1316">
        <v>202405</v>
      </c>
      <c r="E1316" s="11" t="s">
        <v>61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T1316" t="str">
        <f t="shared" si="66"/>
        <v>040162202405</v>
      </c>
      <c r="U1316">
        <f t="shared" si="67"/>
        <v>0</v>
      </c>
    </row>
    <row r="1317" spans="1:21" x14ac:dyDescent="0.35">
      <c r="A1317">
        <v>2024</v>
      </c>
      <c r="B1317" s="9" t="s">
        <v>94</v>
      </c>
      <c r="C1317" s="6" t="s">
        <v>118</v>
      </c>
      <c r="D1317">
        <v>202405</v>
      </c>
      <c r="E1317" s="11" t="s">
        <v>114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T1317" t="str">
        <f t="shared" si="66"/>
        <v>040165202405</v>
      </c>
      <c r="U1317">
        <f t="shared" si="67"/>
        <v>0</v>
      </c>
    </row>
    <row r="1318" spans="1:21" x14ac:dyDescent="0.35">
      <c r="A1318">
        <v>2024</v>
      </c>
      <c r="B1318" s="9" t="s">
        <v>95</v>
      </c>
      <c r="C1318" s="6" t="s">
        <v>119</v>
      </c>
      <c r="D1318">
        <v>202406</v>
      </c>
      <c r="E1318" s="11">
        <v>5</v>
      </c>
      <c r="F1318">
        <v>2317.11230935</v>
      </c>
      <c r="G1318">
        <v>2306.5603198899998</v>
      </c>
      <c r="H1318">
        <v>10.551989460000001</v>
      </c>
      <c r="I1318">
        <v>9110.8363631699995</v>
      </c>
      <c r="J1318">
        <v>453.18031257000001</v>
      </c>
      <c r="K1318">
        <v>48.667009020000002</v>
      </c>
      <c r="L1318">
        <v>11.37083266</v>
      </c>
      <c r="M1318">
        <v>11.37083266</v>
      </c>
      <c r="N1318">
        <v>0</v>
      </c>
      <c r="O1318">
        <v>0</v>
      </c>
      <c r="P1318">
        <v>167.62965324000001</v>
      </c>
      <c r="Q1318">
        <v>64.629718510000004</v>
      </c>
      <c r="R1318">
        <v>0</v>
      </c>
      <c r="T1318" t="str">
        <f t="shared" ref="T1318:T1363" si="68">+E1318&amp;D1318</f>
        <v>5202406</v>
      </c>
      <c r="U1318">
        <f t="shared" ref="U1318:U1363" si="69">+F1318+I1318+J1318</f>
        <v>11881.128985090001</v>
      </c>
    </row>
    <row r="1319" spans="1:21" x14ac:dyDescent="0.35">
      <c r="A1319">
        <v>2024</v>
      </c>
      <c r="B1319" s="9" t="s">
        <v>95</v>
      </c>
      <c r="C1319" s="6" t="s">
        <v>119</v>
      </c>
      <c r="D1319">
        <v>202406</v>
      </c>
      <c r="E1319" s="11" t="s">
        <v>19</v>
      </c>
      <c r="F1319">
        <v>111.79868526999999</v>
      </c>
      <c r="G1319">
        <v>111.79868526999999</v>
      </c>
      <c r="H1319">
        <v>0</v>
      </c>
      <c r="I1319">
        <v>339.70817031999997</v>
      </c>
      <c r="J1319">
        <v>52.507083479999999</v>
      </c>
      <c r="K1319">
        <v>48.667009020000002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T1319" t="str">
        <f t="shared" si="68"/>
        <v>040002202406</v>
      </c>
      <c r="U1319">
        <f t="shared" si="69"/>
        <v>504.01393906999999</v>
      </c>
    </row>
    <row r="1320" spans="1:21" x14ac:dyDescent="0.35">
      <c r="A1320">
        <v>2024</v>
      </c>
      <c r="B1320" s="9" t="s">
        <v>95</v>
      </c>
      <c r="C1320" s="6" t="s">
        <v>119</v>
      </c>
      <c r="D1320">
        <v>202406</v>
      </c>
      <c r="E1320" s="11" t="s">
        <v>20</v>
      </c>
      <c r="F1320">
        <v>293.98101600000001</v>
      </c>
      <c r="G1320">
        <v>293.98101600000001</v>
      </c>
      <c r="H1320">
        <v>0</v>
      </c>
      <c r="I1320">
        <v>3631.3620430000001</v>
      </c>
      <c r="J1320">
        <v>34.568742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T1320" t="str">
        <f t="shared" si="68"/>
        <v>040012202406</v>
      </c>
      <c r="U1320">
        <f t="shared" si="69"/>
        <v>3959.9118010000002</v>
      </c>
    </row>
    <row r="1321" spans="1:21" x14ac:dyDescent="0.35">
      <c r="A1321">
        <v>2024</v>
      </c>
      <c r="B1321" s="9" t="s">
        <v>95</v>
      </c>
      <c r="C1321" s="6" t="s">
        <v>119</v>
      </c>
      <c r="D1321">
        <v>202406</v>
      </c>
      <c r="E1321" s="11" t="s">
        <v>21</v>
      </c>
      <c r="F1321">
        <v>335.28167400000001</v>
      </c>
      <c r="G1321">
        <v>335.28167400000001</v>
      </c>
      <c r="H1321">
        <v>0</v>
      </c>
      <c r="I1321">
        <v>1503.5641760000001</v>
      </c>
      <c r="J1321">
        <v>158.886506</v>
      </c>
      <c r="K1321">
        <v>0</v>
      </c>
      <c r="L1321">
        <v>1.1212150000000001</v>
      </c>
      <c r="M1321">
        <v>1.1212150000000001</v>
      </c>
      <c r="N1321">
        <v>0</v>
      </c>
      <c r="O1321">
        <v>0</v>
      </c>
      <c r="P1321">
        <v>28.325109999999999</v>
      </c>
      <c r="Q1321">
        <v>7.9811509999999997</v>
      </c>
      <c r="R1321">
        <v>0</v>
      </c>
      <c r="T1321" t="str">
        <f t="shared" si="68"/>
        <v>040014202406</v>
      </c>
      <c r="U1321">
        <f t="shared" si="69"/>
        <v>1997.7323560000002</v>
      </c>
    </row>
    <row r="1322" spans="1:21" x14ac:dyDescent="0.35">
      <c r="A1322">
        <v>2024</v>
      </c>
      <c r="B1322" s="9" t="s">
        <v>95</v>
      </c>
      <c r="C1322" s="6" t="s">
        <v>119</v>
      </c>
      <c r="D1322">
        <v>202406</v>
      </c>
      <c r="E1322" s="11" t="s">
        <v>22</v>
      </c>
      <c r="F1322">
        <v>581.42676500000005</v>
      </c>
      <c r="G1322">
        <v>581.42616599999997</v>
      </c>
      <c r="H1322">
        <v>5.9900000000000003E-4</v>
      </c>
      <c r="I1322">
        <v>924.20748400000002</v>
      </c>
      <c r="J1322">
        <v>35.490093999999999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46.442847</v>
      </c>
      <c r="Q1322">
        <v>15.300182</v>
      </c>
      <c r="R1322">
        <v>0</v>
      </c>
      <c r="T1322" t="str">
        <f t="shared" si="68"/>
        <v>040021202406</v>
      </c>
      <c r="U1322">
        <f t="shared" si="69"/>
        <v>1541.1243430000002</v>
      </c>
    </row>
    <row r="1323" spans="1:21" x14ac:dyDescent="0.35">
      <c r="A1323">
        <v>2024</v>
      </c>
      <c r="B1323" s="9" t="s">
        <v>95</v>
      </c>
      <c r="C1323" s="6" t="s">
        <v>119</v>
      </c>
      <c r="D1323">
        <v>202406</v>
      </c>
      <c r="E1323" s="11" t="s">
        <v>23</v>
      </c>
      <c r="F1323">
        <v>415.96654141000005</v>
      </c>
      <c r="G1323">
        <v>415.96654141000005</v>
      </c>
      <c r="H1323">
        <v>0</v>
      </c>
      <c r="I1323">
        <v>52.454007149999995</v>
      </c>
      <c r="J1323">
        <v>2.9310052599999996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0.33415301000000003</v>
      </c>
      <c r="R1323">
        <v>0</v>
      </c>
      <c r="T1323" t="str">
        <f t="shared" si="68"/>
        <v>040030202406</v>
      </c>
      <c r="U1323">
        <f t="shared" si="69"/>
        <v>471.35155382000005</v>
      </c>
    </row>
    <row r="1324" spans="1:21" x14ac:dyDescent="0.35">
      <c r="A1324">
        <v>2024</v>
      </c>
      <c r="B1324" s="9" t="s">
        <v>95</v>
      </c>
      <c r="C1324" s="6" t="s">
        <v>119</v>
      </c>
      <c r="D1324">
        <v>202406</v>
      </c>
      <c r="E1324" s="11" t="s">
        <v>24</v>
      </c>
      <c r="F1324">
        <v>0</v>
      </c>
      <c r="G1324">
        <v>0</v>
      </c>
      <c r="H1324">
        <v>0</v>
      </c>
      <c r="I1324">
        <v>9.5590320000000002</v>
      </c>
      <c r="J1324">
        <v>1.9959999999999999E-3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T1324" t="str">
        <f t="shared" si="68"/>
        <v>040036202406</v>
      </c>
      <c r="U1324">
        <f t="shared" si="69"/>
        <v>9.5610280000000003</v>
      </c>
    </row>
    <row r="1325" spans="1:21" x14ac:dyDescent="0.35">
      <c r="A1325">
        <v>2024</v>
      </c>
      <c r="B1325" s="9" t="s">
        <v>95</v>
      </c>
      <c r="C1325" s="6" t="s">
        <v>119</v>
      </c>
      <c r="D1325">
        <v>202406</v>
      </c>
      <c r="E1325" s="11" t="s">
        <v>25</v>
      </c>
      <c r="F1325">
        <v>39.467444</v>
      </c>
      <c r="G1325">
        <v>39.467444</v>
      </c>
      <c r="H1325">
        <v>0</v>
      </c>
      <c r="I1325">
        <v>1.7998989999999999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T1325" t="str">
        <f t="shared" si="68"/>
        <v>040042202406</v>
      </c>
      <c r="U1325">
        <f t="shared" si="69"/>
        <v>41.267342999999997</v>
      </c>
    </row>
    <row r="1326" spans="1:21" x14ac:dyDescent="0.35">
      <c r="A1326">
        <v>2024</v>
      </c>
      <c r="B1326" s="9" t="s">
        <v>95</v>
      </c>
      <c r="C1326" s="6" t="s">
        <v>119</v>
      </c>
      <c r="D1326">
        <v>202406</v>
      </c>
      <c r="E1326" s="11" t="s">
        <v>26</v>
      </c>
      <c r="F1326">
        <v>0.32084800000000002</v>
      </c>
      <c r="G1326">
        <v>0.32084800000000002</v>
      </c>
      <c r="H1326">
        <v>0</v>
      </c>
      <c r="I1326">
        <v>134.18836099999999</v>
      </c>
      <c r="J1326">
        <v>11.407088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14.336425999999999</v>
      </c>
      <c r="Q1326">
        <v>28.466277000000002</v>
      </c>
      <c r="R1326">
        <v>0</v>
      </c>
      <c r="T1326" t="str">
        <f t="shared" si="68"/>
        <v>040044202406</v>
      </c>
      <c r="U1326">
        <f t="shared" si="69"/>
        <v>145.91629699999999</v>
      </c>
    </row>
    <row r="1327" spans="1:21" x14ac:dyDescent="0.35">
      <c r="A1327">
        <v>2024</v>
      </c>
      <c r="B1327" s="9" t="s">
        <v>95</v>
      </c>
      <c r="C1327" s="6" t="s">
        <v>119</v>
      </c>
      <c r="D1327">
        <v>202406</v>
      </c>
      <c r="E1327" s="11" t="s">
        <v>27</v>
      </c>
      <c r="F1327">
        <v>57.389620030000003</v>
      </c>
      <c r="G1327">
        <v>57.11876822</v>
      </c>
      <c r="H1327">
        <v>0.27085180999999997</v>
      </c>
      <c r="I1327">
        <v>68.816168180000005</v>
      </c>
      <c r="J1327">
        <v>3.9666782400000002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T1327" t="str">
        <f t="shared" si="68"/>
        <v>040058202406</v>
      </c>
      <c r="U1327">
        <f t="shared" si="69"/>
        <v>130.17246645</v>
      </c>
    </row>
    <row r="1328" spans="1:21" x14ac:dyDescent="0.35">
      <c r="A1328">
        <v>2024</v>
      </c>
      <c r="B1328" s="9" t="s">
        <v>95</v>
      </c>
      <c r="C1328" s="6" t="s">
        <v>119</v>
      </c>
      <c r="D1328">
        <v>202406</v>
      </c>
      <c r="E1328" s="11" t="s">
        <v>28</v>
      </c>
      <c r="F1328">
        <v>0</v>
      </c>
      <c r="G1328">
        <v>0</v>
      </c>
      <c r="H1328">
        <v>0</v>
      </c>
      <c r="I1328">
        <v>156.961412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T1328" t="str">
        <f t="shared" si="68"/>
        <v>040059202406</v>
      </c>
      <c r="U1328">
        <f t="shared" si="69"/>
        <v>156.961412</v>
      </c>
    </row>
    <row r="1329" spans="1:21" x14ac:dyDescent="0.35">
      <c r="A1329">
        <v>2024</v>
      </c>
      <c r="B1329" s="9" t="s">
        <v>95</v>
      </c>
      <c r="C1329" s="6" t="s">
        <v>119</v>
      </c>
      <c r="D1329">
        <v>202406</v>
      </c>
      <c r="E1329" s="11" t="s">
        <v>62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T1329" t="str">
        <f t="shared" si="68"/>
        <v>040060202406</v>
      </c>
      <c r="U1329">
        <f t="shared" si="69"/>
        <v>0</v>
      </c>
    </row>
    <row r="1330" spans="1:21" x14ac:dyDescent="0.35">
      <c r="A1330">
        <v>2024</v>
      </c>
      <c r="B1330" s="9" t="s">
        <v>95</v>
      </c>
      <c r="C1330" s="6" t="s">
        <v>119</v>
      </c>
      <c r="D1330">
        <v>202406</v>
      </c>
      <c r="E1330" s="11" t="s">
        <v>29</v>
      </c>
      <c r="F1330">
        <v>1.83E-4</v>
      </c>
      <c r="G1330">
        <v>1.83E-4</v>
      </c>
      <c r="H1330">
        <v>0</v>
      </c>
      <c r="I1330">
        <v>85.190715999999995</v>
      </c>
      <c r="J1330">
        <v>5.4350999999999997E-2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T1330" t="str">
        <f t="shared" si="68"/>
        <v>040062202406</v>
      </c>
      <c r="U1330">
        <f t="shared" si="69"/>
        <v>85.245249999999999</v>
      </c>
    </row>
    <row r="1331" spans="1:21" x14ac:dyDescent="0.35">
      <c r="A1331">
        <v>2024</v>
      </c>
      <c r="B1331" s="9" t="s">
        <v>95</v>
      </c>
      <c r="C1331" s="6" t="s">
        <v>119</v>
      </c>
      <c r="D1331">
        <v>202406</v>
      </c>
      <c r="E1331" s="11" t="s">
        <v>30</v>
      </c>
      <c r="F1331">
        <v>61.871041840000004</v>
      </c>
      <c r="G1331">
        <v>61.871041840000004</v>
      </c>
      <c r="H1331">
        <v>0</v>
      </c>
      <c r="I1331">
        <v>1041.8408038</v>
      </c>
      <c r="J1331">
        <v>147.90525668000001</v>
      </c>
      <c r="K1331">
        <v>0</v>
      </c>
      <c r="L1331">
        <v>7.79113831</v>
      </c>
      <c r="M1331">
        <v>7.79113831</v>
      </c>
      <c r="N1331">
        <v>0</v>
      </c>
      <c r="O1331">
        <v>0</v>
      </c>
      <c r="P1331">
        <v>66.549384469999993</v>
      </c>
      <c r="Q1331">
        <v>12.12521946</v>
      </c>
      <c r="R1331">
        <v>0</v>
      </c>
      <c r="T1331" t="str">
        <f t="shared" si="68"/>
        <v>040072202406</v>
      </c>
      <c r="U1331">
        <f t="shared" si="69"/>
        <v>1251.6171023200002</v>
      </c>
    </row>
    <row r="1332" spans="1:21" x14ac:dyDescent="0.35">
      <c r="A1332">
        <v>2024</v>
      </c>
      <c r="B1332" s="9" t="s">
        <v>95</v>
      </c>
      <c r="C1332" s="6" t="s">
        <v>119</v>
      </c>
      <c r="D1332">
        <v>202406</v>
      </c>
      <c r="E1332" s="11" t="s">
        <v>31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T1332" t="str">
        <f t="shared" si="68"/>
        <v>040106202406</v>
      </c>
      <c r="U1332">
        <f t="shared" si="69"/>
        <v>0</v>
      </c>
    </row>
    <row r="1333" spans="1:21" x14ac:dyDescent="0.35">
      <c r="A1333">
        <v>2024</v>
      </c>
      <c r="B1333" s="9" t="s">
        <v>95</v>
      </c>
      <c r="C1333" s="6" t="s">
        <v>119</v>
      </c>
      <c r="D1333">
        <v>202406</v>
      </c>
      <c r="E1333" s="11" t="s">
        <v>32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T1333" t="str">
        <f t="shared" si="68"/>
        <v>040108202406</v>
      </c>
      <c r="U1333">
        <f t="shared" si="69"/>
        <v>0</v>
      </c>
    </row>
    <row r="1334" spans="1:21" x14ac:dyDescent="0.35">
      <c r="A1334">
        <v>2024</v>
      </c>
      <c r="B1334" s="9" t="s">
        <v>95</v>
      </c>
      <c r="C1334" s="6" t="s">
        <v>119</v>
      </c>
      <c r="D1334">
        <v>202406</v>
      </c>
      <c r="E1334" s="11" t="s">
        <v>33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T1334" t="str">
        <f t="shared" si="68"/>
        <v>040110202406</v>
      </c>
      <c r="U1334">
        <f t="shared" si="69"/>
        <v>0</v>
      </c>
    </row>
    <row r="1335" spans="1:21" x14ac:dyDescent="0.35">
      <c r="A1335">
        <v>2024</v>
      </c>
      <c r="B1335" s="9" t="s">
        <v>95</v>
      </c>
      <c r="C1335" s="6" t="s">
        <v>119</v>
      </c>
      <c r="D1335">
        <v>202406</v>
      </c>
      <c r="E1335" s="11" t="s">
        <v>34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2.4584793500000002</v>
      </c>
      <c r="M1335">
        <v>2.4584793500000002</v>
      </c>
      <c r="N1335">
        <v>0</v>
      </c>
      <c r="O1335">
        <v>0</v>
      </c>
      <c r="P1335">
        <v>0</v>
      </c>
      <c r="Q1335">
        <v>0</v>
      </c>
      <c r="R1335">
        <v>0</v>
      </c>
      <c r="T1335" t="str">
        <f t="shared" si="68"/>
        <v>040112202406</v>
      </c>
      <c r="U1335">
        <f t="shared" si="69"/>
        <v>0</v>
      </c>
    </row>
    <row r="1336" spans="1:21" x14ac:dyDescent="0.35">
      <c r="A1336">
        <v>2024</v>
      </c>
      <c r="B1336" s="9" t="s">
        <v>95</v>
      </c>
      <c r="C1336" s="6" t="s">
        <v>119</v>
      </c>
      <c r="D1336">
        <v>202406</v>
      </c>
      <c r="E1336" s="11" t="s">
        <v>35</v>
      </c>
      <c r="F1336">
        <v>22.528182000000001</v>
      </c>
      <c r="G1336">
        <v>21.526506999999999</v>
      </c>
      <c r="H1336">
        <v>1.0016750000000001</v>
      </c>
      <c r="I1336">
        <v>2.3512840000000002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T1336" t="str">
        <f t="shared" si="68"/>
        <v>040113202406</v>
      </c>
      <c r="U1336">
        <f t="shared" si="69"/>
        <v>24.879466000000001</v>
      </c>
    </row>
    <row r="1337" spans="1:21" x14ac:dyDescent="0.35">
      <c r="A1337">
        <v>2024</v>
      </c>
      <c r="B1337" s="9" t="s">
        <v>95</v>
      </c>
      <c r="C1337" s="6" t="s">
        <v>119</v>
      </c>
      <c r="D1337">
        <v>202406</v>
      </c>
      <c r="E1337" s="11" t="s">
        <v>37</v>
      </c>
      <c r="F1337">
        <v>0</v>
      </c>
      <c r="G1337">
        <v>0</v>
      </c>
      <c r="H1337">
        <v>0</v>
      </c>
      <c r="I1337">
        <v>739.1687028099999</v>
      </c>
      <c r="J1337">
        <v>4.7825799999999998E-3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T1337" t="str">
        <f t="shared" si="68"/>
        <v>040127202406</v>
      </c>
      <c r="U1337">
        <f t="shared" si="69"/>
        <v>739.17348538999988</v>
      </c>
    </row>
    <row r="1338" spans="1:21" x14ac:dyDescent="0.35">
      <c r="A1338">
        <v>2024</v>
      </c>
      <c r="B1338" s="9" t="s">
        <v>95</v>
      </c>
      <c r="C1338" s="6" t="s">
        <v>119</v>
      </c>
      <c r="D1338">
        <v>202406</v>
      </c>
      <c r="E1338" s="11" t="s">
        <v>38</v>
      </c>
      <c r="F1338">
        <v>3.2068634</v>
      </c>
      <c r="G1338">
        <v>3.2068634</v>
      </c>
      <c r="H1338">
        <v>0</v>
      </c>
      <c r="I1338">
        <v>8.2030871699999999</v>
      </c>
      <c r="J1338">
        <v>4.9707884099999999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T1338" t="str">
        <f t="shared" si="68"/>
        <v>040128202406</v>
      </c>
      <c r="U1338">
        <f t="shared" si="69"/>
        <v>16.38073898</v>
      </c>
    </row>
    <row r="1339" spans="1:21" x14ac:dyDescent="0.35">
      <c r="A1339">
        <v>2024</v>
      </c>
      <c r="B1339" s="9" t="s">
        <v>95</v>
      </c>
      <c r="C1339" s="6" t="s">
        <v>119</v>
      </c>
      <c r="D1339">
        <v>202406</v>
      </c>
      <c r="E1339" s="11" t="s">
        <v>39</v>
      </c>
      <c r="F1339">
        <v>0</v>
      </c>
      <c r="G1339">
        <v>0</v>
      </c>
      <c r="H1339">
        <v>0</v>
      </c>
      <c r="I1339">
        <v>345.10319399999997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7.0356240000000003</v>
      </c>
      <c r="Q1339">
        <v>0</v>
      </c>
      <c r="R1339">
        <v>0</v>
      </c>
      <c r="T1339" t="str">
        <f t="shared" si="68"/>
        <v>040130202406</v>
      </c>
      <c r="U1339">
        <f t="shared" si="69"/>
        <v>345.10319399999997</v>
      </c>
    </row>
    <row r="1340" spans="1:21" x14ac:dyDescent="0.35">
      <c r="A1340">
        <v>2024</v>
      </c>
      <c r="B1340" s="9" t="s">
        <v>95</v>
      </c>
      <c r="C1340" s="6" t="s">
        <v>119</v>
      </c>
      <c r="D1340">
        <v>202406</v>
      </c>
      <c r="E1340" s="11" t="s">
        <v>40</v>
      </c>
      <c r="F1340">
        <v>0</v>
      </c>
      <c r="G1340">
        <v>0</v>
      </c>
      <c r="H1340">
        <v>0</v>
      </c>
      <c r="I1340">
        <v>5.0000000000000004E-6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T1340" t="str">
        <f t="shared" si="68"/>
        <v>040132202406</v>
      </c>
      <c r="U1340">
        <f t="shared" si="69"/>
        <v>5.0000000000000004E-6</v>
      </c>
    </row>
    <row r="1341" spans="1:21" x14ac:dyDescent="0.35">
      <c r="A1341">
        <v>2024</v>
      </c>
      <c r="B1341" s="9" t="s">
        <v>95</v>
      </c>
      <c r="C1341" s="6" t="s">
        <v>119</v>
      </c>
      <c r="D1341">
        <v>202406</v>
      </c>
      <c r="E1341" s="11" t="s">
        <v>41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T1341" t="str">
        <f t="shared" si="68"/>
        <v>040133202406</v>
      </c>
      <c r="U1341">
        <f t="shared" si="69"/>
        <v>0</v>
      </c>
    </row>
    <row r="1342" spans="1:21" x14ac:dyDescent="0.35">
      <c r="A1342">
        <v>2024</v>
      </c>
      <c r="B1342" s="9" t="s">
        <v>95</v>
      </c>
      <c r="C1342" s="6" t="s">
        <v>119</v>
      </c>
      <c r="D1342">
        <v>202406</v>
      </c>
      <c r="E1342" s="11" t="s">
        <v>42</v>
      </c>
      <c r="F1342">
        <v>250.87329099999999</v>
      </c>
      <c r="G1342">
        <v>250.87329099999999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T1342" t="str">
        <f t="shared" si="68"/>
        <v>040136202406</v>
      </c>
      <c r="U1342">
        <f t="shared" si="69"/>
        <v>250.87329099999999</v>
      </c>
    </row>
    <row r="1343" spans="1:21" x14ac:dyDescent="0.35">
      <c r="A1343">
        <v>2024</v>
      </c>
      <c r="B1343" s="9" t="s">
        <v>95</v>
      </c>
      <c r="C1343" s="6" t="s">
        <v>119</v>
      </c>
      <c r="D1343">
        <v>202406</v>
      </c>
      <c r="E1343" s="11" t="s">
        <v>43</v>
      </c>
      <c r="F1343">
        <v>0</v>
      </c>
      <c r="G1343">
        <v>0</v>
      </c>
      <c r="H1343">
        <v>0</v>
      </c>
      <c r="I1343">
        <v>17.605541980000002</v>
      </c>
      <c r="J1343">
        <v>0.38247998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T1343" t="str">
        <f t="shared" si="68"/>
        <v>040137202406</v>
      </c>
      <c r="U1343">
        <f t="shared" si="69"/>
        <v>17.988021960000001</v>
      </c>
    </row>
    <row r="1344" spans="1:21" x14ac:dyDescent="0.35">
      <c r="A1344">
        <v>2024</v>
      </c>
      <c r="B1344" s="9" t="s">
        <v>95</v>
      </c>
      <c r="C1344" s="6" t="s">
        <v>119</v>
      </c>
      <c r="D1344">
        <v>202406</v>
      </c>
      <c r="E1344" s="11" t="s">
        <v>44</v>
      </c>
      <c r="F1344">
        <v>0</v>
      </c>
      <c r="G1344">
        <v>0</v>
      </c>
      <c r="H1344">
        <v>0</v>
      </c>
      <c r="I1344">
        <v>2.0259849999999999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T1344" t="str">
        <f t="shared" si="68"/>
        <v>040138202406</v>
      </c>
      <c r="U1344">
        <f t="shared" si="69"/>
        <v>2.0259849999999999</v>
      </c>
    </row>
    <row r="1345" spans="1:21" x14ac:dyDescent="0.35">
      <c r="A1345">
        <v>2024</v>
      </c>
      <c r="B1345" s="9" t="s">
        <v>95</v>
      </c>
      <c r="C1345" s="6" t="s">
        <v>119</v>
      </c>
      <c r="D1345">
        <v>202406</v>
      </c>
      <c r="E1345" s="11" t="s">
        <v>45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T1345" t="str">
        <f t="shared" si="68"/>
        <v>040139202406</v>
      </c>
      <c r="U1345">
        <f t="shared" si="69"/>
        <v>0</v>
      </c>
    </row>
    <row r="1346" spans="1:21" x14ac:dyDescent="0.35">
      <c r="A1346">
        <v>2024</v>
      </c>
      <c r="B1346" s="9" t="s">
        <v>95</v>
      </c>
      <c r="C1346" s="6" t="s">
        <v>119</v>
      </c>
      <c r="D1346">
        <v>202406</v>
      </c>
      <c r="E1346" s="11" t="s">
        <v>46</v>
      </c>
      <c r="F1346">
        <v>0</v>
      </c>
      <c r="G1346">
        <v>0</v>
      </c>
      <c r="H1346">
        <v>0</v>
      </c>
      <c r="I1346">
        <v>37.816746000000002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T1346" t="str">
        <f t="shared" si="68"/>
        <v>040140202406</v>
      </c>
      <c r="U1346">
        <f t="shared" si="69"/>
        <v>37.816746000000002</v>
      </c>
    </row>
    <row r="1347" spans="1:21" x14ac:dyDescent="0.35">
      <c r="A1347">
        <v>2024</v>
      </c>
      <c r="B1347" s="9" t="s">
        <v>95</v>
      </c>
      <c r="C1347" s="6" t="s">
        <v>119</v>
      </c>
      <c r="D1347">
        <v>202406</v>
      </c>
      <c r="E1347" s="11" t="s">
        <v>47</v>
      </c>
      <c r="F1347">
        <v>0</v>
      </c>
      <c r="G1347">
        <v>0</v>
      </c>
      <c r="H1347">
        <v>0</v>
      </c>
      <c r="I1347">
        <v>3.696E-2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T1347" t="str">
        <f t="shared" si="68"/>
        <v>040141202406</v>
      </c>
      <c r="U1347">
        <f t="shared" si="69"/>
        <v>3.696E-2</v>
      </c>
    </row>
    <row r="1348" spans="1:21" x14ac:dyDescent="0.35">
      <c r="A1348">
        <v>2024</v>
      </c>
      <c r="B1348" s="9" t="s">
        <v>95</v>
      </c>
      <c r="C1348" s="6" t="s">
        <v>119</v>
      </c>
      <c r="D1348">
        <v>202406</v>
      </c>
      <c r="E1348" s="11" t="s">
        <v>48</v>
      </c>
      <c r="F1348">
        <v>5.3126769600000001</v>
      </c>
      <c r="G1348">
        <v>3.1726357200000002</v>
      </c>
      <c r="H1348">
        <v>2.1400412400000004</v>
      </c>
      <c r="I1348">
        <v>2.2364497599999997</v>
      </c>
      <c r="J1348">
        <v>0.10346094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4.9366840199999995</v>
      </c>
      <c r="Q1348">
        <v>0.42273603999999998</v>
      </c>
      <c r="R1348">
        <v>0</v>
      </c>
      <c r="T1348" t="str">
        <f t="shared" si="68"/>
        <v>040143202406</v>
      </c>
      <c r="U1348">
        <f t="shared" si="69"/>
        <v>7.65258766</v>
      </c>
    </row>
    <row r="1349" spans="1:21" x14ac:dyDescent="0.35">
      <c r="A1349">
        <v>2024</v>
      </c>
      <c r="B1349" s="9" t="s">
        <v>95</v>
      </c>
      <c r="C1349" s="6" t="s">
        <v>119</v>
      </c>
      <c r="D1349">
        <v>202406</v>
      </c>
      <c r="E1349" s="11" t="s">
        <v>49</v>
      </c>
      <c r="F1349">
        <v>116.191677</v>
      </c>
      <c r="G1349">
        <v>116.191677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T1349" t="str">
        <f t="shared" si="68"/>
        <v>040145202406</v>
      </c>
      <c r="U1349">
        <f t="shared" si="69"/>
        <v>116.191677</v>
      </c>
    </row>
    <row r="1350" spans="1:21" x14ac:dyDescent="0.35">
      <c r="A1350">
        <v>2024</v>
      </c>
      <c r="B1350" s="9" t="s">
        <v>95</v>
      </c>
      <c r="C1350" s="6" t="s">
        <v>119</v>
      </c>
      <c r="D1350">
        <v>202406</v>
      </c>
      <c r="E1350" s="11" t="s">
        <v>50</v>
      </c>
      <c r="F1350">
        <v>7.1388224100000004</v>
      </c>
      <c r="G1350">
        <v>0</v>
      </c>
      <c r="H1350">
        <v>7.1388224100000004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T1350" t="str">
        <f t="shared" si="68"/>
        <v>040147202406</v>
      </c>
      <c r="U1350">
        <f t="shared" si="69"/>
        <v>7.1388224100000004</v>
      </c>
    </row>
    <row r="1351" spans="1:21" x14ac:dyDescent="0.35">
      <c r="A1351">
        <v>2024</v>
      </c>
      <c r="B1351" s="9" t="s">
        <v>95</v>
      </c>
      <c r="C1351" s="6" t="s">
        <v>119</v>
      </c>
      <c r="D1351">
        <v>202406</v>
      </c>
      <c r="E1351" s="11" t="s">
        <v>51</v>
      </c>
      <c r="F1351">
        <v>0</v>
      </c>
      <c r="G1351">
        <v>0</v>
      </c>
      <c r="H1351">
        <v>0</v>
      </c>
      <c r="I1351">
        <v>6.6361350000000003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3.424E-3</v>
      </c>
      <c r="Q1351">
        <v>0</v>
      </c>
      <c r="R1351">
        <v>0</v>
      </c>
      <c r="T1351" t="str">
        <f t="shared" si="68"/>
        <v>040149202406</v>
      </c>
      <c r="U1351">
        <f t="shared" si="69"/>
        <v>6.6361350000000003</v>
      </c>
    </row>
    <row r="1352" spans="1:21" x14ac:dyDescent="0.35">
      <c r="A1352">
        <v>2024</v>
      </c>
      <c r="B1352" s="9" t="s">
        <v>95</v>
      </c>
      <c r="C1352" s="6" t="s">
        <v>119</v>
      </c>
      <c r="D1352">
        <v>202406</v>
      </c>
      <c r="E1352" s="11" t="s">
        <v>52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T1352" t="str">
        <f t="shared" si="68"/>
        <v>040150202406</v>
      </c>
      <c r="U1352">
        <f t="shared" si="69"/>
        <v>0</v>
      </c>
    </row>
    <row r="1353" spans="1:21" x14ac:dyDescent="0.35">
      <c r="A1353">
        <v>2024</v>
      </c>
      <c r="B1353" s="9" t="s">
        <v>95</v>
      </c>
      <c r="C1353" s="6" t="s">
        <v>119</v>
      </c>
      <c r="D1353">
        <v>202406</v>
      </c>
      <c r="E1353" s="11" t="s">
        <v>53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T1353" t="str">
        <f t="shared" si="68"/>
        <v>040151202406</v>
      </c>
      <c r="U1353">
        <f t="shared" si="69"/>
        <v>0</v>
      </c>
    </row>
    <row r="1354" spans="1:21" x14ac:dyDescent="0.35">
      <c r="A1354">
        <v>2024</v>
      </c>
      <c r="B1354" s="9" t="s">
        <v>95</v>
      </c>
      <c r="C1354" s="6" t="s">
        <v>119</v>
      </c>
      <c r="D1354">
        <v>202406</v>
      </c>
      <c r="E1354" s="11" t="s">
        <v>54</v>
      </c>
      <c r="F1354">
        <v>0.33333343999999998</v>
      </c>
      <c r="G1354">
        <v>0.33333343999999998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T1354" t="str">
        <f t="shared" si="68"/>
        <v>040152202406</v>
      </c>
      <c r="U1354">
        <f t="shared" si="69"/>
        <v>0.33333343999999998</v>
      </c>
    </row>
    <row r="1355" spans="1:21" x14ac:dyDescent="0.35">
      <c r="A1355">
        <v>2024</v>
      </c>
      <c r="B1355" s="9" t="s">
        <v>95</v>
      </c>
      <c r="C1355" s="6" t="s">
        <v>119</v>
      </c>
      <c r="D1355">
        <v>202406</v>
      </c>
      <c r="E1355" s="11" t="s">
        <v>55</v>
      </c>
      <c r="F1355">
        <v>14.02364459</v>
      </c>
      <c r="G1355">
        <v>14.02364459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T1355" t="str">
        <f t="shared" si="68"/>
        <v>040154202406</v>
      </c>
      <c r="U1355">
        <f t="shared" si="69"/>
        <v>14.02364459</v>
      </c>
    </row>
    <row r="1356" spans="1:21" x14ac:dyDescent="0.35">
      <c r="A1356">
        <v>2024</v>
      </c>
      <c r="B1356" s="9" t="s">
        <v>95</v>
      </c>
      <c r="C1356" s="6" t="s">
        <v>119</v>
      </c>
      <c r="D1356">
        <v>202406</v>
      </c>
      <c r="E1356" s="11" t="s">
        <v>56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T1356" t="str">
        <f t="shared" si="68"/>
        <v>040155202406</v>
      </c>
      <c r="U1356">
        <f t="shared" si="69"/>
        <v>0</v>
      </c>
    </row>
    <row r="1357" spans="1:21" x14ac:dyDescent="0.35">
      <c r="A1357">
        <v>2024</v>
      </c>
      <c r="B1357" s="9" t="s">
        <v>95</v>
      </c>
      <c r="C1357" s="6" t="s">
        <v>119</v>
      </c>
      <c r="D1357">
        <v>202406</v>
      </c>
      <c r="E1357" s="11" t="s">
        <v>57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T1357" t="str">
        <f t="shared" si="68"/>
        <v>040156202406</v>
      </c>
      <c r="U1357">
        <f t="shared" si="69"/>
        <v>0</v>
      </c>
    </row>
    <row r="1358" spans="1:21" x14ac:dyDescent="0.35">
      <c r="A1358">
        <v>2024</v>
      </c>
      <c r="B1358" s="9" t="s">
        <v>95</v>
      </c>
      <c r="C1358" s="6" t="s">
        <v>119</v>
      </c>
      <c r="D1358">
        <v>202406</v>
      </c>
      <c r="E1358" s="11" t="s">
        <v>58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T1358" t="str">
        <f t="shared" si="68"/>
        <v>040157202406</v>
      </c>
      <c r="U1358">
        <f t="shared" si="69"/>
        <v>0</v>
      </c>
    </row>
    <row r="1359" spans="1:21" x14ac:dyDescent="0.35">
      <c r="A1359">
        <v>2024</v>
      </c>
      <c r="B1359" s="9" t="s">
        <v>95</v>
      </c>
      <c r="C1359" s="6" t="s">
        <v>119</v>
      </c>
      <c r="D1359">
        <v>202406</v>
      </c>
      <c r="E1359" s="11" t="s">
        <v>59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T1359" t="str">
        <f t="shared" si="68"/>
        <v>040158202406</v>
      </c>
      <c r="U1359">
        <f t="shared" si="69"/>
        <v>0</v>
      </c>
    </row>
    <row r="1360" spans="1:21" x14ac:dyDescent="0.35">
      <c r="A1360">
        <v>2024</v>
      </c>
      <c r="B1360" s="9" t="s">
        <v>95</v>
      </c>
      <c r="C1360" s="6" t="s">
        <v>119</v>
      </c>
      <c r="D1360">
        <v>202406</v>
      </c>
      <c r="E1360" s="11" t="s">
        <v>60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T1360" t="str">
        <f t="shared" si="68"/>
        <v>040159202406</v>
      </c>
      <c r="U1360">
        <f t="shared" si="69"/>
        <v>0</v>
      </c>
    </row>
    <row r="1361" spans="1:21" x14ac:dyDescent="0.35">
      <c r="A1361">
        <v>2024</v>
      </c>
      <c r="B1361" s="9" t="s">
        <v>95</v>
      </c>
      <c r="C1361" s="6" t="s">
        <v>119</v>
      </c>
      <c r="D1361">
        <v>202406</v>
      </c>
      <c r="E1361" s="11" t="s">
        <v>63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T1361" t="str">
        <f t="shared" si="68"/>
        <v>040160202406</v>
      </c>
      <c r="U1361">
        <f t="shared" si="69"/>
        <v>0</v>
      </c>
    </row>
    <row r="1362" spans="1:21" x14ac:dyDescent="0.35">
      <c r="A1362">
        <v>2024</v>
      </c>
      <c r="B1362" s="9" t="s">
        <v>95</v>
      </c>
      <c r="C1362" s="6" t="s">
        <v>119</v>
      </c>
      <c r="D1362">
        <v>202406</v>
      </c>
      <c r="E1362" s="11" t="s">
        <v>61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T1362" t="str">
        <f t="shared" si="68"/>
        <v>040162202406</v>
      </c>
      <c r="U1362">
        <f t="shared" si="69"/>
        <v>0</v>
      </c>
    </row>
    <row r="1363" spans="1:21" x14ac:dyDescent="0.35">
      <c r="A1363">
        <v>2024</v>
      </c>
      <c r="B1363" s="9" t="s">
        <v>95</v>
      </c>
      <c r="C1363" s="6" t="s">
        <v>119</v>
      </c>
      <c r="D1363">
        <v>202406</v>
      </c>
      <c r="E1363" s="11" t="s">
        <v>114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1.5375E-4</v>
      </c>
      <c r="Q1363">
        <v>0</v>
      </c>
      <c r="R1363">
        <v>0</v>
      </c>
      <c r="T1363" t="str">
        <f t="shared" si="68"/>
        <v>040165202406</v>
      </c>
      <c r="U1363">
        <f t="shared" si="69"/>
        <v>0</v>
      </c>
    </row>
    <row r="1364" spans="1:21" x14ac:dyDescent="0.35">
      <c r="A1364">
        <v>2024</v>
      </c>
      <c r="B1364" s="9" t="s">
        <v>96</v>
      </c>
      <c r="C1364" s="6" t="s">
        <v>120</v>
      </c>
      <c r="D1364">
        <v>202407</v>
      </c>
      <c r="E1364" s="11">
        <v>5</v>
      </c>
      <c r="F1364">
        <v>1272.8786710100001</v>
      </c>
      <c r="G1364">
        <v>1258.8535970400001</v>
      </c>
      <c r="H1364">
        <v>14.025073970000001</v>
      </c>
      <c r="I1364">
        <v>9727.824741280001</v>
      </c>
      <c r="J1364">
        <v>736.44195295000009</v>
      </c>
      <c r="K1364">
        <v>57.433335310000004</v>
      </c>
      <c r="L1364">
        <v>39.301570729999995</v>
      </c>
      <c r="M1364">
        <v>39.300002649999996</v>
      </c>
      <c r="N1364">
        <v>0</v>
      </c>
      <c r="O1364">
        <v>1.5680799999999999E-3</v>
      </c>
      <c r="P1364">
        <v>191.73102678000001</v>
      </c>
      <c r="Q1364">
        <v>63.086667570000003</v>
      </c>
      <c r="R1364">
        <v>14.51835756</v>
      </c>
      <c r="T1364" t="str">
        <f t="shared" ref="T1364:T1409" si="70">+E1364&amp;D1364</f>
        <v>5202407</v>
      </c>
      <c r="U1364">
        <f t="shared" ref="U1364:U1409" si="71">+F1364+I1364+J1364</f>
        <v>11737.145365240001</v>
      </c>
    </row>
    <row r="1365" spans="1:21" x14ac:dyDescent="0.35">
      <c r="A1365">
        <v>2024</v>
      </c>
      <c r="B1365" s="9" t="s">
        <v>96</v>
      </c>
      <c r="C1365" s="6" t="s">
        <v>120</v>
      </c>
      <c r="D1365">
        <v>202407</v>
      </c>
      <c r="E1365" s="11" t="s">
        <v>19</v>
      </c>
      <c r="F1365">
        <v>88.796010280000004</v>
      </c>
      <c r="G1365">
        <v>88.796010280000004</v>
      </c>
      <c r="H1365">
        <v>0</v>
      </c>
      <c r="I1365">
        <v>415.72060579999999</v>
      </c>
      <c r="J1365">
        <v>37.303098720000001</v>
      </c>
      <c r="K1365">
        <v>57.433335310000004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T1365" t="str">
        <f t="shared" si="70"/>
        <v>040002202407</v>
      </c>
      <c r="U1365">
        <f t="shared" si="71"/>
        <v>541.81971480000004</v>
      </c>
    </row>
    <row r="1366" spans="1:21" x14ac:dyDescent="0.35">
      <c r="A1366">
        <v>2024</v>
      </c>
      <c r="B1366" s="9" t="s">
        <v>96</v>
      </c>
      <c r="C1366" s="6" t="s">
        <v>120</v>
      </c>
      <c r="D1366">
        <v>202407</v>
      </c>
      <c r="E1366" s="11" t="s">
        <v>20</v>
      </c>
      <c r="F1366">
        <v>224.66479100000001</v>
      </c>
      <c r="G1366">
        <v>224.66479100000001</v>
      </c>
      <c r="H1366">
        <v>0</v>
      </c>
      <c r="I1366">
        <v>3628.2378749999998</v>
      </c>
      <c r="J1366">
        <v>279.93607700000001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T1366" t="str">
        <f t="shared" si="70"/>
        <v>040012202407</v>
      </c>
      <c r="U1366">
        <f t="shared" si="71"/>
        <v>4132.8387430000002</v>
      </c>
    </row>
    <row r="1367" spans="1:21" x14ac:dyDescent="0.35">
      <c r="A1367">
        <v>2024</v>
      </c>
      <c r="B1367" s="9" t="s">
        <v>96</v>
      </c>
      <c r="C1367" s="6" t="s">
        <v>120</v>
      </c>
      <c r="D1367">
        <v>202407</v>
      </c>
      <c r="E1367" s="11" t="s">
        <v>21</v>
      </c>
      <c r="F1367">
        <v>441.52829700000001</v>
      </c>
      <c r="G1367">
        <v>441.52829700000001</v>
      </c>
      <c r="H1367">
        <v>0</v>
      </c>
      <c r="I1367">
        <v>1652.8187640000001</v>
      </c>
      <c r="J1367">
        <v>99.247247000000002</v>
      </c>
      <c r="K1367">
        <v>0</v>
      </c>
      <c r="L1367">
        <v>6.5750000000000003E-2</v>
      </c>
      <c r="M1367">
        <v>6.5750000000000003E-2</v>
      </c>
      <c r="N1367">
        <v>0</v>
      </c>
      <c r="O1367">
        <v>0</v>
      </c>
      <c r="P1367">
        <v>46.807386999999999</v>
      </c>
      <c r="Q1367">
        <v>4.8695089999999999</v>
      </c>
      <c r="R1367">
        <v>0</v>
      </c>
      <c r="T1367" t="str">
        <f t="shared" si="70"/>
        <v>040014202407</v>
      </c>
      <c r="U1367">
        <f t="shared" si="71"/>
        <v>2193.5943079999997</v>
      </c>
    </row>
    <row r="1368" spans="1:21" x14ac:dyDescent="0.35">
      <c r="A1368">
        <v>2024</v>
      </c>
      <c r="B1368" s="9" t="s">
        <v>96</v>
      </c>
      <c r="C1368" s="6" t="s">
        <v>120</v>
      </c>
      <c r="D1368">
        <v>202407</v>
      </c>
      <c r="E1368" s="11" t="s">
        <v>22</v>
      </c>
      <c r="F1368">
        <v>82.801629000000005</v>
      </c>
      <c r="G1368">
        <v>82.801625000000001</v>
      </c>
      <c r="H1368">
        <v>3.9999999999999998E-6</v>
      </c>
      <c r="I1368">
        <v>998.69809699999996</v>
      </c>
      <c r="J1368">
        <v>48.724806000000001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48.530498000000001</v>
      </c>
      <c r="Q1368">
        <v>19.744024</v>
      </c>
      <c r="R1368">
        <v>0</v>
      </c>
      <c r="T1368" t="str">
        <f t="shared" si="70"/>
        <v>040021202407</v>
      </c>
      <c r="U1368">
        <f t="shared" si="71"/>
        <v>1130.224532</v>
      </c>
    </row>
    <row r="1369" spans="1:21" x14ac:dyDescent="0.35">
      <c r="A1369">
        <v>2024</v>
      </c>
      <c r="B1369" s="9" t="s">
        <v>96</v>
      </c>
      <c r="C1369" s="6" t="s">
        <v>120</v>
      </c>
      <c r="D1369">
        <v>202407</v>
      </c>
      <c r="E1369" s="11" t="s">
        <v>23</v>
      </c>
      <c r="F1369">
        <v>238.28342668000002</v>
      </c>
      <c r="G1369">
        <v>238.28342668000002</v>
      </c>
      <c r="H1369">
        <v>0</v>
      </c>
      <c r="I1369">
        <v>55.211708430000002</v>
      </c>
      <c r="J1369">
        <v>2.2079117699999999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0.31203946000000005</v>
      </c>
      <c r="R1369">
        <v>0</v>
      </c>
      <c r="T1369" t="str">
        <f t="shared" si="70"/>
        <v>040030202407</v>
      </c>
      <c r="U1369">
        <f t="shared" si="71"/>
        <v>295.70304688000004</v>
      </c>
    </row>
    <row r="1370" spans="1:21" x14ac:dyDescent="0.35">
      <c r="A1370">
        <v>2024</v>
      </c>
      <c r="B1370" s="9" t="s">
        <v>96</v>
      </c>
      <c r="C1370" s="6" t="s">
        <v>120</v>
      </c>
      <c r="D1370">
        <v>202407</v>
      </c>
      <c r="E1370" s="11" t="s">
        <v>24</v>
      </c>
      <c r="F1370">
        <v>0</v>
      </c>
      <c r="G1370">
        <v>0</v>
      </c>
      <c r="H1370">
        <v>0</v>
      </c>
      <c r="I1370">
        <v>9.8558629999999994</v>
      </c>
      <c r="J1370">
        <v>9.1100000000000003E-4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T1370" t="str">
        <f t="shared" si="70"/>
        <v>040036202407</v>
      </c>
      <c r="U1370">
        <f t="shared" si="71"/>
        <v>9.8567739999999997</v>
      </c>
    </row>
    <row r="1371" spans="1:21" x14ac:dyDescent="0.35">
      <c r="A1371">
        <v>2024</v>
      </c>
      <c r="B1371" s="9" t="s">
        <v>96</v>
      </c>
      <c r="C1371" s="6" t="s">
        <v>120</v>
      </c>
      <c r="D1371">
        <v>202407</v>
      </c>
      <c r="E1371" s="11" t="s">
        <v>25</v>
      </c>
      <c r="F1371">
        <v>6.3947789999999998</v>
      </c>
      <c r="G1371">
        <v>6.3947789999999998</v>
      </c>
      <c r="H1371">
        <v>0</v>
      </c>
      <c r="I1371">
        <v>0.72242600000000001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T1371" t="str">
        <f t="shared" si="70"/>
        <v>040042202407</v>
      </c>
      <c r="U1371">
        <f t="shared" si="71"/>
        <v>7.1172050000000002</v>
      </c>
    </row>
    <row r="1372" spans="1:21" x14ac:dyDescent="0.35">
      <c r="A1372">
        <v>2024</v>
      </c>
      <c r="B1372" s="9" t="s">
        <v>96</v>
      </c>
      <c r="C1372" s="6" t="s">
        <v>120</v>
      </c>
      <c r="D1372">
        <v>202407</v>
      </c>
      <c r="E1372" s="11" t="s">
        <v>26</v>
      </c>
      <c r="F1372">
        <v>6.3972000000000001E-2</v>
      </c>
      <c r="G1372">
        <v>6.3972000000000001E-2</v>
      </c>
      <c r="H1372">
        <v>0</v>
      </c>
      <c r="I1372">
        <v>206.28580299999999</v>
      </c>
      <c r="J1372">
        <v>29.802797999999999</v>
      </c>
      <c r="K1372">
        <v>0</v>
      </c>
      <c r="L1372">
        <v>0.35711999999999999</v>
      </c>
      <c r="M1372">
        <v>0.35711999999999999</v>
      </c>
      <c r="N1372">
        <v>0</v>
      </c>
      <c r="O1372">
        <v>0</v>
      </c>
      <c r="P1372">
        <v>11.645187</v>
      </c>
      <c r="Q1372">
        <v>21.718347999999999</v>
      </c>
      <c r="R1372">
        <v>0</v>
      </c>
      <c r="T1372" t="str">
        <f t="shared" si="70"/>
        <v>040044202407</v>
      </c>
      <c r="U1372">
        <f t="shared" si="71"/>
        <v>236.15257299999999</v>
      </c>
    </row>
    <row r="1373" spans="1:21" x14ac:dyDescent="0.35">
      <c r="A1373">
        <v>2024</v>
      </c>
      <c r="B1373" s="9" t="s">
        <v>96</v>
      </c>
      <c r="C1373" s="6" t="s">
        <v>120</v>
      </c>
      <c r="D1373">
        <v>202407</v>
      </c>
      <c r="E1373" s="11" t="s">
        <v>27</v>
      </c>
      <c r="F1373">
        <v>46.433946599999999</v>
      </c>
      <c r="G1373">
        <v>46.433946599999999</v>
      </c>
      <c r="H1373">
        <v>0</v>
      </c>
      <c r="I1373">
        <v>60.577587100000002</v>
      </c>
      <c r="J1373">
        <v>0.51195880999999999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T1373" t="str">
        <f t="shared" si="70"/>
        <v>040058202407</v>
      </c>
      <c r="U1373">
        <f t="shared" si="71"/>
        <v>107.52349251</v>
      </c>
    </row>
    <row r="1374" spans="1:21" x14ac:dyDescent="0.35">
      <c r="A1374">
        <v>2024</v>
      </c>
      <c r="B1374" s="9" t="s">
        <v>96</v>
      </c>
      <c r="C1374" s="6" t="s">
        <v>120</v>
      </c>
      <c r="D1374">
        <v>202407</v>
      </c>
      <c r="E1374" s="11" t="s">
        <v>28</v>
      </c>
      <c r="F1374">
        <v>0</v>
      </c>
      <c r="G1374">
        <v>0</v>
      </c>
      <c r="H1374">
        <v>0</v>
      </c>
      <c r="I1374">
        <v>191.68056300000001</v>
      </c>
      <c r="J1374">
        <v>0</v>
      </c>
      <c r="K1374">
        <v>0</v>
      </c>
      <c r="L1374">
        <v>10.173848</v>
      </c>
      <c r="M1374">
        <v>10.173848</v>
      </c>
      <c r="N1374">
        <v>0</v>
      </c>
      <c r="O1374">
        <v>0</v>
      </c>
      <c r="P1374">
        <v>0</v>
      </c>
      <c r="Q1374">
        <v>0</v>
      </c>
      <c r="R1374">
        <v>0</v>
      </c>
      <c r="T1374" t="str">
        <f t="shared" si="70"/>
        <v>040059202407</v>
      </c>
      <c r="U1374">
        <f t="shared" si="71"/>
        <v>191.68056300000001</v>
      </c>
    </row>
    <row r="1375" spans="1:21" x14ac:dyDescent="0.35">
      <c r="A1375">
        <v>2024</v>
      </c>
      <c r="B1375" s="9" t="s">
        <v>96</v>
      </c>
      <c r="C1375" s="6" t="s">
        <v>120</v>
      </c>
      <c r="D1375">
        <v>202407</v>
      </c>
      <c r="E1375" s="11" t="s">
        <v>62</v>
      </c>
      <c r="F1375">
        <v>0.56714699999999996</v>
      </c>
      <c r="G1375">
        <v>0.56714699999999996</v>
      </c>
      <c r="H1375">
        <v>0</v>
      </c>
      <c r="I1375">
        <v>0.56714699999999996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T1375" t="str">
        <f t="shared" si="70"/>
        <v>040060202407</v>
      </c>
      <c r="U1375">
        <f t="shared" si="71"/>
        <v>1.1342939999999999</v>
      </c>
    </row>
    <row r="1376" spans="1:21" x14ac:dyDescent="0.35">
      <c r="A1376">
        <v>2024</v>
      </c>
      <c r="B1376" s="9" t="s">
        <v>96</v>
      </c>
      <c r="C1376" s="6" t="s">
        <v>120</v>
      </c>
      <c r="D1376">
        <v>202407</v>
      </c>
      <c r="E1376" s="11" t="s">
        <v>29</v>
      </c>
      <c r="F1376">
        <v>5.1433E-2</v>
      </c>
      <c r="G1376">
        <v>5.1433E-2</v>
      </c>
      <c r="H1376">
        <v>0</v>
      </c>
      <c r="I1376">
        <v>112.964</v>
      </c>
      <c r="J1376">
        <v>7.4549000000000004E-2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T1376" t="str">
        <f t="shared" si="70"/>
        <v>040062202407</v>
      </c>
      <c r="U1376">
        <f t="shared" si="71"/>
        <v>113.08998200000001</v>
      </c>
    </row>
    <row r="1377" spans="1:21" x14ac:dyDescent="0.35">
      <c r="A1377">
        <v>2024</v>
      </c>
      <c r="B1377" s="9" t="s">
        <v>96</v>
      </c>
      <c r="C1377" s="6" t="s">
        <v>120</v>
      </c>
      <c r="D1377">
        <v>202407</v>
      </c>
      <c r="E1377" s="11" t="s">
        <v>30</v>
      </c>
      <c r="F1377">
        <v>104.79038698999999</v>
      </c>
      <c r="G1377">
        <v>104.79038698999999</v>
      </c>
      <c r="H1377">
        <v>0</v>
      </c>
      <c r="I1377">
        <v>1223.87666184</v>
      </c>
      <c r="J1377">
        <v>238.09057607</v>
      </c>
      <c r="K1377">
        <v>0</v>
      </c>
      <c r="L1377">
        <v>23.347267370000001</v>
      </c>
      <c r="M1377">
        <v>23.347267370000001</v>
      </c>
      <c r="N1377">
        <v>0</v>
      </c>
      <c r="O1377">
        <v>0</v>
      </c>
      <c r="P1377">
        <v>70.617026049999993</v>
      </c>
      <c r="Q1377">
        <v>16.207788439999998</v>
      </c>
      <c r="R1377">
        <v>0</v>
      </c>
      <c r="T1377" t="str">
        <f t="shared" si="70"/>
        <v>040072202407</v>
      </c>
      <c r="U1377">
        <f t="shared" si="71"/>
        <v>1566.7576248999999</v>
      </c>
    </row>
    <row r="1378" spans="1:21" x14ac:dyDescent="0.35">
      <c r="A1378">
        <v>2024</v>
      </c>
      <c r="B1378" s="9" t="s">
        <v>96</v>
      </c>
      <c r="C1378" s="6" t="s">
        <v>120</v>
      </c>
      <c r="D1378">
        <v>202407</v>
      </c>
      <c r="E1378" s="11" t="s">
        <v>31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T1378" t="str">
        <f t="shared" si="70"/>
        <v>040106202407</v>
      </c>
      <c r="U1378">
        <f t="shared" si="71"/>
        <v>0</v>
      </c>
    </row>
    <row r="1379" spans="1:21" x14ac:dyDescent="0.35">
      <c r="A1379">
        <v>2024</v>
      </c>
      <c r="B1379" s="9" t="s">
        <v>96</v>
      </c>
      <c r="C1379" s="6" t="s">
        <v>120</v>
      </c>
      <c r="D1379">
        <v>202407</v>
      </c>
      <c r="E1379" s="11" t="s">
        <v>32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T1379" t="str">
        <f t="shared" si="70"/>
        <v>040108202407</v>
      </c>
      <c r="U1379">
        <f t="shared" si="71"/>
        <v>0</v>
      </c>
    </row>
    <row r="1380" spans="1:21" x14ac:dyDescent="0.35">
      <c r="A1380">
        <v>2024</v>
      </c>
      <c r="B1380" s="9" t="s">
        <v>96</v>
      </c>
      <c r="C1380" s="6" t="s">
        <v>120</v>
      </c>
      <c r="D1380">
        <v>202407</v>
      </c>
      <c r="E1380" s="11" t="s">
        <v>33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T1380" t="str">
        <f t="shared" si="70"/>
        <v>040110202407</v>
      </c>
      <c r="U1380">
        <f t="shared" si="71"/>
        <v>0</v>
      </c>
    </row>
    <row r="1381" spans="1:21" x14ac:dyDescent="0.35">
      <c r="A1381">
        <v>2024</v>
      </c>
      <c r="B1381" s="9" t="s">
        <v>96</v>
      </c>
      <c r="C1381" s="6" t="s">
        <v>120</v>
      </c>
      <c r="D1381">
        <v>202407</v>
      </c>
      <c r="E1381" s="11" t="s">
        <v>34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5.3575853600000007</v>
      </c>
      <c r="M1381">
        <v>5.3560172800000005</v>
      </c>
      <c r="N1381">
        <v>0</v>
      </c>
      <c r="O1381">
        <v>1.5680799999999999E-3</v>
      </c>
      <c r="P1381">
        <v>0</v>
      </c>
      <c r="Q1381">
        <v>0</v>
      </c>
      <c r="R1381">
        <v>0</v>
      </c>
      <c r="T1381" t="str">
        <f t="shared" si="70"/>
        <v>040112202407</v>
      </c>
      <c r="U1381">
        <f t="shared" si="71"/>
        <v>0</v>
      </c>
    </row>
    <row r="1382" spans="1:21" x14ac:dyDescent="0.35">
      <c r="A1382">
        <v>2024</v>
      </c>
      <c r="B1382" s="9" t="s">
        <v>96</v>
      </c>
      <c r="C1382" s="6" t="s">
        <v>120</v>
      </c>
      <c r="D1382">
        <v>202407</v>
      </c>
      <c r="E1382" s="11" t="s">
        <v>35</v>
      </c>
      <c r="F1382">
        <v>23.967064000000001</v>
      </c>
      <c r="G1382">
        <v>9.9751209999999997</v>
      </c>
      <c r="H1382">
        <v>13.991942999999999</v>
      </c>
      <c r="I1382">
        <v>1.7970010000000001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T1382" t="str">
        <f t="shared" si="70"/>
        <v>040113202407</v>
      </c>
      <c r="U1382">
        <f t="shared" si="71"/>
        <v>25.764065000000002</v>
      </c>
    </row>
    <row r="1383" spans="1:21" x14ac:dyDescent="0.35">
      <c r="A1383">
        <v>2024</v>
      </c>
      <c r="B1383" s="9" t="s">
        <v>96</v>
      </c>
      <c r="C1383" s="6" t="s">
        <v>120</v>
      </c>
      <c r="D1383">
        <v>202407</v>
      </c>
      <c r="E1383" s="11" t="s">
        <v>37</v>
      </c>
      <c r="F1383">
        <v>0</v>
      </c>
      <c r="G1383">
        <v>0</v>
      </c>
      <c r="H1383">
        <v>0</v>
      </c>
      <c r="I1383">
        <v>790.80520789000002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T1383" t="str">
        <f t="shared" si="70"/>
        <v>040127202407</v>
      </c>
      <c r="U1383">
        <f t="shared" si="71"/>
        <v>790.80520789000002</v>
      </c>
    </row>
    <row r="1384" spans="1:21" x14ac:dyDescent="0.35">
      <c r="A1384">
        <v>2024</v>
      </c>
      <c r="B1384" s="9" t="s">
        <v>96</v>
      </c>
      <c r="C1384" s="6" t="s">
        <v>120</v>
      </c>
      <c r="D1384">
        <v>202407</v>
      </c>
      <c r="E1384" s="11" t="s">
        <v>38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T1384" t="str">
        <f t="shared" si="70"/>
        <v>040128202407</v>
      </c>
      <c r="U1384">
        <f t="shared" si="71"/>
        <v>0</v>
      </c>
    </row>
    <row r="1385" spans="1:21" x14ac:dyDescent="0.35">
      <c r="A1385">
        <v>2024</v>
      </c>
      <c r="B1385" s="9" t="s">
        <v>96</v>
      </c>
      <c r="C1385" s="6" t="s">
        <v>120</v>
      </c>
      <c r="D1385">
        <v>202407</v>
      </c>
      <c r="E1385" s="11" t="s">
        <v>39</v>
      </c>
      <c r="F1385">
        <v>0</v>
      </c>
      <c r="G1385">
        <v>0</v>
      </c>
      <c r="H1385">
        <v>0</v>
      </c>
      <c r="I1385">
        <v>292.298451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9.0696779999999997</v>
      </c>
      <c r="Q1385">
        <v>0</v>
      </c>
      <c r="R1385">
        <v>0</v>
      </c>
      <c r="T1385" t="str">
        <f t="shared" si="70"/>
        <v>040130202407</v>
      </c>
      <c r="U1385">
        <f t="shared" si="71"/>
        <v>292.298451</v>
      </c>
    </row>
    <row r="1386" spans="1:21" x14ac:dyDescent="0.35">
      <c r="A1386">
        <v>2024</v>
      </c>
      <c r="B1386" s="9" t="s">
        <v>96</v>
      </c>
      <c r="C1386" s="6" t="s">
        <v>120</v>
      </c>
      <c r="D1386">
        <v>202407</v>
      </c>
      <c r="E1386" s="11" t="s">
        <v>40</v>
      </c>
      <c r="F1386">
        <v>0</v>
      </c>
      <c r="G1386">
        <v>0</v>
      </c>
      <c r="H1386">
        <v>0</v>
      </c>
      <c r="I1386">
        <v>1.9999999999999999E-6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T1386" t="str">
        <f t="shared" si="70"/>
        <v>040132202407</v>
      </c>
      <c r="U1386">
        <f t="shared" si="71"/>
        <v>1.9999999999999999E-6</v>
      </c>
    </row>
    <row r="1387" spans="1:21" x14ac:dyDescent="0.35">
      <c r="A1387">
        <v>2024</v>
      </c>
      <c r="B1387" s="9" t="s">
        <v>96</v>
      </c>
      <c r="C1387" s="6" t="s">
        <v>120</v>
      </c>
      <c r="D1387">
        <v>202407</v>
      </c>
      <c r="E1387" s="11" t="s">
        <v>41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T1387" t="str">
        <f t="shared" si="70"/>
        <v>040133202407</v>
      </c>
      <c r="U1387">
        <f t="shared" si="71"/>
        <v>0</v>
      </c>
    </row>
    <row r="1388" spans="1:21" x14ac:dyDescent="0.35">
      <c r="A1388">
        <v>2024</v>
      </c>
      <c r="B1388" s="9" t="s">
        <v>96</v>
      </c>
      <c r="C1388" s="6" t="s">
        <v>120</v>
      </c>
      <c r="D1388">
        <v>202407</v>
      </c>
      <c r="E1388" s="11" t="s">
        <v>42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T1388" t="str">
        <f t="shared" si="70"/>
        <v>040136202407</v>
      </c>
      <c r="U1388">
        <f t="shared" si="71"/>
        <v>0</v>
      </c>
    </row>
    <row r="1389" spans="1:21" x14ac:dyDescent="0.35">
      <c r="A1389">
        <v>2024</v>
      </c>
      <c r="B1389" s="9" t="s">
        <v>96</v>
      </c>
      <c r="C1389" s="6" t="s">
        <v>120</v>
      </c>
      <c r="D1389">
        <v>202407</v>
      </c>
      <c r="E1389" s="11" t="s">
        <v>43</v>
      </c>
      <c r="F1389">
        <v>0</v>
      </c>
      <c r="G1389">
        <v>0</v>
      </c>
      <c r="H1389">
        <v>0</v>
      </c>
      <c r="I1389">
        <v>15.201943029999999</v>
      </c>
      <c r="J1389">
        <v>0.48707111999999997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T1389" t="str">
        <f t="shared" si="70"/>
        <v>040137202407</v>
      </c>
      <c r="U1389">
        <f t="shared" si="71"/>
        <v>15.689014149999998</v>
      </c>
    </row>
    <row r="1390" spans="1:21" x14ac:dyDescent="0.35">
      <c r="A1390">
        <v>2024</v>
      </c>
      <c r="B1390" s="9" t="s">
        <v>96</v>
      </c>
      <c r="C1390" s="6" t="s">
        <v>120</v>
      </c>
      <c r="D1390">
        <v>202407</v>
      </c>
      <c r="E1390" s="11" t="s">
        <v>44</v>
      </c>
      <c r="F1390">
        <v>0</v>
      </c>
      <c r="G1390">
        <v>0</v>
      </c>
      <c r="H1390">
        <v>0</v>
      </c>
      <c r="I1390">
        <v>8.5294285500000004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3.0248999999999999E-4</v>
      </c>
      <c r="Q1390">
        <v>0</v>
      </c>
      <c r="R1390">
        <v>0</v>
      </c>
      <c r="T1390" t="str">
        <f t="shared" si="70"/>
        <v>040138202407</v>
      </c>
      <c r="U1390">
        <f t="shared" si="71"/>
        <v>8.5294285500000004</v>
      </c>
    </row>
    <row r="1391" spans="1:21" x14ac:dyDescent="0.35">
      <c r="A1391">
        <v>2024</v>
      </c>
      <c r="B1391" s="9" t="s">
        <v>96</v>
      </c>
      <c r="C1391" s="6" t="s">
        <v>120</v>
      </c>
      <c r="D1391">
        <v>202407</v>
      </c>
      <c r="E1391" s="11" t="s">
        <v>45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T1391" t="str">
        <f t="shared" si="70"/>
        <v>040139202407</v>
      </c>
      <c r="U1391">
        <f t="shared" si="71"/>
        <v>0</v>
      </c>
    </row>
    <row r="1392" spans="1:21" x14ac:dyDescent="0.35">
      <c r="A1392">
        <v>2024</v>
      </c>
      <c r="B1392" s="9" t="s">
        <v>96</v>
      </c>
      <c r="C1392" s="6" t="s">
        <v>120</v>
      </c>
      <c r="D1392">
        <v>202407</v>
      </c>
      <c r="E1392" s="11" t="s">
        <v>46</v>
      </c>
      <c r="F1392">
        <v>0</v>
      </c>
      <c r="G1392">
        <v>0</v>
      </c>
      <c r="H1392">
        <v>0</v>
      </c>
      <c r="I1392">
        <v>34.403407999999999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T1392" t="str">
        <f t="shared" si="70"/>
        <v>040140202407</v>
      </c>
      <c r="U1392">
        <f t="shared" si="71"/>
        <v>34.403407999999999</v>
      </c>
    </row>
    <row r="1393" spans="1:21" x14ac:dyDescent="0.35">
      <c r="A1393">
        <v>2024</v>
      </c>
      <c r="B1393" s="9" t="s">
        <v>96</v>
      </c>
      <c r="C1393" s="6" t="s">
        <v>120</v>
      </c>
      <c r="D1393">
        <v>202407</v>
      </c>
      <c r="E1393" s="11" t="s">
        <v>47</v>
      </c>
      <c r="F1393">
        <v>0</v>
      </c>
      <c r="G1393">
        <v>0</v>
      </c>
      <c r="H1393">
        <v>0</v>
      </c>
      <c r="I1393">
        <v>16.761958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T1393" t="str">
        <f t="shared" si="70"/>
        <v>040141202407</v>
      </c>
      <c r="U1393">
        <f t="shared" si="71"/>
        <v>16.761958</v>
      </c>
    </row>
    <row r="1394" spans="1:21" x14ac:dyDescent="0.35">
      <c r="A1394">
        <v>2024</v>
      </c>
      <c r="B1394" s="9" t="s">
        <v>96</v>
      </c>
      <c r="C1394" s="6" t="s">
        <v>120</v>
      </c>
      <c r="D1394">
        <v>202407</v>
      </c>
      <c r="E1394" s="11" t="s">
        <v>48</v>
      </c>
      <c r="F1394">
        <v>2.2485499799999999</v>
      </c>
      <c r="G1394">
        <v>2.2154230099999999</v>
      </c>
      <c r="H1394">
        <v>3.3126969999999999E-2</v>
      </c>
      <c r="I1394">
        <v>2.7375566400000002</v>
      </c>
      <c r="J1394">
        <v>5.4948459999999998E-2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5.0609482400000001</v>
      </c>
      <c r="Q1394">
        <v>0.23495867000000001</v>
      </c>
      <c r="R1394">
        <v>14.51835756</v>
      </c>
      <c r="T1394" t="str">
        <f t="shared" si="70"/>
        <v>040143202407</v>
      </c>
      <c r="U1394">
        <f t="shared" si="71"/>
        <v>5.0410550800000005</v>
      </c>
    </row>
    <row r="1395" spans="1:21" x14ac:dyDescent="0.35">
      <c r="A1395">
        <v>2024</v>
      </c>
      <c r="B1395" s="9" t="s">
        <v>96</v>
      </c>
      <c r="C1395" s="6" t="s">
        <v>120</v>
      </c>
      <c r="D1395">
        <v>202407</v>
      </c>
      <c r="E1395" s="11" t="s">
        <v>49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T1395" t="str">
        <f t="shared" si="70"/>
        <v>040145202407</v>
      </c>
      <c r="U1395">
        <f t="shared" si="71"/>
        <v>0</v>
      </c>
    </row>
    <row r="1396" spans="1:21" x14ac:dyDescent="0.35">
      <c r="A1396">
        <v>2024</v>
      </c>
      <c r="B1396" s="9" t="s">
        <v>96</v>
      </c>
      <c r="C1396" s="6" t="s">
        <v>120</v>
      </c>
      <c r="D1396">
        <v>202407</v>
      </c>
      <c r="E1396" s="11" t="s">
        <v>50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T1396" t="str">
        <f t="shared" si="70"/>
        <v>040147202407</v>
      </c>
      <c r="U1396">
        <f t="shared" si="71"/>
        <v>0</v>
      </c>
    </row>
    <row r="1397" spans="1:21" x14ac:dyDescent="0.35">
      <c r="A1397">
        <v>2024</v>
      </c>
      <c r="B1397" s="9" t="s">
        <v>96</v>
      </c>
      <c r="C1397" s="6" t="s">
        <v>120</v>
      </c>
      <c r="D1397">
        <v>202407</v>
      </c>
      <c r="E1397" s="11" t="s">
        <v>51</v>
      </c>
      <c r="F1397">
        <v>0</v>
      </c>
      <c r="G1397">
        <v>0</v>
      </c>
      <c r="H1397">
        <v>0</v>
      </c>
      <c r="I1397">
        <v>8.0726840000000006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T1397" t="str">
        <f t="shared" si="70"/>
        <v>040149202407</v>
      </c>
      <c r="U1397">
        <f t="shared" si="71"/>
        <v>8.0726840000000006</v>
      </c>
    </row>
    <row r="1398" spans="1:21" x14ac:dyDescent="0.35">
      <c r="A1398">
        <v>2024</v>
      </c>
      <c r="B1398" s="9" t="s">
        <v>96</v>
      </c>
      <c r="C1398" s="6" t="s">
        <v>120</v>
      </c>
      <c r="D1398">
        <v>202407</v>
      </c>
      <c r="E1398" s="11" t="s">
        <v>52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T1398" t="str">
        <f t="shared" si="70"/>
        <v>040150202407</v>
      </c>
      <c r="U1398">
        <f t="shared" si="71"/>
        <v>0</v>
      </c>
    </row>
    <row r="1399" spans="1:21" x14ac:dyDescent="0.35">
      <c r="A1399">
        <v>2024</v>
      </c>
      <c r="B1399" s="9" t="s">
        <v>96</v>
      </c>
      <c r="C1399" s="6" t="s">
        <v>120</v>
      </c>
      <c r="D1399">
        <v>202407</v>
      </c>
      <c r="E1399" s="11" t="s">
        <v>53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T1399" t="str">
        <f t="shared" si="70"/>
        <v>040151202407</v>
      </c>
      <c r="U1399">
        <f t="shared" si="71"/>
        <v>0</v>
      </c>
    </row>
    <row r="1400" spans="1:21" x14ac:dyDescent="0.35">
      <c r="A1400">
        <v>2024</v>
      </c>
      <c r="B1400" s="9" t="s">
        <v>96</v>
      </c>
      <c r="C1400" s="6" t="s">
        <v>120</v>
      </c>
      <c r="D1400">
        <v>202407</v>
      </c>
      <c r="E1400" s="11" t="s">
        <v>54</v>
      </c>
      <c r="F1400">
        <v>5.1658106300000002</v>
      </c>
      <c r="G1400">
        <v>5.1658106300000002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T1400" t="str">
        <f t="shared" si="70"/>
        <v>040152202407</v>
      </c>
      <c r="U1400">
        <f t="shared" si="71"/>
        <v>5.1658106300000002</v>
      </c>
    </row>
    <row r="1401" spans="1:21" x14ac:dyDescent="0.35">
      <c r="A1401">
        <v>2024</v>
      </c>
      <c r="B1401" s="9" t="s">
        <v>96</v>
      </c>
      <c r="C1401" s="6" t="s">
        <v>120</v>
      </c>
      <c r="D1401">
        <v>202407</v>
      </c>
      <c r="E1401" s="11" t="s">
        <v>55</v>
      </c>
      <c r="F1401">
        <v>7.1214278499999999</v>
      </c>
      <c r="G1401">
        <v>7.1214278499999999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T1401" t="str">
        <f t="shared" si="70"/>
        <v>040154202407</v>
      </c>
      <c r="U1401">
        <f t="shared" si="71"/>
        <v>7.1214278499999999</v>
      </c>
    </row>
    <row r="1402" spans="1:21" x14ac:dyDescent="0.35">
      <c r="A1402">
        <v>2024</v>
      </c>
      <c r="B1402" s="9" t="s">
        <v>96</v>
      </c>
      <c r="C1402" s="6" t="s">
        <v>120</v>
      </c>
      <c r="D1402">
        <v>202407</v>
      </c>
      <c r="E1402" s="11" t="s">
        <v>56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T1402" t="str">
        <f t="shared" si="70"/>
        <v>040155202407</v>
      </c>
      <c r="U1402">
        <f t="shared" si="71"/>
        <v>0</v>
      </c>
    </row>
    <row r="1403" spans="1:21" x14ac:dyDescent="0.35">
      <c r="A1403">
        <v>2024</v>
      </c>
      <c r="B1403" s="9" t="s">
        <v>96</v>
      </c>
      <c r="C1403" s="6" t="s">
        <v>120</v>
      </c>
      <c r="D1403">
        <v>202407</v>
      </c>
      <c r="E1403" s="11" t="s">
        <v>57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T1403" t="str">
        <f t="shared" si="70"/>
        <v>040156202407</v>
      </c>
      <c r="U1403">
        <f t="shared" si="71"/>
        <v>0</v>
      </c>
    </row>
    <row r="1404" spans="1:21" x14ac:dyDescent="0.35">
      <c r="A1404">
        <v>2024</v>
      </c>
      <c r="B1404" s="9" t="s">
        <v>96</v>
      </c>
      <c r="C1404" s="6" t="s">
        <v>120</v>
      </c>
      <c r="D1404">
        <v>202407</v>
      </c>
      <c r="E1404" s="11" t="s">
        <v>58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T1404" t="str">
        <f t="shared" si="70"/>
        <v>040157202407</v>
      </c>
      <c r="U1404">
        <f t="shared" si="71"/>
        <v>0</v>
      </c>
    </row>
    <row r="1405" spans="1:21" x14ac:dyDescent="0.35">
      <c r="A1405">
        <v>2024</v>
      </c>
      <c r="B1405" s="9" t="s">
        <v>96</v>
      </c>
      <c r="C1405" s="6" t="s">
        <v>120</v>
      </c>
      <c r="D1405">
        <v>202407</v>
      </c>
      <c r="E1405" s="11" t="s">
        <v>59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T1405" t="str">
        <f t="shared" si="70"/>
        <v>040158202407</v>
      </c>
      <c r="U1405">
        <f t="shared" si="71"/>
        <v>0</v>
      </c>
    </row>
    <row r="1406" spans="1:21" x14ac:dyDescent="0.35">
      <c r="A1406">
        <v>2024</v>
      </c>
      <c r="B1406" s="9" t="s">
        <v>96</v>
      </c>
      <c r="C1406" s="6" t="s">
        <v>120</v>
      </c>
      <c r="D1406">
        <v>202407</v>
      </c>
      <c r="E1406" s="11" t="s">
        <v>60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T1406" t="str">
        <f t="shared" si="70"/>
        <v>040159202407</v>
      </c>
      <c r="U1406">
        <f t="shared" si="71"/>
        <v>0</v>
      </c>
    </row>
    <row r="1407" spans="1:21" x14ac:dyDescent="0.35">
      <c r="A1407">
        <v>2024</v>
      </c>
      <c r="B1407" s="9" t="s">
        <v>96</v>
      </c>
      <c r="C1407" s="6" t="s">
        <v>120</v>
      </c>
      <c r="D1407">
        <v>202407</v>
      </c>
      <c r="E1407" s="11" t="s">
        <v>63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T1407" t="str">
        <f t="shared" si="70"/>
        <v>040160202407</v>
      </c>
      <c r="U1407">
        <f t="shared" si="71"/>
        <v>0</v>
      </c>
    </row>
    <row r="1408" spans="1:21" x14ac:dyDescent="0.35">
      <c r="A1408">
        <v>2024</v>
      </c>
      <c r="B1408" s="9" t="s">
        <v>96</v>
      </c>
      <c r="C1408" s="6" t="s">
        <v>120</v>
      </c>
      <c r="D1408">
        <v>202407</v>
      </c>
      <c r="E1408" s="11" t="s">
        <v>61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T1408" t="str">
        <f t="shared" si="70"/>
        <v>040162202407</v>
      </c>
      <c r="U1408">
        <f t="shared" si="71"/>
        <v>0</v>
      </c>
    </row>
    <row r="1409" spans="1:21" x14ac:dyDescent="0.35">
      <c r="A1409">
        <v>2024</v>
      </c>
      <c r="B1409" s="9" t="s">
        <v>96</v>
      </c>
      <c r="C1409" s="6" t="s">
        <v>120</v>
      </c>
      <c r="D1409">
        <v>202407</v>
      </c>
      <c r="E1409" s="11" t="s">
        <v>114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T1409" t="str">
        <f t="shared" si="70"/>
        <v>040165202407</v>
      </c>
      <c r="U1409">
        <f t="shared" si="71"/>
        <v>0</v>
      </c>
    </row>
    <row r="1410" spans="1:21" x14ac:dyDescent="0.35">
      <c r="A1410">
        <v>2024</v>
      </c>
      <c r="B1410" s="9" t="s">
        <v>97</v>
      </c>
      <c r="C1410" s="10" t="s">
        <v>124</v>
      </c>
      <c r="D1410">
        <v>202408</v>
      </c>
      <c r="E1410" s="11">
        <v>5</v>
      </c>
      <c r="F1410">
        <v>1089.1838029100002</v>
      </c>
      <c r="G1410">
        <v>1089.0505693800001</v>
      </c>
      <c r="H1410">
        <v>0.13323352999999999</v>
      </c>
      <c r="I1410">
        <v>9776.6395659999998</v>
      </c>
      <c r="J1410">
        <v>519.28442681000001</v>
      </c>
      <c r="K1410">
        <v>36.143267090000002</v>
      </c>
      <c r="L1410">
        <v>161.70953428000001</v>
      </c>
      <c r="M1410">
        <v>161.69787461000001</v>
      </c>
      <c r="N1410">
        <v>9.9999999999999995E-7</v>
      </c>
      <c r="O1410">
        <v>1.1658669999999999E-2</v>
      </c>
      <c r="P1410">
        <v>180.88436328</v>
      </c>
      <c r="Q1410">
        <v>66.164876849999999</v>
      </c>
      <c r="R1410">
        <v>0</v>
      </c>
      <c r="T1410" t="str">
        <f t="shared" ref="T1410:T1414" si="72">+E1410&amp;D1410</f>
        <v>5202408</v>
      </c>
      <c r="U1410">
        <f t="shared" ref="U1410:U1414" si="73">+F1410+I1410+J1410</f>
        <v>11385.10779572</v>
      </c>
    </row>
    <row r="1411" spans="1:21" x14ac:dyDescent="0.35">
      <c r="A1411">
        <v>2024</v>
      </c>
      <c r="B1411" s="9" t="s">
        <v>97</v>
      </c>
      <c r="C1411" s="10" t="s">
        <v>124</v>
      </c>
      <c r="D1411">
        <v>202408</v>
      </c>
      <c r="E1411" s="11" t="s">
        <v>19</v>
      </c>
      <c r="F1411">
        <v>58.691381579999998</v>
      </c>
      <c r="G1411">
        <v>58.691381579999998</v>
      </c>
      <c r="H1411">
        <v>0</v>
      </c>
      <c r="I1411">
        <v>338.05304401000001</v>
      </c>
      <c r="J1411">
        <v>55.07193607</v>
      </c>
      <c r="K1411">
        <v>36.143267090000002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T1411" t="str">
        <f t="shared" si="72"/>
        <v>040002202408</v>
      </c>
      <c r="U1411">
        <f t="shared" si="73"/>
        <v>451.81636165999998</v>
      </c>
    </row>
    <row r="1412" spans="1:21" x14ac:dyDescent="0.35">
      <c r="A1412">
        <v>2024</v>
      </c>
      <c r="B1412" s="9" t="s">
        <v>97</v>
      </c>
      <c r="C1412" s="10" t="s">
        <v>124</v>
      </c>
      <c r="D1412">
        <v>202408</v>
      </c>
      <c r="E1412" s="11" t="s">
        <v>20</v>
      </c>
      <c r="F1412">
        <v>181.825425</v>
      </c>
      <c r="G1412">
        <v>181.825425</v>
      </c>
      <c r="H1412">
        <v>0</v>
      </c>
      <c r="I1412">
        <v>3581.5679599999999</v>
      </c>
      <c r="J1412">
        <v>46.509380999999998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T1412" t="str">
        <f t="shared" si="72"/>
        <v>040012202408</v>
      </c>
      <c r="U1412">
        <f t="shared" si="73"/>
        <v>3809.9027659999997</v>
      </c>
    </row>
    <row r="1413" spans="1:21" x14ac:dyDescent="0.35">
      <c r="A1413">
        <v>2024</v>
      </c>
      <c r="B1413" s="9" t="s">
        <v>97</v>
      </c>
      <c r="C1413" s="10" t="s">
        <v>124</v>
      </c>
      <c r="D1413">
        <v>202408</v>
      </c>
      <c r="E1413" s="11" t="s">
        <v>21</v>
      </c>
      <c r="F1413">
        <v>204.90853799999999</v>
      </c>
      <c r="G1413">
        <v>204.90853799999999</v>
      </c>
      <c r="H1413">
        <v>0</v>
      </c>
      <c r="I1413">
        <v>1851.642501</v>
      </c>
      <c r="J1413">
        <v>187.61553000000001</v>
      </c>
      <c r="K1413">
        <v>0</v>
      </c>
      <c r="L1413">
        <v>7.6132000000000005E-2</v>
      </c>
      <c r="M1413">
        <v>7.6132000000000005E-2</v>
      </c>
      <c r="N1413">
        <v>0</v>
      </c>
      <c r="O1413">
        <v>0</v>
      </c>
      <c r="P1413">
        <v>39.385185999999997</v>
      </c>
      <c r="Q1413">
        <v>6.5072029999999996</v>
      </c>
      <c r="R1413">
        <v>0</v>
      </c>
      <c r="T1413" t="str">
        <f t="shared" si="72"/>
        <v>040014202408</v>
      </c>
      <c r="U1413">
        <f t="shared" si="73"/>
        <v>2244.166569</v>
      </c>
    </row>
    <row r="1414" spans="1:21" x14ac:dyDescent="0.35">
      <c r="A1414">
        <v>2024</v>
      </c>
      <c r="B1414" s="9" t="s">
        <v>97</v>
      </c>
      <c r="C1414" s="10" t="s">
        <v>124</v>
      </c>
      <c r="D1414">
        <v>202408</v>
      </c>
      <c r="E1414" s="11" t="s">
        <v>22</v>
      </c>
      <c r="F1414">
        <v>153.16426300000001</v>
      </c>
      <c r="G1414">
        <v>153.16426300000001</v>
      </c>
      <c r="H1414">
        <v>0</v>
      </c>
      <c r="I1414">
        <v>940.26172899999995</v>
      </c>
      <c r="J1414">
        <v>43.133288</v>
      </c>
      <c r="K1414">
        <v>0</v>
      </c>
      <c r="L1414">
        <v>5.9964329999999997</v>
      </c>
      <c r="M1414">
        <v>5.9964320000000004</v>
      </c>
      <c r="N1414">
        <v>9.9999999999999995E-7</v>
      </c>
      <c r="O1414">
        <v>0</v>
      </c>
      <c r="P1414">
        <v>45.308120000000002</v>
      </c>
      <c r="Q1414">
        <v>18.636126999999998</v>
      </c>
      <c r="R1414">
        <v>0</v>
      </c>
      <c r="T1414" t="str">
        <f t="shared" si="72"/>
        <v>040021202408</v>
      </c>
      <c r="U1414">
        <f t="shared" si="73"/>
        <v>1136.5592799999999</v>
      </c>
    </row>
    <row r="1415" spans="1:21" x14ac:dyDescent="0.35">
      <c r="A1415">
        <v>2024</v>
      </c>
      <c r="B1415" s="9" t="s">
        <v>97</v>
      </c>
      <c r="C1415" s="10" t="s">
        <v>124</v>
      </c>
      <c r="D1415">
        <v>202408</v>
      </c>
      <c r="E1415" s="11" t="s">
        <v>23</v>
      </c>
      <c r="F1415">
        <v>273.99697691</v>
      </c>
      <c r="G1415">
        <v>273.99697691</v>
      </c>
      <c r="H1415">
        <v>0</v>
      </c>
      <c r="I1415">
        <v>57.426478250000002</v>
      </c>
      <c r="J1415">
        <v>9.2942953800000012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0.29438799999999998</v>
      </c>
      <c r="R1415">
        <v>0</v>
      </c>
      <c r="T1415" t="str">
        <f t="shared" ref="T1415:T1455" si="74">+E1415&amp;D1415</f>
        <v>040030202408</v>
      </c>
      <c r="U1415">
        <f t="shared" ref="U1415:U1455" si="75">+F1415+I1415+J1415</f>
        <v>340.71775054</v>
      </c>
    </row>
    <row r="1416" spans="1:21" x14ac:dyDescent="0.35">
      <c r="A1416">
        <v>2024</v>
      </c>
      <c r="B1416" s="9" t="s">
        <v>97</v>
      </c>
      <c r="C1416" s="10" t="s">
        <v>124</v>
      </c>
      <c r="D1416">
        <v>202408</v>
      </c>
      <c r="E1416" s="11" t="s">
        <v>24</v>
      </c>
      <c r="F1416">
        <v>0</v>
      </c>
      <c r="G1416">
        <v>0</v>
      </c>
      <c r="H1416">
        <v>0</v>
      </c>
      <c r="I1416">
        <v>7.3810979999999997</v>
      </c>
      <c r="J1416">
        <v>2.1232999999999998E-2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T1416" t="str">
        <f t="shared" si="74"/>
        <v>040036202408</v>
      </c>
      <c r="U1416">
        <f t="shared" si="75"/>
        <v>7.4023309999999993</v>
      </c>
    </row>
    <row r="1417" spans="1:21" x14ac:dyDescent="0.35">
      <c r="A1417">
        <v>2024</v>
      </c>
      <c r="B1417" s="9" t="s">
        <v>97</v>
      </c>
      <c r="C1417" s="10" t="s">
        <v>124</v>
      </c>
      <c r="D1417">
        <v>202408</v>
      </c>
      <c r="E1417" s="11" t="s">
        <v>25</v>
      </c>
      <c r="F1417">
        <v>3.6797900000000001</v>
      </c>
      <c r="G1417">
        <v>3.6797900000000001</v>
      </c>
      <c r="H1417">
        <v>0</v>
      </c>
      <c r="I1417">
        <v>1.563806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T1417" t="str">
        <f t="shared" si="74"/>
        <v>040042202408</v>
      </c>
      <c r="U1417">
        <f t="shared" si="75"/>
        <v>5.2435960000000001</v>
      </c>
    </row>
    <row r="1418" spans="1:21" x14ac:dyDescent="0.35">
      <c r="A1418">
        <v>2024</v>
      </c>
      <c r="B1418" s="9" t="s">
        <v>97</v>
      </c>
      <c r="C1418" s="10" t="s">
        <v>124</v>
      </c>
      <c r="D1418">
        <v>202408</v>
      </c>
      <c r="E1418" s="11" t="s">
        <v>26</v>
      </c>
      <c r="F1418">
        <v>0.39193499999999998</v>
      </c>
      <c r="G1418">
        <v>0.39193499999999998</v>
      </c>
      <c r="H1418">
        <v>0</v>
      </c>
      <c r="I1418">
        <v>211.028651</v>
      </c>
      <c r="J1418">
        <v>9.4489090000000004</v>
      </c>
      <c r="K1418">
        <v>0</v>
      </c>
      <c r="L1418">
        <v>2.988251</v>
      </c>
      <c r="M1418">
        <v>2.988251</v>
      </c>
      <c r="N1418">
        <v>0</v>
      </c>
      <c r="O1418">
        <v>0</v>
      </c>
      <c r="P1418">
        <v>28.58201</v>
      </c>
      <c r="Q1418">
        <v>30.185531999999998</v>
      </c>
      <c r="R1418">
        <v>0</v>
      </c>
      <c r="T1418" t="str">
        <f t="shared" si="74"/>
        <v>040044202408</v>
      </c>
      <c r="U1418">
        <f t="shared" si="75"/>
        <v>220.86949499999997</v>
      </c>
    </row>
    <row r="1419" spans="1:21" x14ac:dyDescent="0.35">
      <c r="A1419">
        <v>2024</v>
      </c>
      <c r="B1419" s="9" t="s">
        <v>97</v>
      </c>
      <c r="C1419" s="10" t="s">
        <v>124</v>
      </c>
      <c r="D1419">
        <v>202408</v>
      </c>
      <c r="E1419" s="11" t="s">
        <v>27</v>
      </c>
      <c r="F1419">
        <v>54.329041100000005</v>
      </c>
      <c r="G1419">
        <v>54.329041100000005</v>
      </c>
      <c r="H1419">
        <v>0</v>
      </c>
      <c r="I1419">
        <v>61.157300030000002</v>
      </c>
      <c r="J1419">
        <v>0.36236377000000003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T1419" t="str">
        <f t="shared" si="74"/>
        <v>040058202408</v>
      </c>
      <c r="U1419">
        <f t="shared" si="75"/>
        <v>115.8487049</v>
      </c>
    </row>
    <row r="1420" spans="1:21" x14ac:dyDescent="0.35">
      <c r="A1420">
        <v>2024</v>
      </c>
      <c r="B1420" s="9" t="s">
        <v>97</v>
      </c>
      <c r="C1420" s="10" t="s">
        <v>124</v>
      </c>
      <c r="D1420">
        <v>202408</v>
      </c>
      <c r="E1420" s="11" t="s">
        <v>28</v>
      </c>
      <c r="F1420">
        <v>0</v>
      </c>
      <c r="G1420">
        <v>0</v>
      </c>
      <c r="H1420">
        <v>0</v>
      </c>
      <c r="I1420">
        <v>194.03174000000001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T1420" t="str">
        <f t="shared" si="74"/>
        <v>040059202408</v>
      </c>
      <c r="U1420">
        <f t="shared" si="75"/>
        <v>194.03174000000001</v>
      </c>
    </row>
    <row r="1421" spans="1:21" x14ac:dyDescent="0.35">
      <c r="A1421">
        <v>2024</v>
      </c>
      <c r="B1421" s="9" t="s">
        <v>97</v>
      </c>
      <c r="C1421" s="10" t="s">
        <v>124</v>
      </c>
      <c r="D1421">
        <v>202408</v>
      </c>
      <c r="E1421" s="11" t="s">
        <v>62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T1421" t="str">
        <f t="shared" si="74"/>
        <v>040060202408</v>
      </c>
      <c r="U1421">
        <f t="shared" si="75"/>
        <v>0</v>
      </c>
    </row>
    <row r="1422" spans="1:21" x14ac:dyDescent="0.35">
      <c r="A1422">
        <v>2024</v>
      </c>
      <c r="B1422" s="9" t="s">
        <v>97</v>
      </c>
      <c r="C1422" s="10" t="s">
        <v>124</v>
      </c>
      <c r="D1422">
        <v>202408</v>
      </c>
      <c r="E1422" s="11" t="s">
        <v>29</v>
      </c>
      <c r="F1422">
        <v>7.5085430000000004</v>
      </c>
      <c r="G1422">
        <v>7.5085430000000004</v>
      </c>
      <c r="H1422">
        <v>0</v>
      </c>
      <c r="I1422">
        <v>117.17300299999999</v>
      </c>
      <c r="J1422">
        <v>2.5998E-2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T1422" t="str">
        <f t="shared" si="74"/>
        <v>040062202408</v>
      </c>
      <c r="U1422">
        <f t="shared" si="75"/>
        <v>124.707544</v>
      </c>
    </row>
    <row r="1423" spans="1:21" x14ac:dyDescent="0.35">
      <c r="A1423">
        <v>2024</v>
      </c>
      <c r="B1423" s="9" t="s">
        <v>97</v>
      </c>
      <c r="C1423" s="10" t="s">
        <v>124</v>
      </c>
      <c r="D1423">
        <v>202408</v>
      </c>
      <c r="E1423" s="11" t="s">
        <v>30</v>
      </c>
      <c r="F1423">
        <v>99.097685420000005</v>
      </c>
      <c r="G1423">
        <v>99.097685420000005</v>
      </c>
      <c r="H1423">
        <v>0</v>
      </c>
      <c r="I1423">
        <v>1203.0990882000001</v>
      </c>
      <c r="J1423">
        <v>166.53517545</v>
      </c>
      <c r="K1423">
        <v>0</v>
      </c>
      <c r="L1423">
        <v>0.52397229999999995</v>
      </c>
      <c r="M1423">
        <v>0.52364701000000002</v>
      </c>
      <c r="N1423">
        <v>0</v>
      </c>
      <c r="O1423">
        <v>3.2529E-4</v>
      </c>
      <c r="P1423">
        <v>57.30892351</v>
      </c>
      <c r="Q1423">
        <v>10.404869919999999</v>
      </c>
      <c r="R1423">
        <v>0</v>
      </c>
      <c r="T1423" t="str">
        <f t="shared" si="74"/>
        <v>040072202408</v>
      </c>
      <c r="U1423">
        <f t="shared" si="75"/>
        <v>1468.7319490700002</v>
      </c>
    </row>
    <row r="1424" spans="1:21" x14ac:dyDescent="0.35">
      <c r="A1424">
        <v>2024</v>
      </c>
      <c r="B1424" s="9" t="s">
        <v>97</v>
      </c>
      <c r="C1424" s="10" t="s">
        <v>124</v>
      </c>
      <c r="D1424">
        <v>202408</v>
      </c>
      <c r="E1424" s="11" t="s">
        <v>31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T1424" t="str">
        <f t="shared" si="74"/>
        <v>040106202408</v>
      </c>
      <c r="U1424">
        <f t="shared" si="75"/>
        <v>0</v>
      </c>
    </row>
    <row r="1425" spans="1:21" x14ac:dyDescent="0.35">
      <c r="A1425">
        <v>2024</v>
      </c>
      <c r="B1425" s="9" t="s">
        <v>97</v>
      </c>
      <c r="C1425" s="10" t="s">
        <v>124</v>
      </c>
      <c r="D1425">
        <v>202408</v>
      </c>
      <c r="E1425" s="11" t="s">
        <v>32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T1425" t="str">
        <f t="shared" si="74"/>
        <v>040108202408</v>
      </c>
      <c r="U1425">
        <f t="shared" si="75"/>
        <v>0</v>
      </c>
    </row>
    <row r="1426" spans="1:21" x14ac:dyDescent="0.35">
      <c r="A1426">
        <v>2024</v>
      </c>
      <c r="B1426" s="9" t="s">
        <v>97</v>
      </c>
      <c r="C1426" s="10" t="s">
        <v>124</v>
      </c>
      <c r="D1426">
        <v>202408</v>
      </c>
      <c r="E1426" s="11" t="s">
        <v>33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T1426" t="str">
        <f t="shared" si="74"/>
        <v>040110202408</v>
      </c>
      <c r="U1426">
        <f t="shared" si="75"/>
        <v>0</v>
      </c>
    </row>
    <row r="1427" spans="1:21" x14ac:dyDescent="0.35">
      <c r="A1427">
        <v>2024</v>
      </c>
      <c r="B1427" s="9" t="s">
        <v>97</v>
      </c>
      <c r="C1427" s="10" t="s">
        <v>124</v>
      </c>
      <c r="D1427">
        <v>202408</v>
      </c>
      <c r="E1427" s="11" t="s">
        <v>34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152.08632790999999</v>
      </c>
      <c r="M1427">
        <v>152.07499453</v>
      </c>
      <c r="N1427">
        <v>0</v>
      </c>
      <c r="O1427">
        <v>1.1333379999999999E-2</v>
      </c>
      <c r="P1427">
        <v>0</v>
      </c>
      <c r="Q1427">
        <v>0</v>
      </c>
      <c r="R1427">
        <v>0</v>
      </c>
      <c r="T1427" t="str">
        <f t="shared" si="74"/>
        <v>040112202408</v>
      </c>
      <c r="U1427">
        <f t="shared" si="75"/>
        <v>0</v>
      </c>
    </row>
    <row r="1428" spans="1:21" x14ac:dyDescent="0.35">
      <c r="A1428">
        <v>2024</v>
      </c>
      <c r="B1428" s="9" t="s">
        <v>97</v>
      </c>
      <c r="C1428" s="10" t="s">
        <v>124</v>
      </c>
      <c r="D1428">
        <v>202408</v>
      </c>
      <c r="E1428" s="11" t="s">
        <v>35</v>
      </c>
      <c r="F1428">
        <v>36.545659000000001</v>
      </c>
      <c r="G1428">
        <v>36.545659000000001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T1428" t="str">
        <f t="shared" si="74"/>
        <v>040113202408</v>
      </c>
      <c r="U1428">
        <f t="shared" si="75"/>
        <v>36.545659000000001</v>
      </c>
    </row>
    <row r="1429" spans="1:21" x14ac:dyDescent="0.35">
      <c r="A1429">
        <v>2024</v>
      </c>
      <c r="B1429" s="9" t="s">
        <v>97</v>
      </c>
      <c r="C1429" s="10" t="s">
        <v>124</v>
      </c>
      <c r="D1429">
        <v>202408</v>
      </c>
      <c r="E1429" s="11" t="s">
        <v>37</v>
      </c>
      <c r="F1429">
        <v>0</v>
      </c>
      <c r="G1429">
        <v>0</v>
      </c>
      <c r="H1429">
        <v>0</v>
      </c>
      <c r="I1429">
        <v>777.53314953999995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T1429" t="str">
        <f t="shared" si="74"/>
        <v>040127202408</v>
      </c>
      <c r="U1429">
        <f t="shared" si="75"/>
        <v>777.53314953999995</v>
      </c>
    </row>
    <row r="1430" spans="1:21" x14ac:dyDescent="0.35">
      <c r="A1430">
        <v>2024</v>
      </c>
      <c r="B1430" s="9" t="s">
        <v>97</v>
      </c>
      <c r="C1430" s="10" t="s">
        <v>124</v>
      </c>
      <c r="D1430">
        <v>202408</v>
      </c>
      <c r="E1430" s="11" t="s">
        <v>38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T1430" t="str">
        <f t="shared" si="74"/>
        <v>040128202408</v>
      </c>
      <c r="U1430">
        <f t="shared" si="75"/>
        <v>0</v>
      </c>
    </row>
    <row r="1431" spans="1:21" x14ac:dyDescent="0.35">
      <c r="A1431">
        <v>2024</v>
      </c>
      <c r="B1431" s="9" t="s">
        <v>97</v>
      </c>
      <c r="C1431" s="10" t="s">
        <v>124</v>
      </c>
      <c r="D1431">
        <v>202408</v>
      </c>
      <c r="E1431" s="11" t="s">
        <v>39</v>
      </c>
      <c r="F1431">
        <v>0</v>
      </c>
      <c r="G1431">
        <v>0</v>
      </c>
      <c r="H1431">
        <v>0</v>
      </c>
      <c r="I1431">
        <v>355.14745599999998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7.6329659999999997</v>
      </c>
      <c r="Q1431">
        <v>0</v>
      </c>
      <c r="R1431">
        <v>0</v>
      </c>
      <c r="T1431" t="str">
        <f t="shared" si="74"/>
        <v>040130202408</v>
      </c>
      <c r="U1431">
        <f t="shared" si="75"/>
        <v>355.14745599999998</v>
      </c>
    </row>
    <row r="1432" spans="1:21" x14ac:dyDescent="0.35">
      <c r="A1432">
        <v>2024</v>
      </c>
      <c r="B1432" s="9" t="s">
        <v>97</v>
      </c>
      <c r="C1432" s="10" t="s">
        <v>124</v>
      </c>
      <c r="D1432">
        <v>202408</v>
      </c>
      <c r="E1432" s="11" t="s">
        <v>40</v>
      </c>
      <c r="F1432">
        <v>0</v>
      </c>
      <c r="G1432">
        <v>0</v>
      </c>
      <c r="H1432">
        <v>0</v>
      </c>
      <c r="I1432">
        <v>0.71772899999999995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T1432" t="str">
        <f t="shared" si="74"/>
        <v>040132202408</v>
      </c>
      <c r="U1432">
        <f t="shared" si="75"/>
        <v>0.71772899999999995</v>
      </c>
    </row>
    <row r="1433" spans="1:21" x14ac:dyDescent="0.35">
      <c r="A1433">
        <v>2024</v>
      </c>
      <c r="B1433" s="9" t="s">
        <v>97</v>
      </c>
      <c r="C1433" s="10" t="s">
        <v>124</v>
      </c>
      <c r="D1433">
        <v>202408</v>
      </c>
      <c r="E1433" s="11" t="s">
        <v>41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T1433" t="str">
        <f t="shared" si="74"/>
        <v>040133202408</v>
      </c>
      <c r="U1433">
        <f t="shared" si="75"/>
        <v>0</v>
      </c>
    </row>
    <row r="1434" spans="1:21" x14ac:dyDescent="0.35">
      <c r="A1434">
        <v>2024</v>
      </c>
      <c r="B1434" s="9" t="s">
        <v>97</v>
      </c>
      <c r="C1434" s="10" t="s">
        <v>124</v>
      </c>
      <c r="D1434">
        <v>202408</v>
      </c>
      <c r="E1434" s="11" t="s">
        <v>42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T1434" t="str">
        <f t="shared" si="74"/>
        <v>040136202408</v>
      </c>
      <c r="U1434">
        <f t="shared" si="75"/>
        <v>0</v>
      </c>
    </row>
    <row r="1435" spans="1:21" x14ac:dyDescent="0.35">
      <c r="A1435">
        <v>2024</v>
      </c>
      <c r="B1435" s="9" t="s">
        <v>97</v>
      </c>
      <c r="C1435" s="10" t="s">
        <v>124</v>
      </c>
      <c r="D1435">
        <v>202408</v>
      </c>
      <c r="E1435" s="11" t="s">
        <v>43</v>
      </c>
      <c r="F1435">
        <v>0</v>
      </c>
      <c r="G1435">
        <v>0</v>
      </c>
      <c r="H1435">
        <v>0</v>
      </c>
      <c r="I1435">
        <v>21.48511096</v>
      </c>
      <c r="J1435">
        <v>1.1318114800000001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T1435" t="str">
        <f t="shared" si="74"/>
        <v>040137202408</v>
      </c>
      <c r="U1435">
        <f t="shared" si="75"/>
        <v>22.61692244</v>
      </c>
    </row>
    <row r="1436" spans="1:21" x14ac:dyDescent="0.35">
      <c r="A1436">
        <v>2024</v>
      </c>
      <c r="B1436" s="9" t="s">
        <v>97</v>
      </c>
      <c r="C1436" s="10" t="s">
        <v>124</v>
      </c>
      <c r="D1436">
        <v>202408</v>
      </c>
      <c r="E1436" s="11" t="s">
        <v>44</v>
      </c>
      <c r="F1436">
        <v>0</v>
      </c>
      <c r="G1436">
        <v>0</v>
      </c>
      <c r="H1436">
        <v>0</v>
      </c>
      <c r="I1436">
        <v>8.3568154200000002</v>
      </c>
      <c r="J1436">
        <v>0</v>
      </c>
      <c r="K1436">
        <v>0</v>
      </c>
      <c r="L1436">
        <v>3.8418069999999999E-2</v>
      </c>
      <c r="M1436">
        <v>3.8418069999999999E-2</v>
      </c>
      <c r="N1436">
        <v>0</v>
      </c>
      <c r="O1436">
        <v>0</v>
      </c>
      <c r="P1436">
        <v>4.3813000000000001E-4</v>
      </c>
      <c r="Q1436">
        <v>0</v>
      </c>
      <c r="R1436">
        <v>0</v>
      </c>
      <c r="T1436" t="str">
        <f t="shared" si="74"/>
        <v>040138202408</v>
      </c>
      <c r="U1436">
        <f t="shared" si="75"/>
        <v>8.3568154200000002</v>
      </c>
    </row>
    <row r="1437" spans="1:21" x14ac:dyDescent="0.35">
      <c r="A1437">
        <v>2024</v>
      </c>
      <c r="B1437" s="9" t="s">
        <v>97</v>
      </c>
      <c r="C1437" s="10" t="s">
        <v>124</v>
      </c>
      <c r="D1437">
        <v>202408</v>
      </c>
      <c r="E1437" s="11" t="s">
        <v>45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T1437" t="str">
        <f t="shared" si="74"/>
        <v>040139202408</v>
      </c>
      <c r="U1437">
        <f t="shared" si="75"/>
        <v>0</v>
      </c>
    </row>
    <row r="1438" spans="1:21" x14ac:dyDescent="0.35">
      <c r="A1438">
        <v>2024</v>
      </c>
      <c r="B1438" s="9" t="s">
        <v>97</v>
      </c>
      <c r="C1438" s="10" t="s">
        <v>124</v>
      </c>
      <c r="D1438">
        <v>202408</v>
      </c>
      <c r="E1438" s="11" t="s">
        <v>46</v>
      </c>
      <c r="F1438">
        <v>0</v>
      </c>
      <c r="G1438">
        <v>0</v>
      </c>
      <c r="H1438">
        <v>0</v>
      </c>
      <c r="I1438">
        <v>41.320061000000003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T1438" t="str">
        <f t="shared" si="74"/>
        <v>040140202408</v>
      </c>
      <c r="U1438">
        <f t="shared" si="75"/>
        <v>41.320061000000003</v>
      </c>
    </row>
    <row r="1439" spans="1:21" x14ac:dyDescent="0.35">
      <c r="A1439">
        <v>2024</v>
      </c>
      <c r="B1439" s="9" t="s">
        <v>97</v>
      </c>
      <c r="C1439" s="10" t="s">
        <v>124</v>
      </c>
      <c r="D1439">
        <v>202408</v>
      </c>
      <c r="E1439" s="11" t="s">
        <v>47</v>
      </c>
      <c r="F1439">
        <v>0</v>
      </c>
      <c r="G1439">
        <v>0</v>
      </c>
      <c r="H1439">
        <v>0</v>
      </c>
      <c r="I1439">
        <v>4.7981000000000003E-2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T1439" t="str">
        <f t="shared" si="74"/>
        <v>040141202408</v>
      </c>
      <c r="U1439">
        <f t="shared" si="75"/>
        <v>4.7981000000000003E-2</v>
      </c>
    </row>
    <row r="1440" spans="1:21" x14ac:dyDescent="0.35">
      <c r="A1440">
        <v>2024</v>
      </c>
      <c r="B1440" s="9" t="s">
        <v>97</v>
      </c>
      <c r="C1440" s="10" t="s">
        <v>124</v>
      </c>
      <c r="D1440">
        <v>202408</v>
      </c>
      <c r="E1440" s="11" t="s">
        <v>48</v>
      </c>
      <c r="F1440">
        <v>1.1085918400000001</v>
      </c>
      <c r="G1440">
        <v>0.97535831000000006</v>
      </c>
      <c r="H1440">
        <v>0.13323352999999999</v>
      </c>
      <c r="I1440">
        <v>2.3705819300000002</v>
      </c>
      <c r="J1440">
        <v>0.13450566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2.6562796400000002</v>
      </c>
      <c r="Q1440">
        <v>0.13675693</v>
      </c>
      <c r="R1440">
        <v>0</v>
      </c>
      <c r="T1440" t="str">
        <f t="shared" si="74"/>
        <v>040143202408</v>
      </c>
      <c r="U1440">
        <f t="shared" si="75"/>
        <v>3.6136794299999999</v>
      </c>
    </row>
    <row r="1441" spans="1:21" x14ac:dyDescent="0.35">
      <c r="A1441">
        <v>2024</v>
      </c>
      <c r="B1441" s="9" t="s">
        <v>97</v>
      </c>
      <c r="C1441" s="10" t="s">
        <v>124</v>
      </c>
      <c r="D1441">
        <v>202408</v>
      </c>
      <c r="E1441" s="11" t="s">
        <v>49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T1441" t="str">
        <f t="shared" si="74"/>
        <v>040145202408</v>
      </c>
      <c r="U1441">
        <f t="shared" si="75"/>
        <v>0</v>
      </c>
    </row>
    <row r="1442" spans="1:21" x14ac:dyDescent="0.35">
      <c r="A1442">
        <v>2024</v>
      </c>
      <c r="B1442" s="9" t="s">
        <v>97</v>
      </c>
      <c r="C1442" s="10" t="s">
        <v>124</v>
      </c>
      <c r="D1442">
        <v>202408</v>
      </c>
      <c r="E1442" s="11" t="s">
        <v>50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T1442" t="str">
        <f t="shared" si="74"/>
        <v>040147202408</v>
      </c>
      <c r="U1442">
        <f t="shared" si="75"/>
        <v>0</v>
      </c>
    </row>
    <row r="1443" spans="1:21" x14ac:dyDescent="0.35">
      <c r="A1443">
        <v>2024</v>
      </c>
      <c r="B1443" s="9" t="s">
        <v>97</v>
      </c>
      <c r="C1443" s="10" t="s">
        <v>124</v>
      </c>
      <c r="D1443">
        <v>202408</v>
      </c>
      <c r="E1443" s="11" t="s">
        <v>51</v>
      </c>
      <c r="F1443">
        <v>0</v>
      </c>
      <c r="G1443">
        <v>0</v>
      </c>
      <c r="H1443">
        <v>0</v>
      </c>
      <c r="I1443">
        <v>5.168984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1.044E-2</v>
      </c>
      <c r="Q1443">
        <v>0</v>
      </c>
      <c r="R1443">
        <v>0</v>
      </c>
      <c r="T1443" t="str">
        <f t="shared" si="74"/>
        <v>040149202408</v>
      </c>
      <c r="U1443">
        <f t="shared" si="75"/>
        <v>5.168984</v>
      </c>
    </row>
    <row r="1444" spans="1:21" x14ac:dyDescent="0.35">
      <c r="A1444">
        <v>2024</v>
      </c>
      <c r="B1444" s="9" t="s">
        <v>97</v>
      </c>
      <c r="C1444" s="10" t="s">
        <v>124</v>
      </c>
      <c r="D1444">
        <v>202408</v>
      </c>
      <c r="E1444" s="11" t="s">
        <v>52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T1444" t="str">
        <f t="shared" si="74"/>
        <v>040150202408</v>
      </c>
      <c r="U1444">
        <f t="shared" si="75"/>
        <v>0</v>
      </c>
    </row>
    <row r="1445" spans="1:21" x14ac:dyDescent="0.35">
      <c r="A1445">
        <v>2024</v>
      </c>
      <c r="B1445" s="9" t="s">
        <v>97</v>
      </c>
      <c r="C1445" s="10" t="s">
        <v>124</v>
      </c>
      <c r="D1445">
        <v>202408</v>
      </c>
      <c r="E1445" s="11" t="s">
        <v>53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T1445" t="str">
        <f t="shared" si="74"/>
        <v>040151202408</v>
      </c>
      <c r="U1445">
        <f t="shared" si="75"/>
        <v>0</v>
      </c>
    </row>
    <row r="1446" spans="1:21" x14ac:dyDescent="0.35">
      <c r="A1446">
        <v>2024</v>
      </c>
      <c r="B1446" s="9" t="s">
        <v>97</v>
      </c>
      <c r="C1446" s="10" t="s">
        <v>124</v>
      </c>
      <c r="D1446">
        <v>202408</v>
      </c>
      <c r="E1446" s="11" t="s">
        <v>54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T1446" t="str">
        <f t="shared" si="74"/>
        <v>040152202408</v>
      </c>
      <c r="U1446">
        <f t="shared" si="75"/>
        <v>0</v>
      </c>
    </row>
    <row r="1447" spans="1:21" x14ac:dyDescent="0.35">
      <c r="A1447">
        <v>2024</v>
      </c>
      <c r="B1447" s="9" t="s">
        <v>97</v>
      </c>
      <c r="C1447" s="10" t="s">
        <v>124</v>
      </c>
      <c r="D1447">
        <v>202408</v>
      </c>
      <c r="E1447" s="11" t="s">
        <v>55</v>
      </c>
      <c r="F1447">
        <v>13.93597306</v>
      </c>
      <c r="G1447">
        <v>13.93597306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T1447" t="str">
        <f t="shared" si="74"/>
        <v>040154202408</v>
      </c>
      <c r="U1447">
        <f t="shared" si="75"/>
        <v>13.93597306</v>
      </c>
    </row>
    <row r="1448" spans="1:21" x14ac:dyDescent="0.35">
      <c r="A1448">
        <v>2024</v>
      </c>
      <c r="B1448" s="9" t="s">
        <v>97</v>
      </c>
      <c r="C1448" s="10" t="s">
        <v>124</v>
      </c>
      <c r="D1448">
        <v>202408</v>
      </c>
      <c r="E1448" s="11" t="s">
        <v>56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T1448" t="str">
        <f t="shared" si="74"/>
        <v>040155202408</v>
      </c>
      <c r="U1448">
        <f t="shared" si="75"/>
        <v>0</v>
      </c>
    </row>
    <row r="1449" spans="1:21" x14ac:dyDescent="0.35">
      <c r="A1449">
        <v>2024</v>
      </c>
      <c r="B1449" s="9" t="s">
        <v>97</v>
      </c>
      <c r="C1449" s="10" t="s">
        <v>124</v>
      </c>
      <c r="D1449">
        <v>202408</v>
      </c>
      <c r="E1449" s="11" t="s">
        <v>57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T1449" t="str">
        <f t="shared" si="74"/>
        <v>040156202408</v>
      </c>
      <c r="U1449">
        <f t="shared" si="75"/>
        <v>0</v>
      </c>
    </row>
    <row r="1450" spans="1:21" x14ac:dyDescent="0.35">
      <c r="A1450">
        <v>2024</v>
      </c>
      <c r="B1450" s="9" t="s">
        <v>97</v>
      </c>
      <c r="C1450" s="10" t="s">
        <v>124</v>
      </c>
      <c r="D1450">
        <v>202408</v>
      </c>
      <c r="E1450" s="11" t="s">
        <v>58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T1450" t="str">
        <f t="shared" si="74"/>
        <v>040157202408</v>
      </c>
      <c r="U1450">
        <f t="shared" si="75"/>
        <v>0</v>
      </c>
    </row>
    <row r="1451" spans="1:21" x14ac:dyDescent="0.35">
      <c r="A1451">
        <v>2024</v>
      </c>
      <c r="B1451" s="9" t="s">
        <v>97</v>
      </c>
      <c r="C1451" s="10" t="s">
        <v>124</v>
      </c>
      <c r="D1451">
        <v>202408</v>
      </c>
      <c r="E1451" s="11" t="s">
        <v>59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T1451" t="str">
        <f t="shared" si="74"/>
        <v>040158202408</v>
      </c>
      <c r="U1451">
        <f t="shared" si="75"/>
        <v>0</v>
      </c>
    </row>
    <row r="1452" spans="1:21" x14ac:dyDescent="0.35">
      <c r="A1452">
        <v>2024</v>
      </c>
      <c r="B1452" s="9" t="s">
        <v>97</v>
      </c>
      <c r="C1452" s="10" t="s">
        <v>124</v>
      </c>
      <c r="D1452">
        <v>202408</v>
      </c>
      <c r="E1452" s="11" t="s">
        <v>60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T1452" t="str">
        <f t="shared" si="74"/>
        <v>040159202408</v>
      </c>
      <c r="U1452">
        <f t="shared" si="75"/>
        <v>0</v>
      </c>
    </row>
    <row r="1453" spans="1:21" x14ac:dyDescent="0.35">
      <c r="A1453">
        <v>2024</v>
      </c>
      <c r="B1453" s="9" t="s">
        <v>97</v>
      </c>
      <c r="C1453" s="10" t="s">
        <v>124</v>
      </c>
      <c r="D1453">
        <v>202408</v>
      </c>
      <c r="E1453" s="11" t="s">
        <v>63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T1453" t="str">
        <f t="shared" si="74"/>
        <v>040160202408</v>
      </c>
      <c r="U1453">
        <f t="shared" si="75"/>
        <v>0</v>
      </c>
    </row>
    <row r="1454" spans="1:21" x14ac:dyDescent="0.35">
      <c r="A1454">
        <v>2024</v>
      </c>
      <c r="B1454" s="9" t="s">
        <v>97</v>
      </c>
      <c r="C1454" s="10" t="s">
        <v>124</v>
      </c>
      <c r="D1454">
        <v>202408</v>
      </c>
      <c r="E1454" s="11" t="s">
        <v>61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T1454" t="str">
        <f t="shared" si="74"/>
        <v>040162202408</v>
      </c>
      <c r="U1454">
        <f t="shared" si="75"/>
        <v>0</v>
      </c>
    </row>
    <row r="1455" spans="1:21" x14ac:dyDescent="0.35">
      <c r="A1455">
        <v>2024</v>
      </c>
      <c r="B1455" s="9" t="s">
        <v>97</v>
      </c>
      <c r="C1455" s="10" t="s">
        <v>124</v>
      </c>
      <c r="D1455">
        <v>202408</v>
      </c>
      <c r="E1455" s="11" t="s">
        <v>114</v>
      </c>
      <c r="F1455">
        <v>0</v>
      </c>
      <c r="G1455">
        <v>0</v>
      </c>
      <c r="H1455">
        <v>0</v>
      </c>
      <c r="I1455">
        <v>0.10529866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T1455" t="str">
        <f t="shared" si="74"/>
        <v>040165202408</v>
      </c>
      <c r="U1455">
        <f t="shared" si="75"/>
        <v>0.10529866</v>
      </c>
    </row>
    <row r="1456" spans="1:21" x14ac:dyDescent="0.35">
      <c r="A1456">
        <v>2024</v>
      </c>
      <c r="B1456" s="9" t="s">
        <v>98</v>
      </c>
      <c r="C1456" s="10" t="s">
        <v>125</v>
      </c>
      <c r="D1456">
        <v>202409</v>
      </c>
      <c r="E1456" s="11">
        <v>5</v>
      </c>
      <c r="F1456">
        <v>1734.3910377300001</v>
      </c>
      <c r="G1456">
        <v>1733.4355773900002</v>
      </c>
      <c r="H1456">
        <v>0.95398433999999999</v>
      </c>
      <c r="I1456">
        <v>9412.0351981900003</v>
      </c>
      <c r="J1456">
        <v>620.61257928999999</v>
      </c>
      <c r="K1456">
        <v>37.517621119999994</v>
      </c>
      <c r="L1456">
        <v>54.342838710000002</v>
      </c>
      <c r="M1456">
        <v>54.342838710000002</v>
      </c>
      <c r="N1456">
        <v>0</v>
      </c>
      <c r="O1456">
        <v>0</v>
      </c>
      <c r="P1456">
        <v>181.43039300000001</v>
      </c>
      <c r="Q1456">
        <v>61.287606150000002</v>
      </c>
      <c r="R1456">
        <v>0</v>
      </c>
      <c r="T1456" t="str">
        <f t="shared" ref="T1456:T1459" si="76">+E1456&amp;D1456</f>
        <v>5202409</v>
      </c>
      <c r="U1456">
        <f t="shared" ref="U1456:U1459" si="77">+F1456+I1456+J1456</f>
        <v>11767.03881521</v>
      </c>
    </row>
    <row r="1457" spans="1:21" x14ac:dyDescent="0.35">
      <c r="A1457">
        <v>2024</v>
      </c>
      <c r="B1457" s="9" t="s">
        <v>98</v>
      </c>
      <c r="C1457" s="10" t="s">
        <v>125</v>
      </c>
      <c r="D1457">
        <v>202409</v>
      </c>
      <c r="E1457" s="11" t="s">
        <v>19</v>
      </c>
      <c r="F1457">
        <v>94.685619469999992</v>
      </c>
      <c r="G1457">
        <v>94.685619469999992</v>
      </c>
      <c r="H1457">
        <v>0</v>
      </c>
      <c r="I1457">
        <v>349.75245467000002</v>
      </c>
      <c r="J1457">
        <v>30.716419579999997</v>
      </c>
      <c r="K1457">
        <v>37.517621119999994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T1457" t="str">
        <f t="shared" si="76"/>
        <v>040002202409</v>
      </c>
      <c r="U1457">
        <f t="shared" si="77"/>
        <v>475.15449372</v>
      </c>
    </row>
    <row r="1458" spans="1:21" x14ac:dyDescent="0.35">
      <c r="A1458">
        <v>2024</v>
      </c>
      <c r="B1458" s="9" t="s">
        <v>98</v>
      </c>
      <c r="C1458" s="10" t="s">
        <v>125</v>
      </c>
      <c r="D1458">
        <v>202409</v>
      </c>
      <c r="E1458" s="11" t="s">
        <v>20</v>
      </c>
      <c r="F1458">
        <v>200.73522600000001</v>
      </c>
      <c r="G1458">
        <v>200.72763800000001</v>
      </c>
      <c r="H1458">
        <v>6.1120000000000002E-3</v>
      </c>
      <c r="I1458">
        <v>3719.6221289999999</v>
      </c>
      <c r="J1458">
        <v>277.365861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T1458" t="str">
        <f t="shared" si="76"/>
        <v>040012202409</v>
      </c>
      <c r="U1458">
        <f t="shared" si="77"/>
        <v>4197.7232160000003</v>
      </c>
    </row>
    <row r="1459" spans="1:21" x14ac:dyDescent="0.35">
      <c r="A1459">
        <v>2024</v>
      </c>
      <c r="B1459" s="9" t="s">
        <v>98</v>
      </c>
      <c r="C1459" s="10" t="s">
        <v>125</v>
      </c>
      <c r="D1459">
        <v>202409</v>
      </c>
      <c r="E1459" s="11" t="s">
        <v>21</v>
      </c>
      <c r="F1459">
        <v>341.15268900000001</v>
      </c>
      <c r="G1459">
        <v>341.15268900000001</v>
      </c>
      <c r="H1459">
        <v>0</v>
      </c>
      <c r="I1459">
        <v>1426.51358</v>
      </c>
      <c r="J1459">
        <v>109.082461</v>
      </c>
      <c r="K1459">
        <v>0</v>
      </c>
      <c r="L1459">
        <v>20.874981999999999</v>
      </c>
      <c r="M1459">
        <v>20.874981999999999</v>
      </c>
      <c r="N1459">
        <v>0</v>
      </c>
      <c r="O1459">
        <v>0</v>
      </c>
      <c r="P1459">
        <v>28.511599</v>
      </c>
      <c r="Q1459">
        <v>7.7040220000000001</v>
      </c>
      <c r="R1459">
        <v>0</v>
      </c>
      <c r="T1459" t="str">
        <f t="shared" si="76"/>
        <v>040014202409</v>
      </c>
      <c r="U1459">
        <f t="shared" si="77"/>
        <v>1876.74873</v>
      </c>
    </row>
    <row r="1460" spans="1:21" x14ac:dyDescent="0.35">
      <c r="A1460">
        <v>2024</v>
      </c>
      <c r="B1460" s="9" t="s">
        <v>98</v>
      </c>
      <c r="C1460" s="10" t="s">
        <v>125</v>
      </c>
      <c r="D1460">
        <v>202409</v>
      </c>
      <c r="E1460" s="11" t="s">
        <v>22</v>
      </c>
      <c r="F1460">
        <v>62.211691000000002</v>
      </c>
      <c r="G1460">
        <v>62.211691000000002</v>
      </c>
      <c r="H1460">
        <v>0</v>
      </c>
      <c r="I1460">
        <v>936.85188700000003</v>
      </c>
      <c r="J1460">
        <v>21.920373999999999</v>
      </c>
      <c r="K1460">
        <v>0</v>
      </c>
      <c r="L1460">
        <v>5.0975149999999996</v>
      </c>
      <c r="M1460">
        <v>5.0975149999999996</v>
      </c>
      <c r="N1460">
        <v>0</v>
      </c>
      <c r="O1460">
        <v>0</v>
      </c>
      <c r="P1460">
        <v>43.157698000000003</v>
      </c>
      <c r="Q1460">
        <v>20.234334</v>
      </c>
      <c r="R1460">
        <v>0</v>
      </c>
      <c r="T1460" t="str">
        <f t="shared" ref="T1460:T1501" si="78">+E1460&amp;D1460</f>
        <v>040021202409</v>
      </c>
      <c r="U1460">
        <f t="shared" ref="U1460:U1501" si="79">+F1460+I1460+J1460</f>
        <v>1020.983952</v>
      </c>
    </row>
    <row r="1461" spans="1:21" x14ac:dyDescent="0.35">
      <c r="A1461">
        <v>2024</v>
      </c>
      <c r="B1461" s="9" t="s">
        <v>98</v>
      </c>
      <c r="C1461" s="10" t="s">
        <v>125</v>
      </c>
      <c r="D1461">
        <v>202409</v>
      </c>
      <c r="E1461" s="11" t="s">
        <v>23</v>
      </c>
      <c r="F1461">
        <v>457.67963981999998</v>
      </c>
      <c r="G1461">
        <v>457.67963981999998</v>
      </c>
      <c r="H1461">
        <v>0</v>
      </c>
      <c r="I1461">
        <v>62.797573319999998</v>
      </c>
      <c r="J1461">
        <v>4.3033502800000001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0.55304495999999992</v>
      </c>
      <c r="R1461">
        <v>0</v>
      </c>
      <c r="T1461" t="str">
        <f t="shared" si="78"/>
        <v>040030202409</v>
      </c>
      <c r="U1461">
        <f t="shared" si="79"/>
        <v>524.78056342000002</v>
      </c>
    </row>
    <row r="1462" spans="1:21" x14ac:dyDescent="0.35">
      <c r="A1462">
        <v>2024</v>
      </c>
      <c r="B1462" s="9" t="s">
        <v>98</v>
      </c>
      <c r="C1462" s="10" t="s">
        <v>125</v>
      </c>
      <c r="D1462">
        <v>202409</v>
      </c>
      <c r="E1462" s="11" t="s">
        <v>24</v>
      </c>
      <c r="F1462">
        <v>0</v>
      </c>
      <c r="G1462">
        <v>0</v>
      </c>
      <c r="H1462">
        <v>0</v>
      </c>
      <c r="I1462">
        <v>7.6580389999999996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T1462" t="str">
        <f t="shared" si="78"/>
        <v>040036202409</v>
      </c>
      <c r="U1462">
        <f t="shared" si="79"/>
        <v>7.6580389999999996</v>
      </c>
    </row>
    <row r="1463" spans="1:21" x14ac:dyDescent="0.35">
      <c r="A1463">
        <v>2024</v>
      </c>
      <c r="B1463" s="9" t="s">
        <v>98</v>
      </c>
      <c r="C1463" s="10" t="s">
        <v>125</v>
      </c>
      <c r="D1463">
        <v>202409</v>
      </c>
      <c r="E1463" s="11" t="s">
        <v>25</v>
      </c>
      <c r="F1463">
        <v>30.705638</v>
      </c>
      <c r="G1463">
        <v>30.705638</v>
      </c>
      <c r="H1463">
        <v>0</v>
      </c>
      <c r="I1463">
        <v>1.9502889999999999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T1463" t="str">
        <f t="shared" si="78"/>
        <v>040042202409</v>
      </c>
      <c r="U1463">
        <f t="shared" si="79"/>
        <v>32.655926999999998</v>
      </c>
    </row>
    <row r="1464" spans="1:21" x14ac:dyDescent="0.35">
      <c r="A1464">
        <v>2024</v>
      </c>
      <c r="B1464" s="9" t="s">
        <v>98</v>
      </c>
      <c r="C1464" s="10" t="s">
        <v>125</v>
      </c>
      <c r="D1464">
        <v>202409</v>
      </c>
      <c r="E1464" s="11" t="s">
        <v>26</v>
      </c>
      <c r="F1464">
        <v>0.39425900000000003</v>
      </c>
      <c r="G1464">
        <v>0.39425900000000003</v>
      </c>
      <c r="H1464">
        <v>0</v>
      </c>
      <c r="I1464">
        <v>259.45690000000002</v>
      </c>
      <c r="J1464">
        <v>15.406145</v>
      </c>
      <c r="K1464">
        <v>0</v>
      </c>
      <c r="L1464">
        <v>10.189685000000001</v>
      </c>
      <c r="M1464">
        <v>10.189685000000001</v>
      </c>
      <c r="N1464">
        <v>0</v>
      </c>
      <c r="O1464">
        <v>0</v>
      </c>
      <c r="P1464">
        <v>28.568016</v>
      </c>
      <c r="Q1464">
        <v>20.305446</v>
      </c>
      <c r="R1464">
        <v>0</v>
      </c>
      <c r="T1464" t="str">
        <f t="shared" si="78"/>
        <v>040044202409</v>
      </c>
      <c r="U1464">
        <f t="shared" si="79"/>
        <v>275.25730399999998</v>
      </c>
    </row>
    <row r="1465" spans="1:21" x14ac:dyDescent="0.35">
      <c r="A1465">
        <v>2024</v>
      </c>
      <c r="B1465" s="9" t="s">
        <v>98</v>
      </c>
      <c r="C1465" s="10" t="s">
        <v>125</v>
      </c>
      <c r="D1465">
        <v>202409</v>
      </c>
      <c r="E1465" s="11" t="s">
        <v>27</v>
      </c>
      <c r="F1465">
        <v>68.74483484000001</v>
      </c>
      <c r="G1465">
        <v>68.74483484000001</v>
      </c>
      <c r="H1465">
        <v>0</v>
      </c>
      <c r="I1465">
        <v>163.13679288999998</v>
      </c>
      <c r="J1465">
        <v>0.73159288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T1465" t="str">
        <f t="shared" si="78"/>
        <v>040058202409</v>
      </c>
      <c r="U1465">
        <f t="shared" si="79"/>
        <v>232.61322060999998</v>
      </c>
    </row>
    <row r="1466" spans="1:21" x14ac:dyDescent="0.35">
      <c r="A1466">
        <v>2024</v>
      </c>
      <c r="B1466" s="9" t="s">
        <v>98</v>
      </c>
      <c r="C1466" s="10" t="s">
        <v>125</v>
      </c>
      <c r="D1466">
        <v>202409</v>
      </c>
      <c r="E1466" s="11" t="s">
        <v>28</v>
      </c>
      <c r="F1466">
        <v>0</v>
      </c>
      <c r="G1466">
        <v>0</v>
      </c>
      <c r="H1466">
        <v>0</v>
      </c>
      <c r="I1466">
        <v>194.40343999999999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T1466" t="str">
        <f t="shared" si="78"/>
        <v>040059202409</v>
      </c>
      <c r="U1466">
        <f t="shared" si="79"/>
        <v>194.40343999999999</v>
      </c>
    </row>
    <row r="1467" spans="1:21" x14ac:dyDescent="0.35">
      <c r="A1467">
        <v>2024</v>
      </c>
      <c r="B1467" s="9" t="s">
        <v>98</v>
      </c>
      <c r="C1467" s="10" t="s">
        <v>125</v>
      </c>
      <c r="D1467">
        <v>202409</v>
      </c>
      <c r="E1467" s="11" t="s">
        <v>62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T1467" t="str">
        <f t="shared" si="78"/>
        <v>040060202409</v>
      </c>
      <c r="U1467">
        <f t="shared" si="79"/>
        <v>0</v>
      </c>
    </row>
    <row r="1468" spans="1:21" x14ac:dyDescent="0.35">
      <c r="A1468">
        <v>2024</v>
      </c>
      <c r="B1468" s="9" t="s">
        <v>98</v>
      </c>
      <c r="C1468" s="10" t="s">
        <v>125</v>
      </c>
      <c r="D1468">
        <v>202409</v>
      </c>
      <c r="E1468" s="11" t="s">
        <v>29</v>
      </c>
      <c r="F1468">
        <v>4.2345759999999997</v>
      </c>
      <c r="G1468">
        <v>4.2345759999999997</v>
      </c>
      <c r="H1468">
        <v>0</v>
      </c>
      <c r="I1468">
        <v>91.718695999999994</v>
      </c>
      <c r="J1468">
        <v>4.731E-3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T1468" t="str">
        <f t="shared" si="78"/>
        <v>040062202409</v>
      </c>
      <c r="U1468">
        <f t="shared" si="79"/>
        <v>95.958003000000005</v>
      </c>
    </row>
    <row r="1469" spans="1:21" x14ac:dyDescent="0.35">
      <c r="A1469">
        <v>2024</v>
      </c>
      <c r="B1469" s="9" t="s">
        <v>98</v>
      </c>
      <c r="C1469" s="10" t="s">
        <v>125</v>
      </c>
      <c r="D1469">
        <v>202409</v>
      </c>
      <c r="E1469" s="11" t="s">
        <v>30</v>
      </c>
      <c r="F1469">
        <v>429.31593253</v>
      </c>
      <c r="G1469">
        <v>429.31593253</v>
      </c>
      <c r="H1469">
        <v>0</v>
      </c>
      <c r="I1469">
        <v>1144.19420343</v>
      </c>
      <c r="J1469">
        <v>151.75113069</v>
      </c>
      <c r="K1469">
        <v>0</v>
      </c>
      <c r="L1469">
        <v>9.911566220000001</v>
      </c>
      <c r="M1469">
        <v>9.911566220000001</v>
      </c>
      <c r="N1469">
        <v>0</v>
      </c>
      <c r="O1469">
        <v>0</v>
      </c>
      <c r="P1469">
        <v>68.385806290000005</v>
      </c>
      <c r="Q1469">
        <v>12.446200660000001</v>
      </c>
      <c r="R1469">
        <v>0</v>
      </c>
      <c r="T1469" t="str">
        <f t="shared" si="78"/>
        <v>040072202409</v>
      </c>
      <c r="U1469">
        <f t="shared" si="79"/>
        <v>1725.2612666500002</v>
      </c>
    </row>
    <row r="1470" spans="1:21" x14ac:dyDescent="0.35">
      <c r="A1470">
        <v>2024</v>
      </c>
      <c r="B1470" s="9" t="s">
        <v>98</v>
      </c>
      <c r="C1470" s="10" t="s">
        <v>125</v>
      </c>
      <c r="D1470">
        <v>202409</v>
      </c>
      <c r="E1470" s="11" t="s">
        <v>31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T1470" t="str">
        <f t="shared" si="78"/>
        <v>040106202409</v>
      </c>
      <c r="U1470">
        <f t="shared" si="79"/>
        <v>0</v>
      </c>
    </row>
    <row r="1471" spans="1:21" x14ac:dyDescent="0.35">
      <c r="A1471">
        <v>2024</v>
      </c>
      <c r="B1471" s="9" t="s">
        <v>98</v>
      </c>
      <c r="C1471" s="10" t="s">
        <v>125</v>
      </c>
      <c r="D1471">
        <v>202409</v>
      </c>
      <c r="E1471" s="11" t="s">
        <v>32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T1471" t="str">
        <f t="shared" si="78"/>
        <v>040108202409</v>
      </c>
      <c r="U1471">
        <f t="shared" si="79"/>
        <v>0</v>
      </c>
    </row>
    <row r="1472" spans="1:21" x14ac:dyDescent="0.35">
      <c r="A1472">
        <v>2024</v>
      </c>
      <c r="B1472" s="9" t="s">
        <v>98</v>
      </c>
      <c r="C1472" s="10" t="s">
        <v>125</v>
      </c>
      <c r="D1472">
        <v>202409</v>
      </c>
      <c r="E1472" s="11" t="s">
        <v>33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T1472" t="str">
        <f t="shared" si="78"/>
        <v>040110202409</v>
      </c>
      <c r="U1472">
        <f t="shared" si="79"/>
        <v>0</v>
      </c>
    </row>
    <row r="1473" spans="1:21" x14ac:dyDescent="0.35">
      <c r="A1473">
        <v>2024</v>
      </c>
      <c r="B1473" s="9" t="s">
        <v>98</v>
      </c>
      <c r="C1473" s="10" t="s">
        <v>125</v>
      </c>
      <c r="D1473">
        <v>202409</v>
      </c>
      <c r="E1473" s="11" t="s">
        <v>34</v>
      </c>
      <c r="F1473">
        <v>0</v>
      </c>
      <c r="G1473">
        <v>0</v>
      </c>
      <c r="H1473">
        <v>0</v>
      </c>
      <c r="I1473">
        <v>0</v>
      </c>
      <c r="J1473">
        <v>2.7792300000000002E-3</v>
      </c>
      <c r="K1473">
        <v>0</v>
      </c>
      <c r="L1473">
        <v>8.2132144999999994</v>
      </c>
      <c r="M1473">
        <v>8.2132144999999994</v>
      </c>
      <c r="N1473">
        <v>0</v>
      </c>
      <c r="O1473">
        <v>0</v>
      </c>
      <c r="P1473">
        <v>0</v>
      </c>
      <c r="Q1473">
        <v>0</v>
      </c>
      <c r="R1473">
        <v>0</v>
      </c>
      <c r="T1473" t="str">
        <f t="shared" si="78"/>
        <v>040112202409</v>
      </c>
      <c r="U1473">
        <f t="shared" si="79"/>
        <v>2.7792300000000002E-3</v>
      </c>
    </row>
    <row r="1474" spans="1:21" x14ac:dyDescent="0.35">
      <c r="A1474">
        <v>2024</v>
      </c>
      <c r="B1474" s="9" t="s">
        <v>98</v>
      </c>
      <c r="C1474" s="10" t="s">
        <v>125</v>
      </c>
      <c r="D1474">
        <v>202409</v>
      </c>
      <c r="E1474" s="11" t="s">
        <v>35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T1474" t="str">
        <f t="shared" si="78"/>
        <v>040113202409</v>
      </c>
      <c r="U1474">
        <f t="shared" si="79"/>
        <v>0</v>
      </c>
    </row>
    <row r="1475" spans="1:21" x14ac:dyDescent="0.35">
      <c r="A1475">
        <v>2024</v>
      </c>
      <c r="B1475" s="9" t="s">
        <v>98</v>
      </c>
      <c r="C1475" s="10" t="s">
        <v>125</v>
      </c>
      <c r="D1475">
        <v>202409</v>
      </c>
      <c r="E1475" s="11" t="s">
        <v>37</v>
      </c>
      <c r="F1475">
        <v>0</v>
      </c>
      <c r="G1475">
        <v>0</v>
      </c>
      <c r="H1475">
        <v>0</v>
      </c>
      <c r="I1475">
        <v>705.47497339999995</v>
      </c>
      <c r="J1475">
        <v>6.9398000000000003E-3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T1475" t="str">
        <f t="shared" si="78"/>
        <v>040127202409</v>
      </c>
      <c r="U1475">
        <f t="shared" si="79"/>
        <v>705.48191320000001</v>
      </c>
    </row>
    <row r="1476" spans="1:21" x14ac:dyDescent="0.35">
      <c r="A1476">
        <v>2024</v>
      </c>
      <c r="B1476" s="9" t="s">
        <v>98</v>
      </c>
      <c r="C1476" s="10" t="s">
        <v>125</v>
      </c>
      <c r="D1476">
        <v>202409</v>
      </c>
      <c r="E1476" s="11" t="s">
        <v>38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T1476" t="str">
        <f t="shared" si="78"/>
        <v>040128202409</v>
      </c>
      <c r="U1476">
        <f t="shared" si="79"/>
        <v>0</v>
      </c>
    </row>
    <row r="1477" spans="1:21" x14ac:dyDescent="0.35">
      <c r="A1477">
        <v>2024</v>
      </c>
      <c r="B1477" s="9" t="s">
        <v>98</v>
      </c>
      <c r="C1477" s="10" t="s">
        <v>125</v>
      </c>
      <c r="D1477">
        <v>202409</v>
      </c>
      <c r="E1477" s="11" t="s">
        <v>39</v>
      </c>
      <c r="F1477">
        <v>0</v>
      </c>
      <c r="G1477">
        <v>0</v>
      </c>
      <c r="H1477">
        <v>0</v>
      </c>
      <c r="I1477">
        <v>280.88115800000003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8.6126039999999993</v>
      </c>
      <c r="Q1477">
        <v>0</v>
      </c>
      <c r="R1477">
        <v>0</v>
      </c>
      <c r="T1477" t="str">
        <f t="shared" si="78"/>
        <v>040130202409</v>
      </c>
      <c r="U1477">
        <f t="shared" si="79"/>
        <v>280.88115800000003</v>
      </c>
    </row>
    <row r="1478" spans="1:21" x14ac:dyDescent="0.35">
      <c r="A1478">
        <v>2024</v>
      </c>
      <c r="B1478" s="9" t="s">
        <v>98</v>
      </c>
      <c r="C1478" s="10" t="s">
        <v>125</v>
      </c>
      <c r="D1478">
        <v>202409</v>
      </c>
      <c r="E1478" s="11" t="s">
        <v>40</v>
      </c>
      <c r="F1478">
        <v>11.698504</v>
      </c>
      <c r="G1478">
        <v>11.698504</v>
      </c>
      <c r="H1478">
        <v>0</v>
      </c>
      <c r="I1478">
        <v>2.7533999999999999E-2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T1478" t="str">
        <f t="shared" si="78"/>
        <v>040132202409</v>
      </c>
      <c r="U1478">
        <f t="shared" si="79"/>
        <v>11.726037999999999</v>
      </c>
    </row>
    <row r="1479" spans="1:21" x14ac:dyDescent="0.35">
      <c r="A1479">
        <v>2024</v>
      </c>
      <c r="B1479" s="9" t="s">
        <v>98</v>
      </c>
      <c r="C1479" s="10" t="s">
        <v>125</v>
      </c>
      <c r="D1479">
        <v>202409</v>
      </c>
      <c r="E1479" s="11" t="s">
        <v>41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T1479" t="str">
        <f t="shared" si="78"/>
        <v>040133202409</v>
      </c>
      <c r="U1479">
        <f t="shared" si="79"/>
        <v>0</v>
      </c>
    </row>
    <row r="1480" spans="1:21" x14ac:dyDescent="0.35">
      <c r="A1480">
        <v>2024</v>
      </c>
      <c r="B1480" s="9" t="s">
        <v>98</v>
      </c>
      <c r="C1480" s="10" t="s">
        <v>125</v>
      </c>
      <c r="D1480">
        <v>202409</v>
      </c>
      <c r="E1480" s="11" t="s">
        <v>42</v>
      </c>
      <c r="F1480">
        <v>8.0556339999999995</v>
      </c>
      <c r="G1480">
        <v>8.0556339999999995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T1480" t="str">
        <f t="shared" si="78"/>
        <v>040136202409</v>
      </c>
      <c r="U1480">
        <f t="shared" si="79"/>
        <v>8.0556339999999995</v>
      </c>
    </row>
    <row r="1481" spans="1:21" x14ac:dyDescent="0.35">
      <c r="A1481">
        <v>2024</v>
      </c>
      <c r="B1481" s="9" t="s">
        <v>98</v>
      </c>
      <c r="C1481" s="10" t="s">
        <v>125</v>
      </c>
      <c r="D1481">
        <v>202409</v>
      </c>
      <c r="E1481" s="11" t="s">
        <v>43</v>
      </c>
      <c r="F1481">
        <v>0</v>
      </c>
      <c r="G1481">
        <v>0</v>
      </c>
      <c r="H1481">
        <v>0</v>
      </c>
      <c r="I1481">
        <v>15.52989316</v>
      </c>
      <c r="J1481">
        <v>0.86237368000000003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T1481" t="str">
        <f t="shared" si="78"/>
        <v>040137202409</v>
      </c>
      <c r="U1481">
        <f t="shared" si="79"/>
        <v>16.392266840000001</v>
      </c>
    </row>
    <row r="1482" spans="1:21" x14ac:dyDescent="0.35">
      <c r="A1482">
        <v>2024</v>
      </c>
      <c r="B1482" s="9" t="s">
        <v>98</v>
      </c>
      <c r="C1482" s="10" t="s">
        <v>125</v>
      </c>
      <c r="D1482">
        <v>202409</v>
      </c>
      <c r="E1482" s="11" t="s">
        <v>44</v>
      </c>
      <c r="F1482">
        <v>0</v>
      </c>
      <c r="G1482">
        <v>0</v>
      </c>
      <c r="H1482">
        <v>0</v>
      </c>
      <c r="I1482">
        <v>9.80152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0.12810099999999999</v>
      </c>
      <c r="Q1482">
        <v>0</v>
      </c>
      <c r="R1482">
        <v>0</v>
      </c>
      <c r="T1482" t="str">
        <f t="shared" si="78"/>
        <v>040138202409</v>
      </c>
      <c r="U1482">
        <f t="shared" si="79"/>
        <v>9.80152</v>
      </c>
    </row>
    <row r="1483" spans="1:21" x14ac:dyDescent="0.35">
      <c r="A1483">
        <v>2024</v>
      </c>
      <c r="B1483" s="9" t="s">
        <v>98</v>
      </c>
      <c r="C1483" s="10" t="s">
        <v>125</v>
      </c>
      <c r="D1483">
        <v>202409</v>
      </c>
      <c r="E1483" s="11" t="s">
        <v>45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T1483" t="str">
        <f t="shared" si="78"/>
        <v>040139202409</v>
      </c>
      <c r="U1483">
        <f t="shared" si="79"/>
        <v>0</v>
      </c>
    </row>
    <row r="1484" spans="1:21" x14ac:dyDescent="0.35">
      <c r="A1484">
        <v>2024</v>
      </c>
      <c r="B1484" s="9" t="s">
        <v>98</v>
      </c>
      <c r="C1484" s="10" t="s">
        <v>125</v>
      </c>
      <c r="D1484">
        <v>202409</v>
      </c>
      <c r="E1484" s="11" t="s">
        <v>46</v>
      </c>
      <c r="F1484">
        <v>0</v>
      </c>
      <c r="G1484">
        <v>0</v>
      </c>
      <c r="H1484">
        <v>0</v>
      </c>
      <c r="I1484">
        <v>33.029311999999997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T1484" t="str">
        <f t="shared" si="78"/>
        <v>040140202409</v>
      </c>
      <c r="U1484">
        <f t="shared" si="79"/>
        <v>33.029311999999997</v>
      </c>
    </row>
    <row r="1485" spans="1:21" x14ac:dyDescent="0.35">
      <c r="A1485">
        <v>2024</v>
      </c>
      <c r="B1485" s="9" t="s">
        <v>98</v>
      </c>
      <c r="C1485" s="10" t="s">
        <v>125</v>
      </c>
      <c r="D1485">
        <v>202409</v>
      </c>
      <c r="E1485" s="11" t="s">
        <v>47</v>
      </c>
      <c r="F1485">
        <v>0</v>
      </c>
      <c r="G1485">
        <v>0</v>
      </c>
      <c r="H1485">
        <v>0</v>
      </c>
      <c r="I1485">
        <v>8.4539000000000003E-2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T1485" t="str">
        <f t="shared" si="78"/>
        <v>040141202409</v>
      </c>
      <c r="U1485">
        <f t="shared" si="79"/>
        <v>8.4539000000000003E-2</v>
      </c>
    </row>
    <row r="1486" spans="1:21" x14ac:dyDescent="0.35">
      <c r="A1486">
        <v>2024</v>
      </c>
      <c r="B1486" s="9" t="s">
        <v>98</v>
      </c>
      <c r="C1486" s="10" t="s">
        <v>125</v>
      </c>
      <c r="D1486">
        <v>202409</v>
      </c>
      <c r="E1486" s="11" t="s">
        <v>48</v>
      </c>
      <c r="F1486">
        <v>3.8025876699999999</v>
      </c>
      <c r="G1486">
        <v>2.8547153299999999</v>
      </c>
      <c r="H1486">
        <v>0.94787233999999998</v>
      </c>
      <c r="I1486">
        <v>4.5159093200000004</v>
      </c>
      <c r="J1486">
        <v>8.4584211499999995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4.0665687100000003</v>
      </c>
      <c r="Q1486">
        <v>4.4558529999999999E-2</v>
      </c>
      <c r="R1486">
        <v>0</v>
      </c>
      <c r="T1486" t="str">
        <f t="shared" si="78"/>
        <v>040143202409</v>
      </c>
      <c r="U1486">
        <f t="shared" si="79"/>
        <v>16.776918139999999</v>
      </c>
    </row>
    <row r="1487" spans="1:21" x14ac:dyDescent="0.35">
      <c r="A1487">
        <v>2024</v>
      </c>
      <c r="B1487" s="9" t="s">
        <v>98</v>
      </c>
      <c r="C1487" s="10" t="s">
        <v>125</v>
      </c>
      <c r="D1487">
        <v>202409</v>
      </c>
      <c r="E1487" s="11" t="s">
        <v>49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T1487" t="str">
        <f t="shared" si="78"/>
        <v>040145202409</v>
      </c>
      <c r="U1487">
        <f t="shared" si="79"/>
        <v>0</v>
      </c>
    </row>
    <row r="1488" spans="1:21" x14ac:dyDescent="0.35">
      <c r="A1488">
        <v>2024</v>
      </c>
      <c r="B1488" s="9" t="s">
        <v>98</v>
      </c>
      <c r="C1488" s="10" t="s">
        <v>125</v>
      </c>
      <c r="D1488">
        <v>202409</v>
      </c>
      <c r="E1488" s="11" t="s">
        <v>50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T1488" t="str">
        <f t="shared" si="78"/>
        <v>040147202409</v>
      </c>
      <c r="U1488">
        <f t="shared" si="79"/>
        <v>0</v>
      </c>
    </row>
    <row r="1489" spans="1:21" x14ac:dyDescent="0.35">
      <c r="A1489">
        <v>2024</v>
      </c>
      <c r="B1489" s="9" t="s">
        <v>98</v>
      </c>
      <c r="C1489" s="10" t="s">
        <v>125</v>
      </c>
      <c r="D1489">
        <v>202409</v>
      </c>
      <c r="E1489" s="11" t="s">
        <v>51</v>
      </c>
      <c r="F1489">
        <v>0</v>
      </c>
      <c r="G1489">
        <v>0</v>
      </c>
      <c r="H1489">
        <v>0</v>
      </c>
      <c r="I1489">
        <v>4.6343750000000004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T1489" t="str">
        <f t="shared" si="78"/>
        <v>040149202409</v>
      </c>
      <c r="U1489">
        <f t="shared" si="79"/>
        <v>4.6343750000000004</v>
      </c>
    </row>
    <row r="1490" spans="1:21" x14ac:dyDescent="0.35">
      <c r="A1490">
        <v>2024</v>
      </c>
      <c r="B1490" s="9" t="s">
        <v>98</v>
      </c>
      <c r="C1490" s="10" t="s">
        <v>125</v>
      </c>
      <c r="D1490">
        <v>202409</v>
      </c>
      <c r="E1490" s="11" t="s">
        <v>52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T1490" t="str">
        <f t="shared" si="78"/>
        <v>040150202409</v>
      </c>
      <c r="U1490">
        <f t="shared" si="79"/>
        <v>0</v>
      </c>
    </row>
    <row r="1491" spans="1:21" x14ac:dyDescent="0.35">
      <c r="A1491">
        <v>2024</v>
      </c>
      <c r="B1491" s="9" t="s">
        <v>98</v>
      </c>
      <c r="C1491" s="10" t="s">
        <v>125</v>
      </c>
      <c r="D1491">
        <v>202409</v>
      </c>
      <c r="E1491" s="11" t="s">
        <v>53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T1491" t="str">
        <f t="shared" si="78"/>
        <v>040151202409</v>
      </c>
      <c r="U1491">
        <f t="shared" si="79"/>
        <v>0</v>
      </c>
    </row>
    <row r="1492" spans="1:21" x14ac:dyDescent="0.35">
      <c r="A1492">
        <v>2024</v>
      </c>
      <c r="B1492" s="9" t="s">
        <v>98</v>
      </c>
      <c r="C1492" s="10" t="s">
        <v>125</v>
      </c>
      <c r="D1492">
        <v>202409</v>
      </c>
      <c r="E1492" s="11" t="s">
        <v>54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T1492" t="str">
        <f t="shared" si="78"/>
        <v>040152202409</v>
      </c>
      <c r="U1492">
        <f t="shared" si="79"/>
        <v>0</v>
      </c>
    </row>
    <row r="1493" spans="1:21" x14ac:dyDescent="0.35">
      <c r="A1493">
        <v>2024</v>
      </c>
      <c r="B1493" s="9" t="s">
        <v>98</v>
      </c>
      <c r="C1493" s="10" t="s">
        <v>125</v>
      </c>
      <c r="D1493">
        <v>202409</v>
      </c>
      <c r="E1493" s="11" t="s">
        <v>55</v>
      </c>
      <c r="F1493">
        <v>20.9742064</v>
      </c>
      <c r="G1493">
        <v>20.9742064</v>
      </c>
      <c r="H1493">
        <v>0</v>
      </c>
      <c r="I1493">
        <v>0</v>
      </c>
      <c r="J1493">
        <v>0</v>
      </c>
      <c r="K1493">
        <v>0</v>
      </c>
      <c r="L1493">
        <v>5.587599E-2</v>
      </c>
      <c r="M1493">
        <v>5.587599E-2</v>
      </c>
      <c r="N1493">
        <v>0</v>
      </c>
      <c r="O1493">
        <v>0</v>
      </c>
      <c r="P1493">
        <v>0</v>
      </c>
      <c r="Q1493">
        <v>0</v>
      </c>
      <c r="R1493">
        <v>0</v>
      </c>
      <c r="T1493" t="str">
        <f t="shared" si="78"/>
        <v>040154202409</v>
      </c>
      <c r="U1493">
        <f t="shared" si="79"/>
        <v>20.9742064</v>
      </c>
    </row>
    <row r="1494" spans="1:21" x14ac:dyDescent="0.35">
      <c r="A1494">
        <v>2024</v>
      </c>
      <c r="B1494" s="9" t="s">
        <v>98</v>
      </c>
      <c r="C1494" s="10" t="s">
        <v>125</v>
      </c>
      <c r="D1494">
        <v>202409</v>
      </c>
      <c r="E1494" s="11" t="s">
        <v>56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T1494" t="str">
        <f t="shared" si="78"/>
        <v>040155202409</v>
      </c>
      <c r="U1494">
        <f t="shared" si="79"/>
        <v>0</v>
      </c>
    </row>
    <row r="1495" spans="1:21" x14ac:dyDescent="0.35">
      <c r="A1495">
        <v>2024</v>
      </c>
      <c r="B1495" s="9" t="s">
        <v>98</v>
      </c>
      <c r="C1495" s="10" t="s">
        <v>125</v>
      </c>
      <c r="D1495">
        <v>202409</v>
      </c>
      <c r="E1495" s="11" t="s">
        <v>57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T1495" t="str">
        <f t="shared" si="78"/>
        <v>040156202409</v>
      </c>
      <c r="U1495">
        <f t="shared" si="79"/>
        <v>0</v>
      </c>
    </row>
    <row r="1496" spans="1:21" x14ac:dyDescent="0.35">
      <c r="A1496">
        <v>2024</v>
      </c>
      <c r="B1496" s="9" t="s">
        <v>98</v>
      </c>
      <c r="C1496" s="10" t="s">
        <v>125</v>
      </c>
      <c r="D1496">
        <v>202409</v>
      </c>
      <c r="E1496" s="11" t="s">
        <v>58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T1496" t="str">
        <f t="shared" si="78"/>
        <v>040157202409</v>
      </c>
      <c r="U1496">
        <f t="shared" si="79"/>
        <v>0</v>
      </c>
    </row>
    <row r="1497" spans="1:21" x14ac:dyDescent="0.35">
      <c r="A1497">
        <v>2024</v>
      </c>
      <c r="B1497" s="9" t="s">
        <v>98</v>
      </c>
      <c r="C1497" s="10" t="s">
        <v>125</v>
      </c>
      <c r="D1497">
        <v>202409</v>
      </c>
      <c r="E1497" s="11" t="s">
        <v>59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T1497" t="str">
        <f t="shared" si="78"/>
        <v>040158202409</v>
      </c>
      <c r="U1497">
        <f t="shared" si="79"/>
        <v>0</v>
      </c>
    </row>
    <row r="1498" spans="1:21" x14ac:dyDescent="0.35">
      <c r="A1498">
        <v>2024</v>
      </c>
      <c r="B1498" s="9" t="s">
        <v>98</v>
      </c>
      <c r="C1498" s="10" t="s">
        <v>125</v>
      </c>
      <c r="D1498">
        <v>202409</v>
      </c>
      <c r="E1498" s="11" t="s">
        <v>60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T1498" t="str">
        <f t="shared" si="78"/>
        <v>040159202409</v>
      </c>
      <c r="U1498">
        <f t="shared" si="79"/>
        <v>0</v>
      </c>
    </row>
    <row r="1499" spans="1:21" x14ac:dyDescent="0.35">
      <c r="A1499">
        <v>2024</v>
      </c>
      <c r="B1499" s="9" t="s">
        <v>98</v>
      </c>
      <c r="C1499" s="10" t="s">
        <v>125</v>
      </c>
      <c r="D1499">
        <v>202409</v>
      </c>
      <c r="E1499" s="11" t="s">
        <v>63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T1499" t="str">
        <f t="shared" si="78"/>
        <v>040160202409</v>
      </c>
      <c r="U1499">
        <f t="shared" si="79"/>
        <v>0</v>
      </c>
    </row>
    <row r="1500" spans="1:21" x14ac:dyDescent="0.35">
      <c r="A1500">
        <v>2024</v>
      </c>
      <c r="B1500" s="9" t="s">
        <v>98</v>
      </c>
      <c r="C1500" s="10" t="s">
        <v>125</v>
      </c>
      <c r="D1500">
        <v>202409</v>
      </c>
      <c r="E1500" s="11" t="s">
        <v>61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T1500" t="str">
        <f t="shared" si="78"/>
        <v>040162202409</v>
      </c>
      <c r="U1500">
        <f t="shared" si="79"/>
        <v>0</v>
      </c>
    </row>
    <row r="1501" spans="1:21" x14ac:dyDescent="0.35">
      <c r="A1501">
        <v>2024</v>
      </c>
      <c r="B1501" s="9" t="s">
        <v>98</v>
      </c>
      <c r="C1501" s="10" t="s">
        <v>125</v>
      </c>
      <c r="D1501">
        <v>202409</v>
      </c>
      <c r="E1501" s="11" t="s">
        <v>114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T1501" t="str">
        <f t="shared" si="78"/>
        <v>040165202409</v>
      </c>
      <c r="U1501">
        <f t="shared" si="79"/>
        <v>0</v>
      </c>
    </row>
    <row r="1502" spans="1:21" x14ac:dyDescent="0.35">
      <c r="A1502">
        <v>2024</v>
      </c>
      <c r="B1502" s="2">
        <v>10</v>
      </c>
      <c r="C1502" s="14">
        <v>45301</v>
      </c>
      <c r="D1502">
        <v>202410</v>
      </c>
      <c r="E1502" s="3">
        <v>5</v>
      </c>
      <c r="F1502">
        <v>1368.0353079700001</v>
      </c>
      <c r="G1502">
        <v>1366.57630191</v>
      </c>
      <c r="H1502">
        <v>1.4590060600000001</v>
      </c>
      <c r="I1502">
        <v>10207.261074139999</v>
      </c>
      <c r="J1502">
        <v>592.30338916999995</v>
      </c>
      <c r="K1502">
        <v>43.506250049999998</v>
      </c>
      <c r="L1502">
        <v>139.86182116000001</v>
      </c>
      <c r="M1502">
        <v>139.86035536000003</v>
      </c>
      <c r="N1502">
        <v>1.4658E-3</v>
      </c>
      <c r="O1502">
        <v>0</v>
      </c>
      <c r="P1502">
        <v>191.24532127000001</v>
      </c>
      <c r="Q1502">
        <v>78.713583290000003</v>
      </c>
      <c r="R1502">
        <v>0</v>
      </c>
      <c r="T1502" t="str">
        <f t="shared" ref="T1502:T1509" si="80">+E1502&amp;D1502</f>
        <v>5202410</v>
      </c>
      <c r="U1502">
        <f t="shared" ref="U1502:U1509" si="81">+F1502+I1502+J1502</f>
        <v>12167.599771279998</v>
      </c>
    </row>
    <row r="1503" spans="1:21" x14ac:dyDescent="0.35">
      <c r="A1503">
        <v>2024</v>
      </c>
      <c r="B1503" s="2">
        <v>10</v>
      </c>
      <c r="C1503" s="14">
        <v>45301</v>
      </c>
      <c r="D1503">
        <v>202410</v>
      </c>
      <c r="E1503" s="3" t="s">
        <v>19</v>
      </c>
      <c r="F1503">
        <v>46.747991310000003</v>
      </c>
      <c r="G1503">
        <v>46.747991310000003</v>
      </c>
      <c r="H1503">
        <v>0</v>
      </c>
      <c r="I1503">
        <v>354.93219520999997</v>
      </c>
      <c r="J1503">
        <v>61.534230790000002</v>
      </c>
      <c r="K1503">
        <v>43.506250049999998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T1503" t="str">
        <f t="shared" si="80"/>
        <v>040002202410</v>
      </c>
      <c r="U1503">
        <f t="shared" si="81"/>
        <v>463.21441730999999</v>
      </c>
    </row>
    <row r="1504" spans="1:21" x14ac:dyDescent="0.35">
      <c r="A1504">
        <v>2024</v>
      </c>
      <c r="B1504" s="2">
        <v>10</v>
      </c>
      <c r="C1504" s="14">
        <v>45301</v>
      </c>
      <c r="D1504">
        <v>202410</v>
      </c>
      <c r="E1504" s="3" t="s">
        <v>20</v>
      </c>
      <c r="F1504">
        <v>345.645129</v>
      </c>
      <c r="G1504">
        <v>345.645129</v>
      </c>
      <c r="H1504">
        <v>0</v>
      </c>
      <c r="I1504">
        <v>3935.5063100000002</v>
      </c>
      <c r="J1504">
        <v>168.55940799999999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T1504" t="str">
        <f t="shared" si="80"/>
        <v>040012202410</v>
      </c>
      <c r="U1504">
        <f t="shared" si="81"/>
        <v>4449.7108470000003</v>
      </c>
    </row>
    <row r="1505" spans="1:21" x14ac:dyDescent="0.35">
      <c r="A1505">
        <v>2024</v>
      </c>
      <c r="B1505" s="2">
        <v>10</v>
      </c>
      <c r="C1505" s="14">
        <v>45301</v>
      </c>
      <c r="D1505">
        <v>202410</v>
      </c>
      <c r="E1505" s="3" t="s">
        <v>21</v>
      </c>
      <c r="F1505">
        <v>622.86994600000003</v>
      </c>
      <c r="G1505">
        <v>622.86994600000003</v>
      </c>
      <c r="H1505">
        <v>0</v>
      </c>
      <c r="I1505">
        <v>1618.4464069999999</v>
      </c>
      <c r="J1505">
        <v>129.20767599999999</v>
      </c>
      <c r="K1505">
        <v>0</v>
      </c>
      <c r="L1505">
        <v>21.433191999999998</v>
      </c>
      <c r="M1505">
        <v>21.433191999999998</v>
      </c>
      <c r="N1505">
        <v>0</v>
      </c>
      <c r="O1505">
        <v>0</v>
      </c>
      <c r="P1505">
        <v>32.973441000000001</v>
      </c>
      <c r="Q1505">
        <v>11.372202</v>
      </c>
      <c r="R1505">
        <v>0</v>
      </c>
      <c r="T1505" t="str">
        <f t="shared" si="80"/>
        <v>040014202410</v>
      </c>
      <c r="U1505">
        <f t="shared" si="81"/>
        <v>2370.5240290000002</v>
      </c>
    </row>
    <row r="1506" spans="1:21" x14ac:dyDescent="0.35">
      <c r="A1506">
        <v>2024</v>
      </c>
      <c r="B1506" s="2">
        <v>10</v>
      </c>
      <c r="C1506" s="14">
        <v>45301</v>
      </c>
      <c r="D1506">
        <v>202410</v>
      </c>
      <c r="E1506" s="3" t="s">
        <v>22</v>
      </c>
      <c r="F1506">
        <v>118.333258</v>
      </c>
      <c r="G1506">
        <v>118.332178</v>
      </c>
      <c r="H1506">
        <v>1.08E-3</v>
      </c>
      <c r="I1506">
        <v>976.14437699999996</v>
      </c>
      <c r="J1506">
        <v>38.515272000000003</v>
      </c>
      <c r="K1506">
        <v>0</v>
      </c>
      <c r="L1506">
        <v>9.1558679999999999</v>
      </c>
      <c r="M1506">
        <v>9.1558679999999999</v>
      </c>
      <c r="N1506">
        <v>0</v>
      </c>
      <c r="O1506">
        <v>0</v>
      </c>
      <c r="P1506">
        <v>39.501359000000001</v>
      </c>
      <c r="Q1506">
        <v>27.586465</v>
      </c>
      <c r="R1506">
        <v>0</v>
      </c>
      <c r="T1506" t="str">
        <f t="shared" si="80"/>
        <v>040021202410</v>
      </c>
      <c r="U1506">
        <f t="shared" si="81"/>
        <v>1132.9929070000001</v>
      </c>
    </row>
    <row r="1507" spans="1:21" x14ac:dyDescent="0.35">
      <c r="A1507">
        <v>2024</v>
      </c>
      <c r="B1507" s="2">
        <v>10</v>
      </c>
      <c r="C1507" s="14">
        <v>45301</v>
      </c>
      <c r="D1507">
        <v>202410</v>
      </c>
      <c r="E1507" s="3" t="s">
        <v>23</v>
      </c>
      <c r="F1507">
        <v>56.458512409999997</v>
      </c>
      <c r="G1507">
        <v>56.458512409999997</v>
      </c>
      <c r="H1507">
        <v>0</v>
      </c>
      <c r="I1507">
        <v>52.192904579999997</v>
      </c>
      <c r="J1507">
        <v>7.8310820799999998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0.71320746999999995</v>
      </c>
      <c r="R1507">
        <v>0</v>
      </c>
      <c r="T1507" t="str">
        <f t="shared" si="80"/>
        <v>040030202410</v>
      </c>
      <c r="U1507">
        <f t="shared" si="81"/>
        <v>116.48249907</v>
      </c>
    </row>
    <row r="1508" spans="1:21" x14ac:dyDescent="0.35">
      <c r="A1508">
        <v>2024</v>
      </c>
      <c r="B1508" s="2">
        <v>10</v>
      </c>
      <c r="C1508" s="14">
        <v>45301</v>
      </c>
      <c r="D1508">
        <v>202410</v>
      </c>
      <c r="E1508" s="3" t="s">
        <v>24</v>
      </c>
      <c r="F1508">
        <v>0</v>
      </c>
      <c r="G1508">
        <v>0</v>
      </c>
      <c r="H1508">
        <v>0</v>
      </c>
      <c r="I1508">
        <v>11.003405000000001</v>
      </c>
      <c r="J1508">
        <v>3.1799999999999998E-4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T1508" t="str">
        <f t="shared" si="80"/>
        <v>040036202410</v>
      </c>
      <c r="U1508">
        <f t="shared" si="81"/>
        <v>11.003723000000001</v>
      </c>
    </row>
    <row r="1509" spans="1:21" x14ac:dyDescent="0.35">
      <c r="A1509">
        <v>2024</v>
      </c>
      <c r="B1509" s="2">
        <v>10</v>
      </c>
      <c r="C1509" s="14">
        <v>45301</v>
      </c>
      <c r="D1509">
        <v>202410</v>
      </c>
      <c r="E1509" s="3" t="s">
        <v>25</v>
      </c>
      <c r="F1509">
        <v>21.383555000000001</v>
      </c>
      <c r="G1509">
        <v>21.383555000000001</v>
      </c>
      <c r="H1509">
        <v>0</v>
      </c>
      <c r="I1509">
        <v>2.3763209999999999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T1509" t="str">
        <f t="shared" si="80"/>
        <v>040042202410</v>
      </c>
      <c r="U1509">
        <f t="shared" si="81"/>
        <v>23.759876000000002</v>
      </c>
    </row>
    <row r="1510" spans="1:21" x14ac:dyDescent="0.35">
      <c r="A1510">
        <v>2024</v>
      </c>
      <c r="B1510" s="2">
        <v>10</v>
      </c>
      <c r="C1510" s="14">
        <v>45301</v>
      </c>
      <c r="D1510">
        <v>202410</v>
      </c>
      <c r="E1510" s="3" t="s">
        <v>26</v>
      </c>
      <c r="F1510">
        <v>1.406358</v>
      </c>
      <c r="G1510">
        <v>1.406358</v>
      </c>
      <c r="H1510">
        <v>0</v>
      </c>
      <c r="I1510">
        <v>218.742895</v>
      </c>
      <c r="J1510">
        <v>5.9418730000000002</v>
      </c>
      <c r="K1510">
        <v>0</v>
      </c>
      <c r="L1510">
        <v>77.628260999999995</v>
      </c>
      <c r="M1510">
        <v>77.628260999999995</v>
      </c>
      <c r="N1510">
        <v>0</v>
      </c>
      <c r="O1510">
        <v>0</v>
      </c>
      <c r="P1510">
        <v>26.100919000000001</v>
      </c>
      <c r="Q1510">
        <v>27.187488999999999</v>
      </c>
      <c r="R1510">
        <v>0</v>
      </c>
      <c r="T1510" t="str">
        <f t="shared" ref="T1510:T1547" si="82">+E1510&amp;D1510</f>
        <v>040044202410</v>
      </c>
      <c r="U1510">
        <f t="shared" ref="U1510:U1547" si="83">+F1510+I1510+J1510</f>
        <v>226.091126</v>
      </c>
    </row>
    <row r="1511" spans="1:21" x14ac:dyDescent="0.35">
      <c r="A1511">
        <v>2024</v>
      </c>
      <c r="B1511" s="2">
        <v>10</v>
      </c>
      <c r="C1511" s="14">
        <v>45301</v>
      </c>
      <c r="D1511">
        <v>202410</v>
      </c>
      <c r="E1511" s="3" t="s">
        <v>27</v>
      </c>
      <c r="F1511">
        <v>24.80574794</v>
      </c>
      <c r="G1511">
        <v>24.80574794</v>
      </c>
      <c r="H1511">
        <v>0</v>
      </c>
      <c r="I1511">
        <v>44.155444150000001</v>
      </c>
      <c r="J1511">
        <v>5.4756432000000004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T1511" t="str">
        <f t="shared" si="82"/>
        <v>040058202410</v>
      </c>
      <c r="U1511">
        <f t="shared" si="83"/>
        <v>74.436835290000005</v>
      </c>
    </row>
    <row r="1512" spans="1:21" x14ac:dyDescent="0.35">
      <c r="A1512">
        <v>2024</v>
      </c>
      <c r="B1512" s="2">
        <v>10</v>
      </c>
      <c r="C1512" s="14">
        <v>45301</v>
      </c>
      <c r="D1512">
        <v>202410</v>
      </c>
      <c r="E1512" s="3" t="s">
        <v>28</v>
      </c>
      <c r="F1512">
        <v>0</v>
      </c>
      <c r="G1512">
        <v>0</v>
      </c>
      <c r="H1512">
        <v>0</v>
      </c>
      <c r="I1512">
        <v>204.37579700000001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T1512" t="str">
        <f t="shared" si="82"/>
        <v>040059202410</v>
      </c>
      <c r="U1512">
        <f t="shared" si="83"/>
        <v>204.37579700000001</v>
      </c>
    </row>
    <row r="1513" spans="1:21" x14ac:dyDescent="0.35">
      <c r="A1513">
        <v>2024</v>
      </c>
      <c r="B1513" s="2">
        <v>10</v>
      </c>
      <c r="C1513" s="14">
        <v>45301</v>
      </c>
      <c r="D1513">
        <v>202410</v>
      </c>
      <c r="E1513" s="3" t="s">
        <v>62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T1513" t="str">
        <f t="shared" si="82"/>
        <v>040060202410</v>
      </c>
      <c r="U1513">
        <f t="shared" si="83"/>
        <v>0</v>
      </c>
    </row>
    <row r="1514" spans="1:21" x14ac:dyDescent="0.35">
      <c r="A1514">
        <v>2024</v>
      </c>
      <c r="B1514" s="2">
        <v>10</v>
      </c>
      <c r="C1514" s="14">
        <v>45301</v>
      </c>
      <c r="D1514">
        <v>202410</v>
      </c>
      <c r="E1514" s="3" t="s">
        <v>29</v>
      </c>
      <c r="F1514">
        <v>1.5839190000000001</v>
      </c>
      <c r="G1514">
        <v>1.5839190000000001</v>
      </c>
      <c r="H1514">
        <v>0</v>
      </c>
      <c r="I1514">
        <v>107.774236</v>
      </c>
      <c r="J1514">
        <v>3.7997999999999997E-2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T1514" t="str">
        <f t="shared" si="82"/>
        <v>040062202410</v>
      </c>
      <c r="U1514">
        <f t="shared" si="83"/>
        <v>109.396153</v>
      </c>
    </row>
    <row r="1515" spans="1:21" x14ac:dyDescent="0.35">
      <c r="A1515">
        <v>2024</v>
      </c>
      <c r="B1515" s="2">
        <v>10</v>
      </c>
      <c r="C1515" s="14">
        <v>45301</v>
      </c>
      <c r="D1515">
        <v>202410</v>
      </c>
      <c r="E1515" s="3" t="s">
        <v>30</v>
      </c>
      <c r="F1515">
        <v>71.899552439999994</v>
      </c>
      <c r="G1515">
        <v>71.899552439999994</v>
      </c>
      <c r="H1515">
        <v>0</v>
      </c>
      <c r="I1515">
        <v>1214.80497089</v>
      </c>
      <c r="J1515">
        <v>173.66780090999998</v>
      </c>
      <c r="K1515">
        <v>0</v>
      </c>
      <c r="L1515">
        <v>30.771960750000002</v>
      </c>
      <c r="M1515">
        <v>30.771960750000002</v>
      </c>
      <c r="N1515">
        <v>0</v>
      </c>
      <c r="O1515">
        <v>0</v>
      </c>
      <c r="P1515">
        <v>74.724591920000009</v>
      </c>
      <c r="Q1515">
        <v>11.75448192</v>
      </c>
      <c r="R1515">
        <v>0</v>
      </c>
      <c r="T1515" t="str">
        <f t="shared" si="82"/>
        <v>040072202410</v>
      </c>
      <c r="U1515">
        <f t="shared" si="83"/>
        <v>1460.3723242400001</v>
      </c>
    </row>
    <row r="1516" spans="1:21" x14ac:dyDescent="0.35">
      <c r="A1516">
        <v>2024</v>
      </c>
      <c r="B1516" s="2">
        <v>10</v>
      </c>
      <c r="C1516" s="14">
        <v>45301</v>
      </c>
      <c r="D1516">
        <v>202410</v>
      </c>
      <c r="E1516" s="3" t="s">
        <v>31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T1516" t="str">
        <f t="shared" si="82"/>
        <v>040106202410</v>
      </c>
      <c r="U1516">
        <f t="shared" si="83"/>
        <v>0</v>
      </c>
    </row>
    <row r="1517" spans="1:21" x14ac:dyDescent="0.35">
      <c r="A1517">
        <v>2024</v>
      </c>
      <c r="B1517" s="2">
        <v>10</v>
      </c>
      <c r="C1517" s="14">
        <v>45301</v>
      </c>
      <c r="D1517">
        <v>202410</v>
      </c>
      <c r="E1517" s="3" t="s">
        <v>32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T1517" t="str">
        <f t="shared" si="82"/>
        <v>040108202410</v>
      </c>
      <c r="U1517">
        <f t="shared" si="83"/>
        <v>0</v>
      </c>
    </row>
    <row r="1518" spans="1:21" x14ac:dyDescent="0.35">
      <c r="A1518">
        <v>2024</v>
      </c>
      <c r="B1518" s="2">
        <v>10</v>
      </c>
      <c r="C1518" s="14">
        <v>45301</v>
      </c>
      <c r="D1518">
        <v>202410</v>
      </c>
      <c r="E1518" s="3" t="s">
        <v>33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T1518" t="str">
        <f t="shared" si="82"/>
        <v>040110202410</v>
      </c>
      <c r="U1518">
        <f t="shared" si="83"/>
        <v>0</v>
      </c>
    </row>
    <row r="1519" spans="1:21" x14ac:dyDescent="0.35">
      <c r="A1519">
        <v>2024</v>
      </c>
      <c r="B1519" s="2">
        <v>10</v>
      </c>
      <c r="C1519" s="14">
        <v>45301</v>
      </c>
      <c r="D1519">
        <v>202410</v>
      </c>
      <c r="E1519" s="3" t="s">
        <v>34</v>
      </c>
      <c r="F1519">
        <v>0.28483536999999998</v>
      </c>
      <c r="G1519">
        <v>0.28483536999999998</v>
      </c>
      <c r="H1519">
        <v>0</v>
      </c>
      <c r="I1519">
        <v>0</v>
      </c>
      <c r="J1519">
        <v>0.47234590000000004</v>
      </c>
      <c r="K1519">
        <v>0</v>
      </c>
      <c r="L1519">
        <v>0.16844314999999999</v>
      </c>
      <c r="M1519">
        <v>0.16697735</v>
      </c>
      <c r="N1519">
        <v>1.4658E-3</v>
      </c>
      <c r="O1519">
        <v>0</v>
      </c>
      <c r="P1519">
        <v>0</v>
      </c>
      <c r="Q1519">
        <v>0</v>
      </c>
      <c r="R1519">
        <v>0</v>
      </c>
      <c r="T1519" t="str">
        <f t="shared" si="82"/>
        <v>040112202410</v>
      </c>
      <c r="U1519">
        <f t="shared" si="83"/>
        <v>0.75718127000000002</v>
      </c>
    </row>
    <row r="1520" spans="1:21" x14ac:dyDescent="0.35">
      <c r="A1520">
        <v>2024</v>
      </c>
      <c r="B1520" s="2">
        <v>10</v>
      </c>
      <c r="C1520" s="14">
        <v>45301</v>
      </c>
      <c r="D1520">
        <v>202410</v>
      </c>
      <c r="E1520" s="3" t="s">
        <v>35</v>
      </c>
      <c r="F1520">
        <v>53.775671000000003</v>
      </c>
      <c r="G1520">
        <v>53.775671000000003</v>
      </c>
      <c r="H1520">
        <v>0</v>
      </c>
      <c r="I1520">
        <v>0</v>
      </c>
      <c r="J1520">
        <v>0</v>
      </c>
      <c r="K1520">
        <v>0</v>
      </c>
      <c r="L1520">
        <v>0.70319799999999999</v>
      </c>
      <c r="M1520">
        <v>0.70319799999999999</v>
      </c>
      <c r="N1520">
        <v>0</v>
      </c>
      <c r="O1520">
        <v>0</v>
      </c>
      <c r="P1520">
        <v>0</v>
      </c>
      <c r="Q1520">
        <v>0</v>
      </c>
      <c r="R1520">
        <v>0</v>
      </c>
      <c r="T1520" t="str">
        <f t="shared" si="82"/>
        <v>040113202410</v>
      </c>
      <c r="U1520">
        <f t="shared" si="83"/>
        <v>53.775671000000003</v>
      </c>
    </row>
    <row r="1521" spans="1:21" x14ac:dyDescent="0.35">
      <c r="A1521">
        <v>2024</v>
      </c>
      <c r="B1521" s="2">
        <v>10</v>
      </c>
      <c r="C1521" s="14">
        <v>45301</v>
      </c>
      <c r="D1521">
        <v>202410</v>
      </c>
      <c r="E1521" s="13" t="s">
        <v>37</v>
      </c>
      <c r="F1521">
        <v>0</v>
      </c>
      <c r="G1521">
        <v>0</v>
      </c>
      <c r="H1521">
        <v>0</v>
      </c>
      <c r="I1521">
        <v>1022.0802669</v>
      </c>
      <c r="J1521">
        <v>6.21413E-3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T1521" t="str">
        <f t="shared" si="82"/>
        <v>040127202410</v>
      </c>
      <c r="U1521">
        <f t="shared" si="83"/>
        <v>1022.08648103</v>
      </c>
    </row>
    <row r="1522" spans="1:21" x14ac:dyDescent="0.35">
      <c r="A1522">
        <v>2024</v>
      </c>
      <c r="B1522" s="2">
        <v>10</v>
      </c>
      <c r="C1522" s="14">
        <v>45301</v>
      </c>
      <c r="D1522">
        <v>202410</v>
      </c>
      <c r="E1522" s="3" t="s">
        <v>38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T1522" t="str">
        <f t="shared" si="82"/>
        <v>040128202410</v>
      </c>
      <c r="U1522">
        <f t="shared" si="83"/>
        <v>0</v>
      </c>
    </row>
    <row r="1523" spans="1:21" x14ac:dyDescent="0.35">
      <c r="A1523">
        <v>2024</v>
      </c>
      <c r="B1523" s="2">
        <v>10</v>
      </c>
      <c r="C1523" s="14">
        <v>45301</v>
      </c>
      <c r="D1523">
        <v>202410</v>
      </c>
      <c r="E1523" s="3" t="s">
        <v>39</v>
      </c>
      <c r="F1523">
        <v>0</v>
      </c>
      <c r="G1523">
        <v>0</v>
      </c>
      <c r="H1523">
        <v>0</v>
      </c>
      <c r="I1523">
        <v>360.67262799999997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12.713385000000001</v>
      </c>
      <c r="Q1523">
        <v>0</v>
      </c>
      <c r="R1523">
        <v>0</v>
      </c>
      <c r="T1523" t="str">
        <f t="shared" si="82"/>
        <v>040130202410</v>
      </c>
      <c r="U1523">
        <f t="shared" si="83"/>
        <v>360.67262799999997</v>
      </c>
    </row>
    <row r="1524" spans="1:21" x14ac:dyDescent="0.35">
      <c r="A1524">
        <v>2024</v>
      </c>
      <c r="B1524" s="2">
        <v>10</v>
      </c>
      <c r="C1524" s="14">
        <v>45301</v>
      </c>
      <c r="D1524">
        <v>202410</v>
      </c>
      <c r="E1524" s="3" t="s">
        <v>40</v>
      </c>
      <c r="F1524">
        <v>0</v>
      </c>
      <c r="G1524">
        <v>0</v>
      </c>
      <c r="H1524">
        <v>0</v>
      </c>
      <c r="I1524">
        <v>0.481435</v>
      </c>
      <c r="J1524">
        <v>0.49581500000000001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T1524" t="str">
        <f t="shared" si="82"/>
        <v>040132202410</v>
      </c>
      <c r="U1524">
        <f t="shared" si="83"/>
        <v>0.97724999999999995</v>
      </c>
    </row>
    <row r="1525" spans="1:21" x14ac:dyDescent="0.35">
      <c r="A1525">
        <v>2024</v>
      </c>
      <c r="B1525" s="2">
        <v>10</v>
      </c>
      <c r="C1525" s="14">
        <v>45301</v>
      </c>
      <c r="D1525">
        <v>202410</v>
      </c>
      <c r="E1525" s="3" t="s">
        <v>41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T1525" t="str">
        <f t="shared" si="82"/>
        <v>040133202410</v>
      </c>
      <c r="U1525">
        <f t="shared" si="83"/>
        <v>0</v>
      </c>
    </row>
    <row r="1526" spans="1:21" x14ac:dyDescent="0.35">
      <c r="A1526">
        <v>2024</v>
      </c>
      <c r="B1526" s="2">
        <v>10</v>
      </c>
      <c r="C1526" s="14">
        <v>45301</v>
      </c>
      <c r="D1526">
        <v>202410</v>
      </c>
      <c r="E1526" s="3" t="s">
        <v>42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T1526" t="str">
        <f t="shared" si="82"/>
        <v>040136202410</v>
      </c>
      <c r="U1526">
        <f t="shared" si="83"/>
        <v>0</v>
      </c>
    </row>
    <row r="1527" spans="1:21" x14ac:dyDescent="0.35">
      <c r="A1527">
        <v>2024</v>
      </c>
      <c r="B1527" s="2">
        <v>10</v>
      </c>
      <c r="C1527" s="14">
        <v>45301</v>
      </c>
      <c r="D1527">
        <v>202410</v>
      </c>
      <c r="E1527" s="3" t="s">
        <v>43</v>
      </c>
      <c r="F1527">
        <v>0</v>
      </c>
      <c r="G1527">
        <v>0</v>
      </c>
      <c r="H1527">
        <v>0</v>
      </c>
      <c r="I1527">
        <v>18.88210716</v>
      </c>
      <c r="J1527">
        <v>0.50183617999999997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T1527" t="str">
        <f t="shared" si="82"/>
        <v>040137202410</v>
      </c>
      <c r="U1527">
        <f t="shared" si="83"/>
        <v>19.383943340000002</v>
      </c>
    </row>
    <row r="1528" spans="1:21" x14ac:dyDescent="0.35">
      <c r="A1528">
        <v>2024</v>
      </c>
      <c r="B1528" s="2">
        <v>10</v>
      </c>
      <c r="C1528" s="14">
        <v>45301</v>
      </c>
      <c r="D1528">
        <v>202410</v>
      </c>
      <c r="E1528" s="3" t="s">
        <v>44</v>
      </c>
      <c r="F1528">
        <v>0</v>
      </c>
      <c r="G1528">
        <v>0</v>
      </c>
      <c r="H1528">
        <v>0</v>
      </c>
      <c r="I1528">
        <v>14.885147999999999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1.6233000000000001E-2</v>
      </c>
      <c r="Q1528">
        <v>0</v>
      </c>
      <c r="R1528">
        <v>0</v>
      </c>
      <c r="T1528" t="str">
        <f t="shared" si="82"/>
        <v>040138202410</v>
      </c>
      <c r="U1528">
        <f t="shared" si="83"/>
        <v>14.885147999999999</v>
      </c>
    </row>
    <row r="1529" spans="1:21" x14ac:dyDescent="0.35">
      <c r="A1529">
        <v>2024</v>
      </c>
      <c r="B1529" s="2">
        <v>10</v>
      </c>
      <c r="C1529" s="14">
        <v>45301</v>
      </c>
      <c r="D1529">
        <v>202410</v>
      </c>
      <c r="E1529" s="3" t="s">
        <v>45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T1529" t="str">
        <f t="shared" si="82"/>
        <v>040139202410</v>
      </c>
      <c r="U1529">
        <f t="shared" si="83"/>
        <v>0</v>
      </c>
    </row>
    <row r="1530" spans="1:21" x14ac:dyDescent="0.35">
      <c r="A1530">
        <v>2024</v>
      </c>
      <c r="B1530" s="2">
        <v>10</v>
      </c>
      <c r="C1530" s="14">
        <v>45301</v>
      </c>
      <c r="D1530">
        <v>202410</v>
      </c>
      <c r="E1530" s="3" t="s">
        <v>46</v>
      </c>
      <c r="F1530">
        <v>0</v>
      </c>
      <c r="G1530">
        <v>0</v>
      </c>
      <c r="H1530">
        <v>0</v>
      </c>
      <c r="I1530">
        <v>42.264325999999997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T1530" t="str">
        <f t="shared" si="82"/>
        <v>040140202410</v>
      </c>
      <c r="U1530">
        <f t="shared" si="83"/>
        <v>42.264325999999997</v>
      </c>
    </row>
    <row r="1531" spans="1:21" x14ac:dyDescent="0.35">
      <c r="A1531">
        <v>2024</v>
      </c>
      <c r="B1531" s="2">
        <v>10</v>
      </c>
      <c r="C1531" s="14">
        <v>45301</v>
      </c>
      <c r="D1531">
        <v>202410</v>
      </c>
      <c r="E1531" s="3" t="s">
        <v>47</v>
      </c>
      <c r="F1531">
        <v>0</v>
      </c>
      <c r="G1531">
        <v>0</v>
      </c>
      <c r="H1531">
        <v>0</v>
      </c>
      <c r="I1531">
        <v>2.418E-3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T1531" t="str">
        <f t="shared" si="82"/>
        <v>040141202410</v>
      </c>
      <c r="U1531">
        <f t="shared" si="83"/>
        <v>2.418E-3</v>
      </c>
    </row>
    <row r="1532" spans="1:21" x14ac:dyDescent="0.35">
      <c r="A1532">
        <v>2024</v>
      </c>
      <c r="B1532" s="2">
        <v>10</v>
      </c>
      <c r="C1532" s="14">
        <v>45301</v>
      </c>
      <c r="D1532">
        <v>202410</v>
      </c>
      <c r="E1532" s="3" t="s">
        <v>48</v>
      </c>
      <c r="F1532">
        <v>2.8408324999999999</v>
      </c>
      <c r="G1532">
        <v>1.38290644</v>
      </c>
      <c r="H1532">
        <v>1.4579260600000001</v>
      </c>
      <c r="I1532">
        <v>2.9881167400000002</v>
      </c>
      <c r="J1532">
        <v>5.5875980000000006E-2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5.1838603499999998</v>
      </c>
      <c r="Q1532">
        <v>9.973789999999999E-2</v>
      </c>
      <c r="R1532">
        <v>0</v>
      </c>
      <c r="T1532" t="str">
        <f t="shared" si="82"/>
        <v>040143202410</v>
      </c>
      <c r="U1532">
        <f t="shared" si="83"/>
        <v>5.8848252199999997</v>
      </c>
    </row>
    <row r="1533" spans="1:21" x14ac:dyDescent="0.35">
      <c r="A1533">
        <v>2024</v>
      </c>
      <c r="B1533" s="2">
        <v>10</v>
      </c>
      <c r="C1533" s="14">
        <v>45301</v>
      </c>
      <c r="D1533">
        <v>202410</v>
      </c>
      <c r="E1533" s="3" t="s">
        <v>49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T1533" t="str">
        <f t="shared" si="82"/>
        <v>040145202410</v>
      </c>
      <c r="U1533">
        <f t="shared" si="83"/>
        <v>0</v>
      </c>
    </row>
    <row r="1534" spans="1:21" x14ac:dyDescent="0.35">
      <c r="A1534">
        <v>2024</v>
      </c>
      <c r="B1534" s="2">
        <v>10</v>
      </c>
      <c r="C1534" s="14">
        <v>45301</v>
      </c>
      <c r="D1534">
        <v>202410</v>
      </c>
      <c r="E1534" s="3" t="s">
        <v>50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T1534" t="str">
        <f t="shared" si="82"/>
        <v>040147202410</v>
      </c>
      <c r="U1534">
        <f t="shared" si="83"/>
        <v>0</v>
      </c>
    </row>
    <row r="1535" spans="1:21" x14ac:dyDescent="0.35">
      <c r="A1535">
        <v>2024</v>
      </c>
      <c r="B1535" s="2">
        <v>10</v>
      </c>
      <c r="C1535" s="14">
        <v>45301</v>
      </c>
      <c r="D1535">
        <v>202410</v>
      </c>
      <c r="E1535" s="3" t="s">
        <v>51</v>
      </c>
      <c r="F1535">
        <v>0</v>
      </c>
      <c r="G1535">
        <v>0</v>
      </c>
      <c r="H1535">
        <v>0</v>
      </c>
      <c r="I1535">
        <v>4.1372410000000004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3.1531999999999998E-2</v>
      </c>
      <c r="Q1535">
        <v>0</v>
      </c>
      <c r="R1535">
        <v>0</v>
      </c>
      <c r="T1535" t="str">
        <f t="shared" si="82"/>
        <v>040149202410</v>
      </c>
      <c r="U1535">
        <f t="shared" si="83"/>
        <v>4.1372410000000004</v>
      </c>
    </row>
    <row r="1536" spans="1:21" x14ac:dyDescent="0.35">
      <c r="A1536">
        <v>2024</v>
      </c>
      <c r="B1536" s="2">
        <v>10</v>
      </c>
      <c r="C1536" s="14">
        <v>45301</v>
      </c>
      <c r="D1536">
        <v>202410</v>
      </c>
      <c r="E1536" s="3" t="s">
        <v>52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T1536" t="str">
        <f t="shared" si="82"/>
        <v>040150202410</v>
      </c>
      <c r="U1536">
        <f t="shared" si="83"/>
        <v>0</v>
      </c>
    </row>
    <row r="1537" spans="1:21" x14ac:dyDescent="0.35">
      <c r="A1537">
        <v>2024</v>
      </c>
      <c r="B1537" s="2">
        <v>10</v>
      </c>
      <c r="C1537" s="14">
        <v>45301</v>
      </c>
      <c r="D1537">
        <v>202410</v>
      </c>
      <c r="E1537" s="3" t="s">
        <v>53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T1537" t="str">
        <f t="shared" si="82"/>
        <v>040151202410</v>
      </c>
      <c r="U1537">
        <f t="shared" si="83"/>
        <v>0</v>
      </c>
    </row>
    <row r="1538" spans="1:21" x14ac:dyDescent="0.35">
      <c r="A1538">
        <v>2024</v>
      </c>
      <c r="B1538" s="2">
        <v>10</v>
      </c>
      <c r="C1538" s="14">
        <v>45301</v>
      </c>
      <c r="D1538">
        <v>202410</v>
      </c>
      <c r="E1538" s="3" t="s">
        <v>54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T1538" t="str">
        <f t="shared" si="82"/>
        <v>040152202410</v>
      </c>
      <c r="U1538">
        <f t="shared" si="83"/>
        <v>0</v>
      </c>
    </row>
    <row r="1539" spans="1:21" x14ac:dyDescent="0.35">
      <c r="A1539">
        <v>2024</v>
      </c>
      <c r="B1539" s="2">
        <v>10</v>
      </c>
      <c r="C1539" s="14">
        <v>45301</v>
      </c>
      <c r="D1539">
        <v>202410</v>
      </c>
      <c r="E1539" s="3" t="s">
        <v>55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8.9826000000000001E-4</v>
      </c>
      <c r="M1539">
        <v>8.9826000000000001E-4</v>
      </c>
      <c r="N1539">
        <v>0</v>
      </c>
      <c r="O1539">
        <v>0</v>
      </c>
      <c r="P1539">
        <v>0</v>
      </c>
      <c r="Q1539">
        <v>0</v>
      </c>
      <c r="R1539">
        <v>0</v>
      </c>
      <c r="T1539" t="str">
        <f t="shared" si="82"/>
        <v>040154202410</v>
      </c>
      <c r="U1539">
        <f t="shared" si="83"/>
        <v>0</v>
      </c>
    </row>
    <row r="1540" spans="1:21" x14ac:dyDescent="0.35">
      <c r="A1540">
        <v>2024</v>
      </c>
      <c r="B1540" s="2">
        <v>10</v>
      </c>
      <c r="C1540" s="14">
        <v>45301</v>
      </c>
      <c r="D1540">
        <v>202410</v>
      </c>
      <c r="E1540" s="3" t="s">
        <v>56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T1540" t="str">
        <f t="shared" si="82"/>
        <v>040155202410</v>
      </c>
      <c r="U1540">
        <f t="shared" si="83"/>
        <v>0</v>
      </c>
    </row>
    <row r="1541" spans="1:21" x14ac:dyDescent="0.35">
      <c r="A1541">
        <v>2024</v>
      </c>
      <c r="B1541" s="2">
        <v>10</v>
      </c>
      <c r="C1541" s="14">
        <v>45301</v>
      </c>
      <c r="D1541">
        <v>202410</v>
      </c>
      <c r="E1541" s="3" t="s">
        <v>57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T1541" t="str">
        <f t="shared" si="82"/>
        <v>040156202410</v>
      </c>
      <c r="U1541">
        <f t="shared" si="83"/>
        <v>0</v>
      </c>
    </row>
    <row r="1542" spans="1:21" x14ac:dyDescent="0.35">
      <c r="A1542">
        <v>2024</v>
      </c>
      <c r="B1542" s="2">
        <v>10</v>
      </c>
      <c r="C1542" s="14">
        <v>45301</v>
      </c>
      <c r="D1542">
        <v>202410</v>
      </c>
      <c r="E1542" s="3" t="s">
        <v>58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T1542" t="str">
        <f t="shared" si="82"/>
        <v>040157202410</v>
      </c>
      <c r="U1542">
        <f t="shared" si="83"/>
        <v>0</v>
      </c>
    </row>
    <row r="1543" spans="1:21" x14ac:dyDescent="0.35">
      <c r="A1543">
        <v>2024</v>
      </c>
      <c r="B1543" s="2">
        <v>10</v>
      </c>
      <c r="C1543" s="14">
        <v>45301</v>
      </c>
      <c r="D1543">
        <v>202410</v>
      </c>
      <c r="E1543" s="3" t="s">
        <v>59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T1543" t="str">
        <f t="shared" si="82"/>
        <v>040158202410</v>
      </c>
      <c r="U1543">
        <f t="shared" si="83"/>
        <v>0</v>
      </c>
    </row>
    <row r="1544" spans="1:21" x14ac:dyDescent="0.35">
      <c r="A1544">
        <v>2024</v>
      </c>
      <c r="B1544" s="2">
        <v>10</v>
      </c>
      <c r="C1544" s="14">
        <v>45301</v>
      </c>
      <c r="D1544">
        <v>202410</v>
      </c>
      <c r="E1544" s="3" t="s">
        <v>60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T1544" t="str">
        <f t="shared" si="82"/>
        <v>040159202410</v>
      </c>
      <c r="U1544">
        <f t="shared" si="83"/>
        <v>0</v>
      </c>
    </row>
    <row r="1545" spans="1:21" x14ac:dyDescent="0.35">
      <c r="A1545">
        <v>2024</v>
      </c>
      <c r="B1545" s="2">
        <v>10</v>
      </c>
      <c r="C1545" s="14">
        <v>45301</v>
      </c>
      <c r="D1545">
        <v>202410</v>
      </c>
      <c r="E1545" s="3" t="s">
        <v>63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T1545" t="str">
        <f t="shared" si="82"/>
        <v>040160202410</v>
      </c>
      <c r="U1545">
        <f t="shared" si="83"/>
        <v>0</v>
      </c>
    </row>
    <row r="1546" spans="1:21" x14ac:dyDescent="0.35">
      <c r="A1546">
        <v>2024</v>
      </c>
      <c r="B1546" s="2">
        <v>10</v>
      </c>
      <c r="C1546" s="14">
        <v>45301</v>
      </c>
      <c r="D1546">
        <v>202410</v>
      </c>
      <c r="E1546" s="3" t="s">
        <v>61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T1546" t="str">
        <f t="shared" si="82"/>
        <v>040162202410</v>
      </c>
      <c r="U1546">
        <f t="shared" si="83"/>
        <v>0</v>
      </c>
    </row>
    <row r="1547" spans="1:21" x14ac:dyDescent="0.35">
      <c r="A1547">
        <v>2024</v>
      </c>
      <c r="B1547" s="2">
        <v>10</v>
      </c>
      <c r="C1547" s="14">
        <v>45301</v>
      </c>
      <c r="D1547">
        <v>202410</v>
      </c>
      <c r="E1547" s="3" t="s">
        <v>114</v>
      </c>
      <c r="F1547">
        <v>0</v>
      </c>
      <c r="G1547">
        <v>0</v>
      </c>
      <c r="H1547">
        <v>0</v>
      </c>
      <c r="I1547">
        <v>0.41212451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T1547" t="str">
        <f t="shared" si="82"/>
        <v>040165202410</v>
      </c>
      <c r="U1547">
        <f t="shared" si="83"/>
        <v>0.41212451</v>
      </c>
    </row>
    <row r="1548" spans="1:21" x14ac:dyDescent="0.35">
      <c r="A1548">
        <v>2024</v>
      </c>
      <c r="B1548" s="2">
        <v>11</v>
      </c>
      <c r="C1548" s="14">
        <v>45302</v>
      </c>
      <c r="D1548">
        <v>202411</v>
      </c>
      <c r="E1548" s="3">
        <v>5</v>
      </c>
      <c r="F1548" s="11">
        <v>1912.12244018</v>
      </c>
      <c r="G1548">
        <v>1905.04410482</v>
      </c>
      <c r="H1548">
        <v>3.4503093599999999</v>
      </c>
      <c r="I1548">
        <v>10313.79472498</v>
      </c>
      <c r="J1548">
        <v>451.13084583999995</v>
      </c>
      <c r="K1548">
        <v>43.175379140000004</v>
      </c>
      <c r="L1548">
        <v>24.694651829999998</v>
      </c>
      <c r="M1548">
        <v>22.71870633</v>
      </c>
      <c r="N1548">
        <v>0</v>
      </c>
      <c r="O1548">
        <v>1.9759454999999999</v>
      </c>
      <c r="P1548">
        <v>207.87505740999998</v>
      </c>
      <c r="Q1548">
        <v>57.981207229999995</v>
      </c>
      <c r="R1548">
        <v>0</v>
      </c>
      <c r="T1548" t="str">
        <f t="shared" ref="T1548:T1611" si="84">+E1548&amp;D1548</f>
        <v>5202411</v>
      </c>
      <c r="U1548">
        <f t="shared" ref="U1548:U1611" si="85">+F1548+I1548+J1548</f>
        <v>12677.048011000001</v>
      </c>
    </row>
    <row r="1549" spans="1:21" x14ac:dyDescent="0.35">
      <c r="A1549">
        <v>2024</v>
      </c>
      <c r="B1549" s="2">
        <v>11</v>
      </c>
      <c r="C1549" s="14">
        <v>45302</v>
      </c>
      <c r="D1549">
        <v>202411</v>
      </c>
      <c r="E1549" s="3" t="s">
        <v>19</v>
      </c>
      <c r="F1549" s="11">
        <v>138.42842135000001</v>
      </c>
      <c r="G1549">
        <v>138.42842135000001</v>
      </c>
      <c r="H1549">
        <v>0</v>
      </c>
      <c r="I1549">
        <v>391.90915774000001</v>
      </c>
      <c r="J1549">
        <v>44.304949810000004</v>
      </c>
      <c r="K1549">
        <v>43.175379140000004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T1549" t="str">
        <f t="shared" si="84"/>
        <v>040002202411</v>
      </c>
      <c r="U1549">
        <f t="shared" si="85"/>
        <v>574.6425289</v>
      </c>
    </row>
    <row r="1550" spans="1:21" x14ac:dyDescent="0.35">
      <c r="A1550">
        <v>2024</v>
      </c>
      <c r="B1550" s="2">
        <v>11</v>
      </c>
      <c r="C1550" s="14">
        <v>45302</v>
      </c>
      <c r="D1550">
        <v>202411</v>
      </c>
      <c r="E1550" s="3" t="s">
        <v>20</v>
      </c>
      <c r="F1550" s="11">
        <v>323.69933300000002</v>
      </c>
      <c r="G1550">
        <v>323.69933300000002</v>
      </c>
      <c r="H1550">
        <v>0</v>
      </c>
      <c r="I1550">
        <v>4104.8339349999997</v>
      </c>
      <c r="J1550">
        <v>65.314757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T1550" t="str">
        <f t="shared" si="84"/>
        <v>040012202411</v>
      </c>
      <c r="U1550">
        <f t="shared" si="85"/>
        <v>4493.8480249999993</v>
      </c>
    </row>
    <row r="1551" spans="1:21" x14ac:dyDescent="0.35">
      <c r="A1551">
        <v>2024</v>
      </c>
      <c r="B1551" s="2">
        <v>11</v>
      </c>
      <c r="C1551" s="14">
        <v>45302</v>
      </c>
      <c r="D1551">
        <v>202411</v>
      </c>
      <c r="E1551" s="3" t="s">
        <v>21</v>
      </c>
      <c r="F1551" s="11">
        <v>304.76747906000003</v>
      </c>
      <c r="G1551">
        <v>304.76747906000003</v>
      </c>
      <c r="H1551">
        <v>0</v>
      </c>
      <c r="I1551">
        <v>1609.5021380000001</v>
      </c>
      <c r="J1551">
        <v>74.785197999999994</v>
      </c>
      <c r="K1551">
        <v>0</v>
      </c>
      <c r="L1551">
        <v>14.465847</v>
      </c>
      <c r="M1551">
        <v>14.465847</v>
      </c>
      <c r="N1551">
        <v>0</v>
      </c>
      <c r="O1551">
        <v>0</v>
      </c>
      <c r="P1551">
        <v>27.199655</v>
      </c>
      <c r="Q1551">
        <v>4.5330050000000002</v>
      </c>
      <c r="R1551">
        <v>0</v>
      </c>
      <c r="T1551" t="str">
        <f t="shared" si="84"/>
        <v>040014202411</v>
      </c>
      <c r="U1551">
        <f t="shared" si="85"/>
        <v>1989.0548150600002</v>
      </c>
    </row>
    <row r="1552" spans="1:21" x14ac:dyDescent="0.35">
      <c r="A1552">
        <v>2024</v>
      </c>
      <c r="B1552" s="2">
        <v>11</v>
      </c>
      <c r="C1552" s="14">
        <v>45302</v>
      </c>
      <c r="D1552">
        <v>202411</v>
      </c>
      <c r="E1552" s="3" t="s">
        <v>22</v>
      </c>
      <c r="F1552" s="11">
        <v>59.265878000000001</v>
      </c>
      <c r="G1552">
        <v>59.237071</v>
      </c>
      <c r="H1552">
        <v>2.8806999999999999E-2</v>
      </c>
      <c r="I1552">
        <v>912.79748199999995</v>
      </c>
      <c r="J1552">
        <v>29.995705999999998</v>
      </c>
      <c r="K1552">
        <v>0</v>
      </c>
      <c r="L1552">
        <v>4.1528039999999997</v>
      </c>
      <c r="M1552">
        <v>4.1528039999999997</v>
      </c>
      <c r="N1552">
        <v>0</v>
      </c>
      <c r="O1552">
        <v>0</v>
      </c>
      <c r="P1552">
        <v>44.367347000000002</v>
      </c>
      <c r="Q1552">
        <v>18.079401000000001</v>
      </c>
      <c r="R1552">
        <v>0</v>
      </c>
      <c r="T1552" t="str">
        <f t="shared" si="84"/>
        <v>040021202411</v>
      </c>
      <c r="U1552">
        <f t="shared" si="85"/>
        <v>1002.059066</v>
      </c>
    </row>
    <row r="1553" spans="1:21" x14ac:dyDescent="0.35">
      <c r="A1553">
        <v>2024</v>
      </c>
      <c r="B1553" s="2">
        <v>11</v>
      </c>
      <c r="C1553" s="14">
        <v>45302</v>
      </c>
      <c r="D1553">
        <v>202411</v>
      </c>
      <c r="E1553" s="3" t="s">
        <v>23</v>
      </c>
      <c r="F1553" s="11">
        <v>23.655083910000002</v>
      </c>
      <c r="G1553">
        <v>23.655083910000002</v>
      </c>
      <c r="H1553">
        <v>0</v>
      </c>
      <c r="I1553">
        <v>62.106947499999997</v>
      </c>
      <c r="J1553">
        <v>2.5822496899999998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0.26995418999999998</v>
      </c>
      <c r="R1553">
        <v>0</v>
      </c>
      <c r="T1553" t="str">
        <f t="shared" si="84"/>
        <v>040030202411</v>
      </c>
      <c r="U1553">
        <f t="shared" si="85"/>
        <v>88.344281099999989</v>
      </c>
    </row>
    <row r="1554" spans="1:21" x14ac:dyDescent="0.35">
      <c r="A1554">
        <v>2024</v>
      </c>
      <c r="B1554" s="2">
        <v>11</v>
      </c>
      <c r="C1554" s="14">
        <v>45302</v>
      </c>
      <c r="D1554">
        <v>202411</v>
      </c>
      <c r="E1554" s="3" t="s">
        <v>24</v>
      </c>
      <c r="F1554" s="11">
        <v>0</v>
      </c>
      <c r="G1554">
        <v>0</v>
      </c>
      <c r="H1554">
        <v>0</v>
      </c>
      <c r="I1554">
        <v>9.6270260000000007</v>
      </c>
      <c r="J1554">
        <v>3.6319999999999998E-3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T1554" t="str">
        <f t="shared" si="84"/>
        <v>040036202411</v>
      </c>
      <c r="U1554">
        <f t="shared" si="85"/>
        <v>9.6306580000000004</v>
      </c>
    </row>
    <row r="1555" spans="1:21" x14ac:dyDescent="0.35">
      <c r="A1555">
        <v>2024</v>
      </c>
      <c r="B1555" s="2">
        <v>11</v>
      </c>
      <c r="C1555" s="14">
        <v>45302</v>
      </c>
      <c r="D1555">
        <v>202411</v>
      </c>
      <c r="E1555" s="3" t="s">
        <v>25</v>
      </c>
      <c r="F1555" s="11">
        <v>14.505708</v>
      </c>
      <c r="G1555">
        <v>14.505708</v>
      </c>
      <c r="H1555">
        <v>0</v>
      </c>
      <c r="I1555">
        <v>2.9448500000000002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T1555" t="str">
        <f t="shared" si="84"/>
        <v>040042202411</v>
      </c>
      <c r="U1555">
        <f t="shared" si="85"/>
        <v>17.450558000000001</v>
      </c>
    </row>
    <row r="1556" spans="1:21" x14ac:dyDescent="0.35">
      <c r="A1556">
        <v>2024</v>
      </c>
      <c r="B1556" s="2">
        <v>11</v>
      </c>
      <c r="C1556" s="14">
        <v>45302</v>
      </c>
      <c r="D1556">
        <v>202411</v>
      </c>
      <c r="E1556" s="3" t="s">
        <v>26</v>
      </c>
      <c r="F1556" s="11">
        <v>13.041494999999999</v>
      </c>
      <c r="G1556">
        <v>13.041494999999999</v>
      </c>
      <c r="H1556">
        <v>0</v>
      </c>
      <c r="I1556">
        <v>227.83342400000001</v>
      </c>
      <c r="J1556">
        <v>27.521988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15.195948</v>
      </c>
      <c r="Q1556">
        <v>22.077895000000002</v>
      </c>
      <c r="R1556">
        <v>0</v>
      </c>
      <c r="T1556" t="str">
        <f t="shared" si="84"/>
        <v>040044202411</v>
      </c>
      <c r="U1556">
        <f t="shared" si="85"/>
        <v>268.396907</v>
      </c>
    </row>
    <row r="1557" spans="1:21" x14ac:dyDescent="0.35">
      <c r="A1557">
        <v>2024</v>
      </c>
      <c r="B1557" s="2">
        <v>11</v>
      </c>
      <c r="C1557" s="14">
        <v>45302</v>
      </c>
      <c r="D1557">
        <v>202411</v>
      </c>
      <c r="E1557" s="3" t="s">
        <v>27</v>
      </c>
      <c r="F1557" s="11">
        <v>16.960809559999998</v>
      </c>
      <c r="G1557">
        <v>16.960809559999998</v>
      </c>
      <c r="H1557">
        <v>0</v>
      </c>
      <c r="I1557">
        <v>37.977517290000002</v>
      </c>
      <c r="J1557">
        <v>1.0721430000000001E-2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T1557" t="str">
        <f t="shared" si="84"/>
        <v>040058202411</v>
      </c>
      <c r="U1557">
        <f t="shared" si="85"/>
        <v>54.949048279999992</v>
      </c>
    </row>
    <row r="1558" spans="1:21" x14ac:dyDescent="0.35">
      <c r="A1558">
        <v>2024</v>
      </c>
      <c r="B1558" s="2">
        <v>11</v>
      </c>
      <c r="C1558" s="14">
        <v>45302</v>
      </c>
      <c r="D1558">
        <v>202411</v>
      </c>
      <c r="E1558" s="3" t="s">
        <v>28</v>
      </c>
      <c r="F1558" s="11">
        <v>0</v>
      </c>
      <c r="G1558">
        <v>0</v>
      </c>
      <c r="H1558">
        <v>0</v>
      </c>
      <c r="I1558">
        <v>216.533029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T1558" t="str">
        <f t="shared" si="84"/>
        <v>040059202411</v>
      </c>
      <c r="U1558">
        <f t="shared" si="85"/>
        <v>216.533029</v>
      </c>
    </row>
    <row r="1559" spans="1:21" x14ac:dyDescent="0.35">
      <c r="A1559">
        <v>2024</v>
      </c>
      <c r="B1559" s="2">
        <v>11</v>
      </c>
      <c r="C1559" s="14">
        <v>45302</v>
      </c>
      <c r="D1559">
        <v>202411</v>
      </c>
      <c r="E1559" s="3" t="s">
        <v>62</v>
      </c>
      <c r="F1559" s="11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T1559" t="str">
        <f t="shared" si="84"/>
        <v>040060202411</v>
      </c>
      <c r="U1559">
        <f t="shared" si="85"/>
        <v>0</v>
      </c>
    </row>
    <row r="1560" spans="1:21" x14ac:dyDescent="0.35">
      <c r="A1560">
        <v>2024</v>
      </c>
      <c r="B1560" s="2">
        <v>11</v>
      </c>
      <c r="C1560" s="14">
        <v>45302</v>
      </c>
      <c r="D1560">
        <v>202411</v>
      </c>
      <c r="E1560" s="3" t="s">
        <v>29</v>
      </c>
      <c r="F1560" s="11">
        <v>761.88951199999997</v>
      </c>
      <c r="G1560">
        <v>761.88951199999997</v>
      </c>
      <c r="H1560">
        <v>0</v>
      </c>
      <c r="I1560">
        <v>99.593174000000005</v>
      </c>
      <c r="J1560">
        <v>17.805121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T1560" t="str">
        <f t="shared" si="84"/>
        <v>040062202411</v>
      </c>
      <c r="U1560">
        <f t="shared" si="85"/>
        <v>879.28780699999993</v>
      </c>
    </row>
    <row r="1561" spans="1:21" x14ac:dyDescent="0.35">
      <c r="A1561">
        <v>2024</v>
      </c>
      <c r="B1561" s="2">
        <v>11</v>
      </c>
      <c r="C1561" s="14">
        <v>45302</v>
      </c>
      <c r="D1561">
        <v>202411</v>
      </c>
      <c r="E1561" s="3" t="s">
        <v>30</v>
      </c>
      <c r="F1561" s="11">
        <v>85.370088349999989</v>
      </c>
      <c r="G1561">
        <v>85.370088349999989</v>
      </c>
      <c r="H1561">
        <v>0</v>
      </c>
      <c r="I1561">
        <v>1225.1272698900002</v>
      </c>
      <c r="J1561">
        <v>187.79755384000001</v>
      </c>
      <c r="K1561">
        <v>0</v>
      </c>
      <c r="L1561">
        <v>2.0923628299999999</v>
      </c>
      <c r="M1561">
        <v>0.11660255999999999</v>
      </c>
      <c r="N1561">
        <v>0</v>
      </c>
      <c r="O1561">
        <v>1.9757602700000001</v>
      </c>
      <c r="P1561">
        <v>99.555839609999992</v>
      </c>
      <c r="Q1561">
        <v>12.923121980000001</v>
      </c>
      <c r="R1561">
        <v>0</v>
      </c>
      <c r="T1561" t="str">
        <f t="shared" si="84"/>
        <v>040072202411</v>
      </c>
      <c r="U1561">
        <f t="shared" si="85"/>
        <v>1498.2949120800004</v>
      </c>
    </row>
    <row r="1562" spans="1:21" x14ac:dyDescent="0.35">
      <c r="A1562">
        <v>2024</v>
      </c>
      <c r="B1562" s="2">
        <v>11</v>
      </c>
      <c r="C1562" s="14">
        <v>45302</v>
      </c>
      <c r="D1562">
        <v>202411</v>
      </c>
      <c r="E1562" s="3" t="s">
        <v>31</v>
      </c>
      <c r="F1562" s="11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T1562" t="str">
        <f t="shared" si="84"/>
        <v>040106202411</v>
      </c>
      <c r="U1562">
        <f t="shared" si="85"/>
        <v>0</v>
      </c>
    </row>
    <row r="1563" spans="1:21" x14ac:dyDescent="0.35">
      <c r="A1563">
        <v>2024</v>
      </c>
      <c r="B1563" s="2">
        <v>11</v>
      </c>
      <c r="C1563" s="14">
        <v>45302</v>
      </c>
      <c r="D1563">
        <v>202411</v>
      </c>
      <c r="E1563" s="3" t="s">
        <v>32</v>
      </c>
      <c r="F1563" s="11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T1563" t="str">
        <f t="shared" si="84"/>
        <v>040108202411</v>
      </c>
      <c r="U1563">
        <f t="shared" si="85"/>
        <v>0</v>
      </c>
    </row>
    <row r="1564" spans="1:21" x14ac:dyDescent="0.35">
      <c r="A1564">
        <v>2024</v>
      </c>
      <c r="B1564" s="2">
        <v>11</v>
      </c>
      <c r="C1564" s="14">
        <v>45302</v>
      </c>
      <c r="D1564">
        <v>202411</v>
      </c>
      <c r="E1564" s="3" t="s">
        <v>33</v>
      </c>
      <c r="F1564" s="11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T1564" t="str">
        <f t="shared" si="84"/>
        <v>040110202411</v>
      </c>
      <c r="U1564">
        <f t="shared" si="85"/>
        <v>0</v>
      </c>
    </row>
    <row r="1565" spans="1:21" x14ac:dyDescent="0.35">
      <c r="A1565">
        <v>2024</v>
      </c>
      <c r="B1565" s="2">
        <v>11</v>
      </c>
      <c r="C1565" s="14">
        <v>45302</v>
      </c>
      <c r="D1565">
        <v>202411</v>
      </c>
      <c r="E1565" s="3" t="s">
        <v>34</v>
      </c>
      <c r="F1565" s="11">
        <v>0</v>
      </c>
      <c r="G1565">
        <v>0</v>
      </c>
      <c r="H1565">
        <v>0</v>
      </c>
      <c r="I1565">
        <v>0</v>
      </c>
      <c r="J1565">
        <v>0.50555874999999995</v>
      </c>
      <c r="K1565">
        <v>0</v>
      </c>
      <c r="L1565">
        <v>3.98357625</v>
      </c>
      <c r="M1565">
        <v>3.98339102</v>
      </c>
      <c r="N1565">
        <v>0</v>
      </c>
      <c r="O1565">
        <v>1.8522999999999999E-4</v>
      </c>
      <c r="P1565">
        <v>0</v>
      </c>
      <c r="Q1565">
        <v>0</v>
      </c>
      <c r="R1565">
        <v>0</v>
      </c>
      <c r="T1565" t="str">
        <f t="shared" si="84"/>
        <v>040112202411</v>
      </c>
      <c r="U1565">
        <f t="shared" si="85"/>
        <v>0.50555874999999995</v>
      </c>
    </row>
    <row r="1566" spans="1:21" x14ac:dyDescent="0.35">
      <c r="A1566">
        <v>2024</v>
      </c>
      <c r="B1566" s="2">
        <v>11</v>
      </c>
      <c r="C1566" s="14">
        <v>45302</v>
      </c>
      <c r="D1566">
        <v>202411</v>
      </c>
      <c r="E1566" s="3" t="s">
        <v>35</v>
      </c>
      <c r="F1566" s="11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T1566" t="str">
        <f t="shared" si="84"/>
        <v>040113202411</v>
      </c>
      <c r="U1566">
        <f t="shared" si="85"/>
        <v>0</v>
      </c>
    </row>
    <row r="1567" spans="1:21" x14ac:dyDescent="0.35">
      <c r="A1567">
        <v>2024</v>
      </c>
      <c r="B1567" s="2">
        <v>11</v>
      </c>
      <c r="C1567" s="14">
        <v>45302</v>
      </c>
      <c r="D1567">
        <v>202411</v>
      </c>
      <c r="E1567" s="3" t="s">
        <v>37</v>
      </c>
      <c r="F1567" s="11">
        <v>0</v>
      </c>
      <c r="G1567">
        <v>0</v>
      </c>
      <c r="H1567">
        <v>0</v>
      </c>
      <c r="I1567">
        <v>918.41177228999993</v>
      </c>
      <c r="J1567">
        <v>5.1032500000000001E-3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T1567" t="str">
        <f t="shared" si="84"/>
        <v>040127202411</v>
      </c>
      <c r="U1567">
        <f t="shared" si="85"/>
        <v>918.41687553999998</v>
      </c>
    </row>
    <row r="1568" spans="1:21" x14ac:dyDescent="0.35">
      <c r="A1568">
        <v>2024</v>
      </c>
      <c r="B1568" s="2">
        <v>11</v>
      </c>
      <c r="C1568" s="14">
        <v>45302</v>
      </c>
      <c r="D1568">
        <v>202411</v>
      </c>
      <c r="E1568" s="3" t="s">
        <v>38</v>
      </c>
      <c r="F1568" s="11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T1568" t="str">
        <f t="shared" si="84"/>
        <v>040128202411</v>
      </c>
      <c r="U1568">
        <f t="shared" si="85"/>
        <v>0</v>
      </c>
    </row>
    <row r="1569" spans="1:21" x14ac:dyDescent="0.35">
      <c r="A1569">
        <v>2024</v>
      </c>
      <c r="B1569" s="2">
        <v>11</v>
      </c>
      <c r="C1569" s="14">
        <v>45302</v>
      </c>
      <c r="D1569">
        <v>202411</v>
      </c>
      <c r="E1569" s="3" t="s">
        <v>39</v>
      </c>
      <c r="F1569" s="11">
        <v>0</v>
      </c>
      <c r="G1569">
        <v>0</v>
      </c>
      <c r="H1569">
        <v>0</v>
      </c>
      <c r="I1569">
        <v>382.18962599999998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15.609736</v>
      </c>
      <c r="Q1569">
        <v>0</v>
      </c>
      <c r="R1569">
        <v>0</v>
      </c>
      <c r="T1569" t="str">
        <f t="shared" si="84"/>
        <v>040130202411</v>
      </c>
      <c r="U1569">
        <f t="shared" si="85"/>
        <v>382.18962599999998</v>
      </c>
    </row>
    <row r="1570" spans="1:21" x14ac:dyDescent="0.35">
      <c r="A1570">
        <v>2024</v>
      </c>
      <c r="B1570" s="2">
        <v>11</v>
      </c>
      <c r="C1570" s="14">
        <v>45302</v>
      </c>
      <c r="D1570">
        <v>202411</v>
      </c>
      <c r="E1570" s="3" t="s">
        <v>40</v>
      </c>
      <c r="F1570" s="11">
        <v>164.99212600000001</v>
      </c>
      <c r="G1570">
        <v>161.36410000000001</v>
      </c>
      <c r="H1570">
        <v>0</v>
      </c>
      <c r="I1570">
        <v>1.9699999999999999E-4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T1570" t="str">
        <f t="shared" si="84"/>
        <v>040132202411</v>
      </c>
      <c r="U1570">
        <f t="shared" si="85"/>
        <v>164.992323</v>
      </c>
    </row>
    <row r="1571" spans="1:21" x14ac:dyDescent="0.35">
      <c r="A1571">
        <v>2024</v>
      </c>
      <c r="B1571" s="2">
        <v>11</v>
      </c>
      <c r="C1571" s="14">
        <v>45302</v>
      </c>
      <c r="D1571">
        <v>202411</v>
      </c>
      <c r="E1571" s="3" t="s">
        <v>41</v>
      </c>
      <c r="F1571" s="1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T1571" t="str">
        <f t="shared" si="84"/>
        <v>040133202411</v>
      </c>
      <c r="U1571">
        <f t="shared" si="85"/>
        <v>0</v>
      </c>
    </row>
    <row r="1572" spans="1:21" x14ac:dyDescent="0.35">
      <c r="A1572">
        <v>2024</v>
      </c>
      <c r="B1572" s="2">
        <v>11</v>
      </c>
      <c r="C1572" s="14">
        <v>45302</v>
      </c>
      <c r="D1572">
        <v>202411</v>
      </c>
      <c r="E1572" s="3" t="s">
        <v>42</v>
      </c>
      <c r="F1572" s="11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T1572" t="str">
        <f t="shared" si="84"/>
        <v>040136202411</v>
      </c>
      <c r="U1572">
        <f t="shared" si="85"/>
        <v>0</v>
      </c>
    </row>
    <row r="1573" spans="1:21" x14ac:dyDescent="0.35">
      <c r="A1573">
        <v>2024</v>
      </c>
      <c r="B1573" s="2">
        <v>11</v>
      </c>
      <c r="C1573" s="14">
        <v>45302</v>
      </c>
      <c r="D1573">
        <v>202411</v>
      </c>
      <c r="E1573" s="3" t="s">
        <v>43</v>
      </c>
      <c r="F1573" s="11">
        <v>0</v>
      </c>
      <c r="G1573">
        <v>0</v>
      </c>
      <c r="H1573">
        <v>0</v>
      </c>
      <c r="I1573">
        <v>28.203311850000002</v>
      </c>
      <c r="J1573">
        <v>0.44192414000000002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T1573" t="str">
        <f t="shared" si="84"/>
        <v>040137202411</v>
      </c>
      <c r="U1573">
        <f t="shared" si="85"/>
        <v>28.645235990000003</v>
      </c>
    </row>
    <row r="1574" spans="1:21" x14ac:dyDescent="0.35">
      <c r="A1574">
        <v>2024</v>
      </c>
      <c r="B1574" s="2">
        <v>11</v>
      </c>
      <c r="C1574" s="14">
        <v>45302</v>
      </c>
      <c r="D1574">
        <v>202411</v>
      </c>
      <c r="E1574" s="3" t="s">
        <v>44</v>
      </c>
      <c r="F1574" s="11">
        <v>0</v>
      </c>
      <c r="G1574">
        <v>0</v>
      </c>
      <c r="H1574">
        <v>0</v>
      </c>
      <c r="I1574">
        <v>14.14609772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T1574" t="str">
        <f t="shared" si="84"/>
        <v>040138202411</v>
      </c>
      <c r="U1574">
        <f t="shared" si="85"/>
        <v>14.14609772</v>
      </c>
    </row>
    <row r="1575" spans="1:21" x14ac:dyDescent="0.35">
      <c r="A1575">
        <v>2024</v>
      </c>
      <c r="B1575" s="2">
        <v>11</v>
      </c>
      <c r="C1575" s="14">
        <v>45302</v>
      </c>
      <c r="D1575">
        <v>202411</v>
      </c>
      <c r="E1575" s="3" t="s">
        <v>45</v>
      </c>
      <c r="F1575" s="11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T1575" t="str">
        <f t="shared" si="84"/>
        <v>040139202411</v>
      </c>
      <c r="U1575">
        <f t="shared" si="85"/>
        <v>0</v>
      </c>
    </row>
    <row r="1576" spans="1:21" x14ac:dyDescent="0.35">
      <c r="A1576">
        <v>2024</v>
      </c>
      <c r="B1576" s="2">
        <v>11</v>
      </c>
      <c r="C1576" s="14">
        <v>45302</v>
      </c>
      <c r="D1576">
        <v>202411</v>
      </c>
      <c r="E1576" s="3" t="s">
        <v>46</v>
      </c>
      <c r="F1576" s="11">
        <v>0</v>
      </c>
      <c r="G1576">
        <v>0</v>
      </c>
      <c r="H1576">
        <v>0</v>
      </c>
      <c r="I1576">
        <v>35.668115999999998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T1576" t="str">
        <f t="shared" si="84"/>
        <v>040140202411</v>
      </c>
      <c r="U1576">
        <f t="shared" si="85"/>
        <v>35.668115999999998</v>
      </c>
    </row>
    <row r="1577" spans="1:21" x14ac:dyDescent="0.35">
      <c r="A1577">
        <v>2024</v>
      </c>
      <c r="B1577" s="2">
        <v>11</v>
      </c>
      <c r="C1577" s="14">
        <v>45302</v>
      </c>
      <c r="D1577">
        <v>202411</v>
      </c>
      <c r="E1577" s="3" t="s">
        <v>47</v>
      </c>
      <c r="F1577" s="11">
        <v>0</v>
      </c>
      <c r="G1577">
        <v>0</v>
      </c>
      <c r="H1577">
        <v>0</v>
      </c>
      <c r="I1577">
        <v>12.978714999999999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T1577" t="str">
        <f t="shared" si="84"/>
        <v>040141202411</v>
      </c>
      <c r="U1577">
        <f t="shared" si="85"/>
        <v>12.978714999999999</v>
      </c>
    </row>
    <row r="1578" spans="1:21" x14ac:dyDescent="0.35">
      <c r="A1578">
        <v>2024</v>
      </c>
      <c r="B1578" s="2">
        <v>11</v>
      </c>
      <c r="C1578" s="14">
        <v>45302</v>
      </c>
      <c r="D1578">
        <v>202411</v>
      </c>
      <c r="E1578" s="3" t="s">
        <v>48</v>
      </c>
      <c r="F1578" s="11">
        <v>5.5465059500000002</v>
      </c>
      <c r="G1578">
        <v>2.1250035899999999</v>
      </c>
      <c r="H1578">
        <v>3.4215023599999999</v>
      </c>
      <c r="I1578">
        <v>16.369161810000001</v>
      </c>
      <c r="J1578">
        <v>5.6382929999999998E-2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5.63394993</v>
      </c>
      <c r="Q1578">
        <v>9.7830059999999996E-2</v>
      </c>
      <c r="R1578">
        <v>0</v>
      </c>
      <c r="T1578" t="str">
        <f t="shared" si="84"/>
        <v>040143202411</v>
      </c>
      <c r="U1578">
        <f t="shared" si="85"/>
        <v>21.972050690000003</v>
      </c>
    </row>
    <row r="1579" spans="1:21" x14ac:dyDescent="0.35">
      <c r="A1579">
        <v>2024</v>
      </c>
      <c r="B1579" s="2">
        <v>11</v>
      </c>
      <c r="C1579" s="14">
        <v>45302</v>
      </c>
      <c r="D1579">
        <v>202411</v>
      </c>
      <c r="E1579" s="3" t="s">
        <v>49</v>
      </c>
      <c r="F1579" s="11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T1579" t="str">
        <f t="shared" si="84"/>
        <v>040145202411</v>
      </c>
      <c r="U1579">
        <f t="shared" si="85"/>
        <v>0</v>
      </c>
    </row>
    <row r="1580" spans="1:21" x14ac:dyDescent="0.35">
      <c r="A1580">
        <v>2024</v>
      </c>
      <c r="B1580" s="2">
        <v>11</v>
      </c>
      <c r="C1580" s="14">
        <v>45302</v>
      </c>
      <c r="D1580">
        <v>202411</v>
      </c>
      <c r="E1580" s="3" t="s">
        <v>50</v>
      </c>
      <c r="F1580" s="11">
        <v>0</v>
      </c>
      <c r="G1580">
        <v>0</v>
      </c>
      <c r="H1580">
        <v>0</v>
      </c>
      <c r="I1580">
        <v>0.52841784999999997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T1580" t="str">
        <f t="shared" si="84"/>
        <v>040147202411</v>
      </c>
      <c r="U1580">
        <f t="shared" si="85"/>
        <v>0.52841784999999997</v>
      </c>
    </row>
    <row r="1581" spans="1:21" x14ac:dyDescent="0.35">
      <c r="A1581">
        <v>2024</v>
      </c>
      <c r="B1581" s="2">
        <v>11</v>
      </c>
      <c r="C1581" s="14">
        <v>45302</v>
      </c>
      <c r="D1581">
        <v>202411</v>
      </c>
      <c r="E1581" s="3" t="s">
        <v>51</v>
      </c>
      <c r="F1581" s="11">
        <v>0</v>
      </c>
      <c r="G1581">
        <v>0</v>
      </c>
      <c r="H1581">
        <v>0</v>
      </c>
      <c r="I1581">
        <v>4.1419790000000001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0.12069199999999999</v>
      </c>
      <c r="Q1581">
        <v>0</v>
      </c>
      <c r="R1581">
        <v>0</v>
      </c>
      <c r="T1581" t="str">
        <f t="shared" si="84"/>
        <v>040149202411</v>
      </c>
      <c r="U1581">
        <f t="shared" si="85"/>
        <v>4.1419790000000001</v>
      </c>
    </row>
    <row r="1582" spans="1:21" x14ac:dyDescent="0.35">
      <c r="A1582">
        <v>2024</v>
      </c>
      <c r="B1582" s="2">
        <v>11</v>
      </c>
      <c r="C1582" s="14">
        <v>45302</v>
      </c>
      <c r="D1582">
        <v>202411</v>
      </c>
      <c r="E1582" s="3" t="s">
        <v>52</v>
      </c>
      <c r="F1582" s="11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T1582" t="str">
        <f t="shared" si="84"/>
        <v>040150202411</v>
      </c>
      <c r="U1582">
        <f t="shared" si="85"/>
        <v>0</v>
      </c>
    </row>
    <row r="1583" spans="1:21" x14ac:dyDescent="0.35">
      <c r="A1583">
        <v>2024</v>
      </c>
      <c r="B1583" s="2">
        <v>11</v>
      </c>
      <c r="C1583" s="14">
        <v>45302</v>
      </c>
      <c r="D1583">
        <v>202411</v>
      </c>
      <c r="E1583" s="3" t="s">
        <v>53</v>
      </c>
      <c r="F1583" s="11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T1583" t="str">
        <f t="shared" si="84"/>
        <v>040151202411</v>
      </c>
      <c r="U1583">
        <f t="shared" si="85"/>
        <v>0</v>
      </c>
    </row>
    <row r="1584" spans="1:21" x14ac:dyDescent="0.35">
      <c r="A1584">
        <v>2024</v>
      </c>
      <c r="B1584" s="2">
        <v>11</v>
      </c>
      <c r="C1584" s="14">
        <v>45302</v>
      </c>
      <c r="D1584">
        <v>202411</v>
      </c>
      <c r="E1584" s="3" t="s">
        <v>54</v>
      </c>
      <c r="F1584" s="11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T1584" t="str">
        <f t="shared" si="84"/>
        <v>040152202411</v>
      </c>
      <c r="U1584">
        <f t="shared" si="85"/>
        <v>0</v>
      </c>
    </row>
    <row r="1585" spans="1:21" x14ac:dyDescent="0.35">
      <c r="A1585">
        <v>2024</v>
      </c>
      <c r="B1585" s="2">
        <v>11</v>
      </c>
      <c r="C1585" s="14">
        <v>45302</v>
      </c>
      <c r="D1585">
        <v>202411</v>
      </c>
      <c r="E1585" s="3" t="s">
        <v>55</v>
      </c>
      <c r="F1585" s="11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6.1749999999999997E-5</v>
      </c>
      <c r="M1585">
        <v>6.1749999999999997E-5</v>
      </c>
      <c r="N1585">
        <v>0</v>
      </c>
      <c r="O1585">
        <v>0</v>
      </c>
      <c r="P1585">
        <v>0</v>
      </c>
      <c r="Q1585">
        <v>0</v>
      </c>
      <c r="R1585">
        <v>0</v>
      </c>
      <c r="T1585" t="str">
        <f t="shared" si="84"/>
        <v>040154202411</v>
      </c>
      <c r="U1585">
        <f t="shared" si="85"/>
        <v>0</v>
      </c>
    </row>
    <row r="1586" spans="1:21" x14ac:dyDescent="0.35">
      <c r="A1586">
        <v>2024</v>
      </c>
      <c r="B1586" s="2">
        <v>11</v>
      </c>
      <c r="C1586" s="14">
        <v>45302</v>
      </c>
      <c r="D1586">
        <v>202411</v>
      </c>
      <c r="E1586" s="3" t="s">
        <v>56</v>
      </c>
      <c r="F1586" s="11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T1586" t="str">
        <f t="shared" si="84"/>
        <v>040155202411</v>
      </c>
      <c r="U1586">
        <f t="shared" si="85"/>
        <v>0</v>
      </c>
    </row>
    <row r="1587" spans="1:21" x14ac:dyDescent="0.35">
      <c r="A1587">
        <v>2024</v>
      </c>
      <c r="B1587" s="2">
        <v>11</v>
      </c>
      <c r="C1587" s="14">
        <v>45302</v>
      </c>
      <c r="D1587">
        <v>202411</v>
      </c>
      <c r="E1587" s="3" t="s">
        <v>57</v>
      </c>
      <c r="F1587" s="11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T1587" t="str">
        <f t="shared" si="84"/>
        <v>040156202411</v>
      </c>
      <c r="U1587">
        <f t="shared" si="85"/>
        <v>0</v>
      </c>
    </row>
    <row r="1588" spans="1:21" x14ac:dyDescent="0.35">
      <c r="A1588">
        <v>2024</v>
      </c>
      <c r="B1588" s="2">
        <v>11</v>
      </c>
      <c r="C1588" s="14">
        <v>45302</v>
      </c>
      <c r="D1588">
        <v>202411</v>
      </c>
      <c r="E1588" s="3" t="s">
        <v>58</v>
      </c>
      <c r="F1588" s="11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T1588" t="str">
        <f t="shared" si="84"/>
        <v>040157202411</v>
      </c>
      <c r="U1588">
        <f t="shared" si="85"/>
        <v>0</v>
      </c>
    </row>
    <row r="1589" spans="1:21" x14ac:dyDescent="0.35">
      <c r="A1589">
        <v>2024</v>
      </c>
      <c r="B1589" s="2">
        <v>11</v>
      </c>
      <c r="C1589" s="14">
        <v>45302</v>
      </c>
      <c r="D1589">
        <v>202411</v>
      </c>
      <c r="E1589" s="3" t="s">
        <v>59</v>
      </c>
      <c r="F1589" s="11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T1589" t="str">
        <f t="shared" si="84"/>
        <v>040158202411</v>
      </c>
      <c r="U1589">
        <f t="shared" si="85"/>
        <v>0</v>
      </c>
    </row>
    <row r="1590" spans="1:21" x14ac:dyDescent="0.35">
      <c r="A1590">
        <v>2024</v>
      </c>
      <c r="B1590" s="2">
        <v>11</v>
      </c>
      <c r="C1590" s="14">
        <v>45302</v>
      </c>
      <c r="D1590">
        <v>202411</v>
      </c>
      <c r="E1590" s="3" t="s">
        <v>60</v>
      </c>
      <c r="F1590" s="11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T1590" t="str">
        <f t="shared" si="84"/>
        <v>040159202411</v>
      </c>
      <c r="U1590">
        <f t="shared" si="85"/>
        <v>0</v>
      </c>
    </row>
    <row r="1591" spans="1:21" x14ac:dyDescent="0.35">
      <c r="A1591">
        <v>2024</v>
      </c>
      <c r="B1591" s="2">
        <v>11</v>
      </c>
      <c r="C1591" s="14">
        <v>45302</v>
      </c>
      <c r="D1591">
        <v>202411</v>
      </c>
      <c r="E1591" s="3" t="s">
        <v>63</v>
      </c>
      <c r="F1591" s="1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T1591" t="str">
        <f t="shared" si="84"/>
        <v>040160202411</v>
      </c>
      <c r="U1591">
        <f t="shared" si="85"/>
        <v>0</v>
      </c>
    </row>
    <row r="1592" spans="1:21" x14ac:dyDescent="0.35">
      <c r="A1592">
        <v>2024</v>
      </c>
      <c r="B1592" s="2">
        <v>11</v>
      </c>
      <c r="C1592" s="14">
        <v>45302</v>
      </c>
      <c r="D1592">
        <v>202411</v>
      </c>
      <c r="E1592" s="3" t="s">
        <v>61</v>
      </c>
      <c r="F1592" s="11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T1592" t="str">
        <f t="shared" si="84"/>
        <v>040162202411</v>
      </c>
      <c r="U1592">
        <f t="shared" si="85"/>
        <v>0</v>
      </c>
    </row>
    <row r="1593" spans="1:21" x14ac:dyDescent="0.35">
      <c r="A1593">
        <v>2024</v>
      </c>
      <c r="B1593" s="2">
        <v>11</v>
      </c>
      <c r="C1593" s="14">
        <v>45302</v>
      </c>
      <c r="D1593">
        <v>202411</v>
      </c>
      <c r="E1593" s="3" t="s">
        <v>114</v>
      </c>
      <c r="F1593" s="11">
        <v>0</v>
      </c>
      <c r="G1593">
        <v>0</v>
      </c>
      <c r="H1593">
        <v>0</v>
      </c>
      <c r="I1593">
        <v>0.37138003999999997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0.19188986999999999</v>
      </c>
      <c r="Q1593">
        <v>0</v>
      </c>
      <c r="R1593">
        <v>0</v>
      </c>
      <c r="T1593" t="str">
        <f t="shared" si="84"/>
        <v>040165202411</v>
      </c>
      <c r="U1593">
        <f t="shared" si="85"/>
        <v>0.37138003999999997</v>
      </c>
    </row>
    <row r="1594" spans="1:21" x14ac:dyDescent="0.35">
      <c r="A1594">
        <v>2024</v>
      </c>
      <c r="B1594" s="2">
        <v>12</v>
      </c>
      <c r="C1594" s="14">
        <v>45303</v>
      </c>
      <c r="D1594">
        <v>202412</v>
      </c>
      <c r="E1594" s="3">
        <v>5</v>
      </c>
      <c r="F1594">
        <v>2900.24775494</v>
      </c>
      <c r="G1594">
        <v>2897.9535792500001</v>
      </c>
      <c r="H1594">
        <v>2.2941756899999999</v>
      </c>
      <c r="I1594">
        <v>10910.10659519</v>
      </c>
      <c r="J1594">
        <v>737.95362363000004</v>
      </c>
      <c r="K1594">
        <v>19.268386370000002</v>
      </c>
      <c r="L1594">
        <v>182.85462472</v>
      </c>
      <c r="M1594">
        <v>137.25270631999999</v>
      </c>
      <c r="N1594">
        <v>45.601918399999995</v>
      </c>
      <c r="O1594">
        <v>0</v>
      </c>
      <c r="P1594">
        <v>231.14792130000001</v>
      </c>
      <c r="Q1594">
        <v>61.368623249999999</v>
      </c>
      <c r="R1594">
        <v>0</v>
      </c>
      <c r="T1594" t="str">
        <f t="shared" si="84"/>
        <v>5202412</v>
      </c>
      <c r="U1594">
        <f t="shared" si="85"/>
        <v>14548.307973760002</v>
      </c>
    </row>
    <row r="1595" spans="1:21" x14ac:dyDescent="0.35">
      <c r="A1595">
        <v>2024</v>
      </c>
      <c r="B1595" s="2">
        <v>12</v>
      </c>
      <c r="C1595" s="14">
        <v>45303</v>
      </c>
      <c r="D1595">
        <v>202412</v>
      </c>
      <c r="E1595" s="3" t="s">
        <v>19</v>
      </c>
      <c r="F1595">
        <v>67.664466489999995</v>
      </c>
      <c r="G1595">
        <v>67.664466489999995</v>
      </c>
      <c r="H1595">
        <v>0</v>
      </c>
      <c r="I1595">
        <v>402.90762745999996</v>
      </c>
      <c r="J1595">
        <v>57.238859990000002</v>
      </c>
      <c r="K1595">
        <v>19.268386370000002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T1595" t="str">
        <f t="shared" si="84"/>
        <v>040002202412</v>
      </c>
      <c r="U1595">
        <f t="shared" si="85"/>
        <v>527.81095393999999</v>
      </c>
    </row>
    <row r="1596" spans="1:21" x14ac:dyDescent="0.35">
      <c r="A1596">
        <v>2024</v>
      </c>
      <c r="B1596" s="2">
        <v>12</v>
      </c>
      <c r="C1596" s="14">
        <v>45303</v>
      </c>
      <c r="D1596">
        <v>202412</v>
      </c>
      <c r="E1596" s="3" t="s">
        <v>20</v>
      </c>
      <c r="F1596">
        <v>457.98680100000001</v>
      </c>
      <c r="G1596">
        <v>457.98680100000001</v>
      </c>
      <c r="H1596">
        <v>0</v>
      </c>
      <c r="I1596">
        <v>4186.9439130000001</v>
      </c>
      <c r="J1596">
        <v>288.55520799999999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T1596" t="str">
        <f t="shared" si="84"/>
        <v>040012202412</v>
      </c>
      <c r="U1596">
        <f t="shared" si="85"/>
        <v>4933.4859219999998</v>
      </c>
    </row>
    <row r="1597" spans="1:21" x14ac:dyDescent="0.35">
      <c r="A1597">
        <v>2024</v>
      </c>
      <c r="B1597" s="2">
        <v>12</v>
      </c>
      <c r="C1597" s="14">
        <v>45303</v>
      </c>
      <c r="D1597">
        <v>202412</v>
      </c>
      <c r="E1597" s="3" t="s">
        <v>21</v>
      </c>
      <c r="F1597">
        <v>870.17263500000001</v>
      </c>
      <c r="G1597">
        <v>870.17263500000001</v>
      </c>
      <c r="H1597">
        <v>0</v>
      </c>
      <c r="I1597">
        <v>1881.3919289999999</v>
      </c>
      <c r="J1597">
        <v>116.297258</v>
      </c>
      <c r="K1597">
        <v>0</v>
      </c>
      <c r="L1597">
        <v>85.343742000000006</v>
      </c>
      <c r="M1597">
        <v>85.343742000000006</v>
      </c>
      <c r="N1597">
        <v>0</v>
      </c>
      <c r="O1597">
        <v>0</v>
      </c>
      <c r="P1597">
        <v>31.571850000000001</v>
      </c>
      <c r="Q1597">
        <v>6.1907360000000002</v>
      </c>
      <c r="R1597">
        <v>0</v>
      </c>
      <c r="T1597" t="str">
        <f t="shared" si="84"/>
        <v>040014202412</v>
      </c>
      <c r="U1597">
        <f t="shared" si="85"/>
        <v>2867.8618219999998</v>
      </c>
    </row>
    <row r="1598" spans="1:21" x14ac:dyDescent="0.35">
      <c r="A1598">
        <v>2024</v>
      </c>
      <c r="B1598" s="2">
        <v>12</v>
      </c>
      <c r="C1598" s="14">
        <v>45303</v>
      </c>
      <c r="D1598">
        <v>202412</v>
      </c>
      <c r="E1598" s="3" t="s">
        <v>22</v>
      </c>
      <c r="F1598">
        <v>224.84819400000001</v>
      </c>
      <c r="G1598">
        <v>222.949681</v>
      </c>
      <c r="H1598">
        <v>1.8985129999999999</v>
      </c>
      <c r="I1598">
        <v>957.46179199999995</v>
      </c>
      <c r="J1598">
        <v>38.174551999999998</v>
      </c>
      <c r="K1598">
        <v>0</v>
      </c>
      <c r="L1598">
        <v>15.587453999999999</v>
      </c>
      <c r="M1598">
        <v>15.587453999999999</v>
      </c>
      <c r="N1598">
        <v>0</v>
      </c>
      <c r="O1598">
        <v>0</v>
      </c>
      <c r="P1598">
        <v>53.390529999999998</v>
      </c>
      <c r="Q1598">
        <v>22.99417</v>
      </c>
      <c r="R1598">
        <v>0</v>
      </c>
      <c r="T1598" t="str">
        <f t="shared" si="84"/>
        <v>040021202412</v>
      </c>
      <c r="U1598">
        <f t="shared" si="85"/>
        <v>1220.4845379999999</v>
      </c>
    </row>
    <row r="1599" spans="1:21" x14ac:dyDescent="0.35">
      <c r="A1599">
        <v>2024</v>
      </c>
      <c r="B1599" s="2">
        <v>12</v>
      </c>
      <c r="C1599" s="14">
        <v>45303</v>
      </c>
      <c r="D1599">
        <v>202412</v>
      </c>
      <c r="E1599" s="3" t="s">
        <v>23</v>
      </c>
      <c r="F1599">
        <v>374.40018577999996</v>
      </c>
      <c r="G1599">
        <v>374.40018577999996</v>
      </c>
      <c r="H1599">
        <v>0</v>
      </c>
      <c r="I1599">
        <v>66.756616260000001</v>
      </c>
      <c r="J1599">
        <v>8.4411948399999996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0.23552288000000002</v>
      </c>
      <c r="R1599">
        <v>0</v>
      </c>
      <c r="T1599" t="str">
        <f t="shared" si="84"/>
        <v>040030202412</v>
      </c>
      <c r="U1599">
        <f t="shared" si="85"/>
        <v>449.59799687999993</v>
      </c>
    </row>
    <row r="1600" spans="1:21" x14ac:dyDescent="0.35">
      <c r="A1600">
        <v>2024</v>
      </c>
      <c r="B1600" s="2">
        <v>12</v>
      </c>
      <c r="C1600" s="14">
        <v>45303</v>
      </c>
      <c r="D1600">
        <v>202412</v>
      </c>
      <c r="E1600" s="3" t="s">
        <v>24</v>
      </c>
      <c r="F1600">
        <v>0</v>
      </c>
      <c r="G1600">
        <v>0</v>
      </c>
      <c r="H1600">
        <v>0</v>
      </c>
      <c r="I1600">
        <v>8.6692699999999991</v>
      </c>
      <c r="J1600">
        <v>1.4803999999999999E-2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T1600" t="str">
        <f t="shared" si="84"/>
        <v>040036202412</v>
      </c>
      <c r="U1600">
        <f t="shared" si="85"/>
        <v>8.684073999999999</v>
      </c>
    </row>
    <row r="1601" spans="1:21" x14ac:dyDescent="0.35">
      <c r="A1601">
        <v>2024</v>
      </c>
      <c r="B1601" s="2">
        <v>12</v>
      </c>
      <c r="C1601" s="14">
        <v>45303</v>
      </c>
      <c r="D1601">
        <v>202412</v>
      </c>
      <c r="E1601" s="3" t="s">
        <v>25</v>
      </c>
      <c r="F1601">
        <v>2.5908890000000002</v>
      </c>
      <c r="G1601">
        <v>2.5908890000000002</v>
      </c>
      <c r="H1601">
        <v>0</v>
      </c>
      <c r="I1601">
        <v>2.0017339999999999</v>
      </c>
      <c r="J1601">
        <v>2.197247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T1601" t="str">
        <f t="shared" si="84"/>
        <v>040042202412</v>
      </c>
      <c r="U1601">
        <f t="shared" si="85"/>
        <v>6.7898699999999996</v>
      </c>
    </row>
    <row r="1602" spans="1:21" x14ac:dyDescent="0.35">
      <c r="A1602">
        <v>2024</v>
      </c>
      <c r="B1602" s="2">
        <v>12</v>
      </c>
      <c r="C1602" s="14">
        <v>45303</v>
      </c>
      <c r="D1602">
        <v>202412</v>
      </c>
      <c r="E1602" s="3" t="s">
        <v>26</v>
      </c>
      <c r="F1602">
        <v>701.27461600000004</v>
      </c>
      <c r="G1602">
        <v>701.27461600000004</v>
      </c>
      <c r="H1602">
        <v>0</v>
      </c>
      <c r="I1602">
        <v>277.79386399999999</v>
      </c>
      <c r="J1602">
        <v>32.657862999999999</v>
      </c>
      <c r="K1602">
        <v>0</v>
      </c>
      <c r="L1602">
        <v>18.540669999999999</v>
      </c>
      <c r="M1602">
        <v>18.540669999999999</v>
      </c>
      <c r="N1602">
        <v>0</v>
      </c>
      <c r="O1602">
        <v>0</v>
      </c>
      <c r="P1602">
        <v>19.399277000000001</v>
      </c>
      <c r="Q1602">
        <v>16.009121</v>
      </c>
      <c r="R1602">
        <v>0</v>
      </c>
      <c r="T1602" t="str">
        <f t="shared" si="84"/>
        <v>040044202412</v>
      </c>
      <c r="U1602">
        <f t="shared" si="85"/>
        <v>1011.726343</v>
      </c>
    </row>
    <row r="1603" spans="1:21" x14ac:dyDescent="0.35">
      <c r="A1603">
        <v>2024</v>
      </c>
      <c r="B1603" s="2">
        <v>12</v>
      </c>
      <c r="C1603" s="14">
        <v>45303</v>
      </c>
      <c r="D1603">
        <v>202412</v>
      </c>
      <c r="E1603" s="3" t="s">
        <v>27</v>
      </c>
      <c r="F1603">
        <v>74.053127119999999</v>
      </c>
      <c r="G1603">
        <v>74.04896045000001</v>
      </c>
      <c r="H1603">
        <v>4.1666699999999999E-3</v>
      </c>
      <c r="I1603">
        <v>147.37941053</v>
      </c>
      <c r="J1603">
        <v>0.67665401999999997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T1603" t="str">
        <f t="shared" si="84"/>
        <v>040058202412</v>
      </c>
      <c r="U1603">
        <f t="shared" si="85"/>
        <v>222.10919167</v>
      </c>
    </row>
    <row r="1604" spans="1:21" x14ac:dyDescent="0.35">
      <c r="A1604">
        <v>2024</v>
      </c>
      <c r="B1604" s="2">
        <v>12</v>
      </c>
      <c r="C1604" s="14">
        <v>45303</v>
      </c>
      <c r="D1604">
        <v>202412</v>
      </c>
      <c r="E1604" s="3" t="s">
        <v>28</v>
      </c>
      <c r="F1604">
        <v>0</v>
      </c>
      <c r="G1604">
        <v>0</v>
      </c>
      <c r="H1604">
        <v>0</v>
      </c>
      <c r="I1604">
        <v>224.18751800000001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T1604" t="str">
        <f t="shared" si="84"/>
        <v>040059202412</v>
      </c>
      <c r="U1604">
        <f t="shared" si="85"/>
        <v>224.18751800000001</v>
      </c>
    </row>
    <row r="1605" spans="1:21" x14ac:dyDescent="0.35">
      <c r="A1605">
        <v>2024</v>
      </c>
      <c r="B1605" s="2">
        <v>12</v>
      </c>
      <c r="C1605" s="14">
        <v>45303</v>
      </c>
      <c r="D1605">
        <v>202412</v>
      </c>
      <c r="E1605" s="3" t="s">
        <v>62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T1605" t="str">
        <f t="shared" si="84"/>
        <v>040060202412</v>
      </c>
      <c r="U1605">
        <f t="shared" si="85"/>
        <v>0</v>
      </c>
    </row>
    <row r="1606" spans="1:21" x14ac:dyDescent="0.35">
      <c r="A1606">
        <v>2024</v>
      </c>
      <c r="B1606" s="2">
        <v>12</v>
      </c>
      <c r="C1606" s="14">
        <v>45303</v>
      </c>
      <c r="D1606">
        <v>202412</v>
      </c>
      <c r="E1606" s="3" t="s">
        <v>29</v>
      </c>
      <c r="F1606">
        <v>1.1640109999999999</v>
      </c>
      <c r="G1606">
        <v>1.1640109999999999</v>
      </c>
      <c r="H1606">
        <v>0</v>
      </c>
      <c r="I1606">
        <v>128.513048</v>
      </c>
      <c r="J1606">
        <v>9.3129489999999997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T1606" t="str">
        <f t="shared" si="84"/>
        <v>040062202412</v>
      </c>
      <c r="U1606">
        <f t="shared" si="85"/>
        <v>138.99000799999999</v>
      </c>
    </row>
    <row r="1607" spans="1:21" x14ac:dyDescent="0.35">
      <c r="A1607">
        <v>2024</v>
      </c>
      <c r="B1607" s="2">
        <v>12</v>
      </c>
      <c r="C1607" s="14">
        <v>45303</v>
      </c>
      <c r="D1607">
        <v>202412</v>
      </c>
      <c r="E1607" s="3" t="s">
        <v>30</v>
      </c>
      <c r="F1607">
        <v>108.35800157</v>
      </c>
      <c r="G1607">
        <v>108.35800157</v>
      </c>
      <c r="H1607">
        <v>0</v>
      </c>
      <c r="I1607">
        <v>1289.38538382</v>
      </c>
      <c r="J1607">
        <v>183.80643702</v>
      </c>
      <c r="K1607">
        <v>0</v>
      </c>
      <c r="L1607">
        <v>17.661060350000003</v>
      </c>
      <c r="M1607">
        <v>17.661060350000003</v>
      </c>
      <c r="N1607">
        <v>0</v>
      </c>
      <c r="O1607">
        <v>0</v>
      </c>
      <c r="P1607">
        <v>100.80874109999999</v>
      </c>
      <c r="Q1607">
        <v>15.766049519999999</v>
      </c>
      <c r="R1607">
        <v>0</v>
      </c>
      <c r="T1607" t="str">
        <f t="shared" si="84"/>
        <v>040072202412</v>
      </c>
      <c r="U1607">
        <f t="shared" si="85"/>
        <v>1581.5498224099999</v>
      </c>
    </row>
    <row r="1608" spans="1:21" x14ac:dyDescent="0.35">
      <c r="A1608">
        <v>2024</v>
      </c>
      <c r="B1608" s="2">
        <v>12</v>
      </c>
      <c r="C1608" s="14">
        <v>45303</v>
      </c>
      <c r="D1608">
        <v>202412</v>
      </c>
      <c r="E1608" s="3" t="s">
        <v>31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T1608" t="str">
        <f t="shared" si="84"/>
        <v>040106202412</v>
      </c>
      <c r="U1608">
        <f t="shared" si="85"/>
        <v>0</v>
      </c>
    </row>
    <row r="1609" spans="1:21" x14ac:dyDescent="0.35">
      <c r="A1609">
        <v>2024</v>
      </c>
      <c r="B1609" s="2">
        <v>12</v>
      </c>
      <c r="C1609" s="14">
        <v>45303</v>
      </c>
      <c r="D1609">
        <v>202412</v>
      </c>
      <c r="E1609" s="3" t="s">
        <v>32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T1609" t="str">
        <f t="shared" si="84"/>
        <v>040108202412</v>
      </c>
      <c r="U1609">
        <f t="shared" si="85"/>
        <v>0</v>
      </c>
    </row>
    <row r="1610" spans="1:21" x14ac:dyDescent="0.35">
      <c r="A1610">
        <v>2024</v>
      </c>
      <c r="B1610" s="2">
        <v>12</v>
      </c>
      <c r="C1610" s="14">
        <v>45303</v>
      </c>
      <c r="D1610">
        <v>202412</v>
      </c>
      <c r="E1610" s="3" t="s">
        <v>33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T1610" t="str">
        <f t="shared" si="84"/>
        <v>040110202412</v>
      </c>
      <c r="U1610">
        <f t="shared" si="85"/>
        <v>0</v>
      </c>
    </row>
    <row r="1611" spans="1:21" x14ac:dyDescent="0.35">
      <c r="A1611">
        <v>2024</v>
      </c>
      <c r="B1611" s="2">
        <v>12</v>
      </c>
      <c r="C1611" s="14">
        <v>45303</v>
      </c>
      <c r="D1611">
        <v>202412</v>
      </c>
      <c r="E1611" s="3" t="s">
        <v>34</v>
      </c>
      <c r="F1611">
        <v>0</v>
      </c>
      <c r="G1611">
        <v>0</v>
      </c>
      <c r="H1611">
        <v>0</v>
      </c>
      <c r="I1611">
        <v>0</v>
      </c>
      <c r="J1611">
        <v>3.5726910000000001E-2</v>
      </c>
      <c r="K1611">
        <v>0</v>
      </c>
      <c r="L1611">
        <v>0.11977997</v>
      </c>
      <c r="M1611">
        <v>0.11977997</v>
      </c>
      <c r="N1611">
        <v>0</v>
      </c>
      <c r="O1611">
        <v>0</v>
      </c>
      <c r="P1611">
        <v>0</v>
      </c>
      <c r="Q1611">
        <v>0</v>
      </c>
      <c r="R1611">
        <v>0</v>
      </c>
      <c r="T1611" t="str">
        <f t="shared" si="84"/>
        <v>040112202412</v>
      </c>
      <c r="U1611">
        <f t="shared" si="85"/>
        <v>3.5726910000000001E-2</v>
      </c>
    </row>
    <row r="1612" spans="1:21" x14ac:dyDescent="0.35">
      <c r="A1612">
        <v>2024</v>
      </c>
      <c r="B1612" s="2">
        <v>12</v>
      </c>
      <c r="C1612" s="14">
        <v>45303</v>
      </c>
      <c r="D1612">
        <v>202412</v>
      </c>
      <c r="E1612" s="3" t="s">
        <v>35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T1612" t="str">
        <f t="shared" ref="T1612:T1639" si="86">+E1612&amp;D1612</f>
        <v>040113202412</v>
      </c>
      <c r="U1612">
        <f t="shared" ref="U1612:U1639" si="87">+F1612+I1612+J1612</f>
        <v>0</v>
      </c>
    </row>
    <row r="1613" spans="1:21" x14ac:dyDescent="0.35">
      <c r="A1613">
        <v>2024</v>
      </c>
      <c r="B1613" s="2">
        <v>12</v>
      </c>
      <c r="C1613" s="14">
        <v>45303</v>
      </c>
      <c r="D1613">
        <v>202412</v>
      </c>
      <c r="E1613" s="3" t="s">
        <v>37</v>
      </c>
      <c r="F1613">
        <v>0</v>
      </c>
      <c r="G1613">
        <v>0</v>
      </c>
      <c r="H1613">
        <v>0</v>
      </c>
      <c r="I1613">
        <v>863.20758896000007</v>
      </c>
      <c r="J1613">
        <v>1.824914E-2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T1613" t="str">
        <f t="shared" si="86"/>
        <v>040127202412</v>
      </c>
      <c r="U1613">
        <f t="shared" si="87"/>
        <v>863.22583810000003</v>
      </c>
    </row>
    <row r="1614" spans="1:21" x14ac:dyDescent="0.35">
      <c r="A1614">
        <v>2024</v>
      </c>
      <c r="B1614" s="2">
        <v>12</v>
      </c>
      <c r="C1614" s="14">
        <v>45303</v>
      </c>
      <c r="D1614">
        <v>202412</v>
      </c>
      <c r="E1614" s="3" t="s">
        <v>38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T1614" t="str">
        <f t="shared" si="86"/>
        <v>040128202412</v>
      </c>
      <c r="U1614">
        <f t="shared" si="87"/>
        <v>0</v>
      </c>
    </row>
    <row r="1615" spans="1:21" x14ac:dyDescent="0.35">
      <c r="A1615">
        <v>2024</v>
      </c>
      <c r="B1615" s="2">
        <v>12</v>
      </c>
      <c r="C1615" s="14">
        <v>45303</v>
      </c>
      <c r="D1615">
        <v>202412</v>
      </c>
      <c r="E1615" s="3" t="s">
        <v>39</v>
      </c>
      <c r="F1615">
        <v>0</v>
      </c>
      <c r="G1615">
        <v>0</v>
      </c>
      <c r="H1615">
        <v>0</v>
      </c>
      <c r="I1615">
        <v>387.06853899999999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19.620578999999999</v>
      </c>
      <c r="Q1615">
        <v>0</v>
      </c>
      <c r="R1615">
        <v>0</v>
      </c>
      <c r="T1615" t="str">
        <f t="shared" si="86"/>
        <v>040130202412</v>
      </c>
      <c r="U1615">
        <f t="shared" si="87"/>
        <v>387.06853899999999</v>
      </c>
    </row>
    <row r="1616" spans="1:21" x14ac:dyDescent="0.35">
      <c r="A1616">
        <v>2024</v>
      </c>
      <c r="B1616" s="2">
        <v>12</v>
      </c>
      <c r="C1616" s="14">
        <v>45303</v>
      </c>
      <c r="D1616">
        <v>202412</v>
      </c>
      <c r="E1616" s="3" t="s">
        <v>40</v>
      </c>
      <c r="F1616">
        <v>0.752888</v>
      </c>
      <c r="G1616">
        <v>0.752888</v>
      </c>
      <c r="H1616">
        <v>0</v>
      </c>
      <c r="I1616">
        <v>1.2E-5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T1616" t="str">
        <f t="shared" si="86"/>
        <v>040132202412</v>
      </c>
      <c r="U1616">
        <f t="shared" si="87"/>
        <v>0.75290000000000001</v>
      </c>
    </row>
    <row r="1617" spans="1:21" x14ac:dyDescent="0.35">
      <c r="A1617">
        <v>2024</v>
      </c>
      <c r="B1617" s="2">
        <v>12</v>
      </c>
      <c r="C1617" s="14">
        <v>45303</v>
      </c>
      <c r="D1617">
        <v>202412</v>
      </c>
      <c r="E1617" s="3" t="s">
        <v>41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T1617" t="str">
        <f t="shared" si="86"/>
        <v>040133202412</v>
      </c>
      <c r="U1617">
        <f t="shared" si="87"/>
        <v>0</v>
      </c>
    </row>
    <row r="1618" spans="1:21" x14ac:dyDescent="0.35">
      <c r="A1618">
        <v>2024</v>
      </c>
      <c r="B1618" s="2">
        <v>12</v>
      </c>
      <c r="C1618" s="14">
        <v>45303</v>
      </c>
      <c r="D1618">
        <v>202412</v>
      </c>
      <c r="E1618" s="3" t="s">
        <v>42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T1618" t="str">
        <f t="shared" si="86"/>
        <v>040136202412</v>
      </c>
      <c r="U1618">
        <f t="shared" si="87"/>
        <v>0</v>
      </c>
    </row>
    <row r="1619" spans="1:21" x14ac:dyDescent="0.35">
      <c r="A1619">
        <v>2024</v>
      </c>
      <c r="B1619" s="2">
        <v>12</v>
      </c>
      <c r="C1619" s="14">
        <v>45303</v>
      </c>
      <c r="D1619">
        <v>202412</v>
      </c>
      <c r="E1619" s="3" t="s">
        <v>43</v>
      </c>
      <c r="F1619">
        <v>0</v>
      </c>
      <c r="G1619">
        <v>0</v>
      </c>
      <c r="H1619">
        <v>0</v>
      </c>
      <c r="I1619">
        <v>24.344075030000003</v>
      </c>
      <c r="J1619">
        <v>0.45686885999999999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T1619" t="str">
        <f t="shared" si="86"/>
        <v>040137202412</v>
      </c>
      <c r="U1619">
        <f t="shared" si="87"/>
        <v>24.800943890000003</v>
      </c>
    </row>
    <row r="1620" spans="1:21" x14ac:dyDescent="0.35">
      <c r="A1620">
        <v>2024</v>
      </c>
      <c r="B1620" s="2">
        <v>12</v>
      </c>
      <c r="C1620" s="14">
        <v>45303</v>
      </c>
      <c r="D1620">
        <v>202412</v>
      </c>
      <c r="E1620" s="3" t="s">
        <v>44</v>
      </c>
      <c r="F1620">
        <v>0</v>
      </c>
      <c r="G1620">
        <v>0</v>
      </c>
      <c r="H1620">
        <v>0</v>
      </c>
      <c r="I1620">
        <v>16.086207340000001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T1620" t="str">
        <f t="shared" si="86"/>
        <v>040138202412</v>
      </c>
      <c r="U1620">
        <f t="shared" si="87"/>
        <v>16.086207340000001</v>
      </c>
    </row>
    <row r="1621" spans="1:21" x14ac:dyDescent="0.35">
      <c r="A1621">
        <v>2024</v>
      </c>
      <c r="B1621" s="2">
        <v>12</v>
      </c>
      <c r="C1621" s="14">
        <v>45303</v>
      </c>
      <c r="D1621">
        <v>202412</v>
      </c>
      <c r="E1621" s="3" t="s">
        <v>45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T1621" t="str">
        <f t="shared" si="86"/>
        <v>040139202412</v>
      </c>
      <c r="U1621">
        <f t="shared" si="87"/>
        <v>0</v>
      </c>
    </row>
    <row r="1622" spans="1:21" x14ac:dyDescent="0.35">
      <c r="A1622">
        <v>2024</v>
      </c>
      <c r="B1622" s="2">
        <v>12</v>
      </c>
      <c r="C1622" s="14">
        <v>45303</v>
      </c>
      <c r="D1622">
        <v>202412</v>
      </c>
      <c r="E1622" s="3" t="s">
        <v>46</v>
      </c>
      <c r="F1622">
        <v>0</v>
      </c>
      <c r="G1622">
        <v>0</v>
      </c>
      <c r="H1622">
        <v>0</v>
      </c>
      <c r="I1622">
        <v>35.550671000000001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T1622" t="str">
        <f t="shared" si="86"/>
        <v>040140202412</v>
      </c>
      <c r="U1622">
        <f t="shared" si="87"/>
        <v>35.550671000000001</v>
      </c>
    </row>
    <row r="1623" spans="1:21" x14ac:dyDescent="0.35">
      <c r="A1623">
        <v>2024</v>
      </c>
      <c r="B1623" s="2">
        <v>12</v>
      </c>
      <c r="C1623" s="14">
        <v>45303</v>
      </c>
      <c r="D1623">
        <v>202412</v>
      </c>
      <c r="E1623" s="3" t="s">
        <v>47</v>
      </c>
      <c r="F1623">
        <v>0</v>
      </c>
      <c r="G1623">
        <v>0</v>
      </c>
      <c r="H1623">
        <v>0</v>
      </c>
      <c r="I1623">
        <v>4.8099999999999997E-2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T1623" t="str">
        <f t="shared" si="86"/>
        <v>040141202412</v>
      </c>
      <c r="U1623">
        <f t="shared" si="87"/>
        <v>4.8099999999999997E-2</v>
      </c>
    </row>
    <row r="1624" spans="1:21" x14ac:dyDescent="0.35">
      <c r="A1624">
        <v>2024</v>
      </c>
      <c r="B1624" s="2">
        <v>12</v>
      </c>
      <c r="C1624" s="14">
        <v>45303</v>
      </c>
      <c r="D1624">
        <v>202412</v>
      </c>
      <c r="E1624" s="3" t="s">
        <v>48</v>
      </c>
      <c r="F1624">
        <v>8.6986744399999996</v>
      </c>
      <c r="G1624">
        <v>8.3166119999999992</v>
      </c>
      <c r="H1624">
        <v>0.38206244</v>
      </c>
      <c r="I1624">
        <v>2.9657596800000001</v>
      </c>
      <c r="J1624">
        <v>6.9751850000000004E-2</v>
      </c>
      <c r="K1624">
        <v>0</v>
      </c>
      <c r="L1624">
        <v>45.601918399999995</v>
      </c>
      <c r="M1624">
        <v>0</v>
      </c>
      <c r="N1624">
        <v>45.601918399999995</v>
      </c>
      <c r="O1624">
        <v>0</v>
      </c>
      <c r="P1624">
        <v>6.3277099400000001</v>
      </c>
      <c r="Q1624">
        <v>0.17302385000000001</v>
      </c>
      <c r="R1624">
        <v>0</v>
      </c>
      <c r="T1624" t="str">
        <f t="shared" si="86"/>
        <v>040143202412</v>
      </c>
      <c r="U1624">
        <f t="shared" si="87"/>
        <v>11.734185969999999</v>
      </c>
    </row>
    <row r="1625" spans="1:21" x14ac:dyDescent="0.35">
      <c r="A1625">
        <v>2024</v>
      </c>
      <c r="B1625" s="2">
        <v>12</v>
      </c>
      <c r="C1625" s="14">
        <v>45303</v>
      </c>
      <c r="D1625">
        <v>202412</v>
      </c>
      <c r="E1625" s="3" t="s">
        <v>49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T1625" t="str">
        <f t="shared" si="86"/>
        <v>040145202412</v>
      </c>
      <c r="U1625">
        <f t="shared" si="87"/>
        <v>0</v>
      </c>
    </row>
    <row r="1626" spans="1:21" x14ac:dyDescent="0.35">
      <c r="A1626">
        <v>2024</v>
      </c>
      <c r="B1626" s="2">
        <v>12</v>
      </c>
      <c r="C1626" s="14">
        <v>45303</v>
      </c>
      <c r="D1626">
        <v>202412</v>
      </c>
      <c r="E1626" s="3" t="s">
        <v>50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T1626" t="str">
        <f t="shared" si="86"/>
        <v>040147202412</v>
      </c>
      <c r="U1626">
        <f t="shared" si="87"/>
        <v>0</v>
      </c>
    </row>
    <row r="1627" spans="1:21" x14ac:dyDescent="0.35">
      <c r="A1627">
        <v>2024</v>
      </c>
      <c r="B1627" s="2">
        <v>12</v>
      </c>
      <c r="C1627" s="14">
        <v>45303</v>
      </c>
      <c r="D1627">
        <v>202412</v>
      </c>
      <c r="E1627" s="3" t="s">
        <v>51</v>
      </c>
      <c r="F1627">
        <v>0</v>
      </c>
      <c r="G1627">
        <v>0</v>
      </c>
      <c r="H1627">
        <v>0</v>
      </c>
      <c r="I1627">
        <v>5.646312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T1627" t="str">
        <f t="shared" si="86"/>
        <v>040149202412</v>
      </c>
      <c r="U1627">
        <f t="shared" si="87"/>
        <v>5.646312</v>
      </c>
    </row>
    <row r="1628" spans="1:21" x14ac:dyDescent="0.35">
      <c r="A1628">
        <v>2024</v>
      </c>
      <c r="B1628" s="2">
        <v>12</v>
      </c>
      <c r="C1628" s="14">
        <v>45303</v>
      </c>
      <c r="D1628">
        <v>202412</v>
      </c>
      <c r="E1628" s="3" t="s">
        <v>52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T1628" t="str">
        <f t="shared" si="86"/>
        <v>040150202412</v>
      </c>
      <c r="U1628">
        <f t="shared" si="87"/>
        <v>0</v>
      </c>
    </row>
    <row r="1629" spans="1:21" x14ac:dyDescent="0.35">
      <c r="A1629">
        <v>2024</v>
      </c>
      <c r="B1629" s="2">
        <v>12</v>
      </c>
      <c r="C1629" s="14">
        <v>45303</v>
      </c>
      <c r="D1629">
        <v>202412</v>
      </c>
      <c r="E1629" s="3" t="s">
        <v>53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T1629" t="str">
        <f t="shared" si="86"/>
        <v>040151202412</v>
      </c>
      <c r="U1629">
        <f t="shared" si="87"/>
        <v>0</v>
      </c>
    </row>
    <row r="1630" spans="1:21" x14ac:dyDescent="0.35">
      <c r="A1630">
        <v>2024</v>
      </c>
      <c r="B1630" s="2">
        <v>12</v>
      </c>
      <c r="C1630" s="14">
        <v>45303</v>
      </c>
      <c r="D1630">
        <v>202412</v>
      </c>
      <c r="E1630" s="3" t="s">
        <v>54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T1630" t="str">
        <f t="shared" si="86"/>
        <v>040152202412</v>
      </c>
      <c r="U1630">
        <f t="shared" si="87"/>
        <v>0</v>
      </c>
    </row>
    <row r="1631" spans="1:21" x14ac:dyDescent="0.35">
      <c r="A1631">
        <v>2024</v>
      </c>
      <c r="B1631" s="2">
        <v>12</v>
      </c>
      <c r="C1631" s="14">
        <v>45303</v>
      </c>
      <c r="D1631">
        <v>202412</v>
      </c>
      <c r="E1631" s="3" t="s">
        <v>55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T1631" t="str">
        <f t="shared" si="86"/>
        <v>040154202412</v>
      </c>
      <c r="U1631">
        <f t="shared" si="87"/>
        <v>0</v>
      </c>
    </row>
    <row r="1632" spans="1:21" x14ac:dyDescent="0.35">
      <c r="A1632">
        <v>2024</v>
      </c>
      <c r="B1632" s="2">
        <v>12</v>
      </c>
      <c r="C1632" s="14">
        <v>45303</v>
      </c>
      <c r="D1632">
        <v>202412</v>
      </c>
      <c r="E1632" s="3" t="s">
        <v>56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T1632" t="str">
        <f t="shared" si="86"/>
        <v>040155202412</v>
      </c>
      <c r="U1632">
        <f t="shared" si="87"/>
        <v>0</v>
      </c>
    </row>
    <row r="1633" spans="1:21" x14ac:dyDescent="0.35">
      <c r="A1633">
        <v>2024</v>
      </c>
      <c r="B1633" s="2">
        <v>12</v>
      </c>
      <c r="C1633" s="14">
        <v>45303</v>
      </c>
      <c r="D1633">
        <v>202412</v>
      </c>
      <c r="E1633" s="3" t="s">
        <v>57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T1633" t="str">
        <f t="shared" si="86"/>
        <v>040156202412</v>
      </c>
      <c r="U1633">
        <f t="shared" si="87"/>
        <v>0</v>
      </c>
    </row>
    <row r="1634" spans="1:21" x14ac:dyDescent="0.35">
      <c r="A1634">
        <v>2024</v>
      </c>
      <c r="B1634" s="2">
        <v>12</v>
      </c>
      <c r="C1634" s="14">
        <v>45303</v>
      </c>
      <c r="D1634">
        <v>202412</v>
      </c>
      <c r="E1634" s="3" t="s">
        <v>58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T1634" t="str">
        <f t="shared" si="86"/>
        <v>040157202412</v>
      </c>
      <c r="U1634">
        <f t="shared" si="87"/>
        <v>0</v>
      </c>
    </row>
    <row r="1635" spans="1:21" x14ac:dyDescent="0.35">
      <c r="A1635">
        <v>2024</v>
      </c>
      <c r="B1635" s="2">
        <v>12</v>
      </c>
      <c r="C1635" s="14">
        <v>45303</v>
      </c>
      <c r="D1635">
        <v>202412</v>
      </c>
      <c r="E1635" s="3" t="s">
        <v>59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T1635" t="str">
        <f t="shared" si="86"/>
        <v>040158202412</v>
      </c>
      <c r="U1635">
        <f t="shared" si="87"/>
        <v>0</v>
      </c>
    </row>
    <row r="1636" spans="1:21" x14ac:dyDescent="0.35">
      <c r="A1636">
        <v>2024</v>
      </c>
      <c r="B1636" s="2">
        <v>12</v>
      </c>
      <c r="C1636" s="14">
        <v>45303</v>
      </c>
      <c r="D1636">
        <v>202412</v>
      </c>
      <c r="E1636" s="3" t="s">
        <v>60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T1636" t="str">
        <f t="shared" si="86"/>
        <v>040159202412</v>
      </c>
      <c r="U1636">
        <f t="shared" si="87"/>
        <v>0</v>
      </c>
    </row>
    <row r="1637" spans="1:21" x14ac:dyDescent="0.35">
      <c r="A1637">
        <v>2024</v>
      </c>
      <c r="B1637" s="2">
        <v>12</v>
      </c>
      <c r="C1637" s="14">
        <v>45303</v>
      </c>
      <c r="D1637">
        <v>202412</v>
      </c>
      <c r="E1637" s="3" t="s">
        <v>63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T1637" t="str">
        <f t="shared" si="86"/>
        <v>040160202412</v>
      </c>
      <c r="U1637">
        <f t="shared" si="87"/>
        <v>0</v>
      </c>
    </row>
    <row r="1638" spans="1:21" x14ac:dyDescent="0.35">
      <c r="A1638">
        <v>2024</v>
      </c>
      <c r="B1638" s="2">
        <v>12</v>
      </c>
      <c r="C1638" s="14">
        <v>45303</v>
      </c>
      <c r="D1638">
        <v>202412</v>
      </c>
      <c r="E1638" s="3" t="s">
        <v>61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T1638" t="str">
        <f t="shared" si="86"/>
        <v>040162202412</v>
      </c>
      <c r="U1638">
        <f t="shared" si="87"/>
        <v>0</v>
      </c>
    </row>
    <row r="1639" spans="1:21" x14ac:dyDescent="0.35">
      <c r="A1639">
        <v>2024</v>
      </c>
      <c r="B1639" s="2">
        <v>12</v>
      </c>
      <c r="C1639" s="14">
        <v>45303</v>
      </c>
      <c r="D1639">
        <v>202412</v>
      </c>
      <c r="E1639" s="3" t="s">
        <v>114</v>
      </c>
      <c r="F1639">
        <v>0</v>
      </c>
      <c r="G1639">
        <v>0</v>
      </c>
      <c r="H1639">
        <v>0</v>
      </c>
      <c r="I1639">
        <v>1.7972241100000002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2.9234259999999998E-2</v>
      </c>
      <c r="Q1639">
        <v>0</v>
      </c>
      <c r="R1639">
        <v>0</v>
      </c>
      <c r="T1639" t="str">
        <f t="shared" si="86"/>
        <v>040165202412</v>
      </c>
      <c r="U1639">
        <f t="shared" si="87"/>
        <v>1.7972241100000002</v>
      </c>
    </row>
    <row r="1640" spans="1:21" x14ac:dyDescent="0.35">
      <c r="A1640">
        <v>2025</v>
      </c>
      <c r="B1640" s="7" t="s">
        <v>88</v>
      </c>
      <c r="C1640" s="7" t="s">
        <v>126</v>
      </c>
      <c r="D1640">
        <v>202501</v>
      </c>
      <c r="E1640" s="3">
        <v>5</v>
      </c>
      <c r="F1640">
        <v>2387.6976909999998</v>
      </c>
      <c r="G1640">
        <v>11024.484571370002</v>
      </c>
      <c r="H1640">
        <v>450.87588472000004</v>
      </c>
      <c r="I1640">
        <v>2387.1720211699999</v>
      </c>
      <c r="J1640">
        <v>0.49821082999999999</v>
      </c>
      <c r="K1640">
        <v>285.00021155000002</v>
      </c>
      <c r="L1640">
        <v>62.187970579999998</v>
      </c>
      <c r="M1640">
        <v>62.187893469999999</v>
      </c>
      <c r="N1640">
        <v>213.71285865999999</v>
      </c>
      <c r="O1640">
        <v>83.07030623</v>
      </c>
      <c r="P1640">
        <v>62.187893469999999</v>
      </c>
      <c r="Q1640">
        <v>0</v>
      </c>
      <c r="R1640">
        <v>7.7109999999999999E-5</v>
      </c>
      <c r="T1640" t="str">
        <f t="shared" ref="T1640:T1645" si="88">+E1640&amp;D1640</f>
        <v>5202501</v>
      </c>
      <c r="U1640">
        <f t="shared" ref="U1640:U1645" si="89">+F1640+I1640+J1640</f>
        <v>4775.3679229999998</v>
      </c>
    </row>
    <row r="1641" spans="1:21" x14ac:dyDescent="0.35">
      <c r="A1641">
        <v>2025</v>
      </c>
      <c r="B1641" s="7" t="s">
        <v>88</v>
      </c>
      <c r="C1641" s="7" t="s">
        <v>126</v>
      </c>
      <c r="D1641">
        <v>202501</v>
      </c>
      <c r="E1641" s="3" t="s">
        <v>19</v>
      </c>
      <c r="F1641">
        <v>72.100044959999991</v>
      </c>
      <c r="G1641">
        <v>416.09016502999998</v>
      </c>
      <c r="H1641">
        <v>54.048974100000002</v>
      </c>
      <c r="I1641">
        <v>72.100044959999991</v>
      </c>
      <c r="J1641">
        <v>0</v>
      </c>
      <c r="K1641">
        <v>285.00021155000002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T1641" t="str">
        <f t="shared" si="88"/>
        <v>040002202501</v>
      </c>
      <c r="U1641">
        <f t="shared" si="89"/>
        <v>144.20008991999998</v>
      </c>
    </row>
    <row r="1642" spans="1:21" x14ac:dyDescent="0.35">
      <c r="A1642">
        <v>2025</v>
      </c>
      <c r="B1642" s="7" t="s">
        <v>88</v>
      </c>
      <c r="C1642" s="7" t="s">
        <v>126</v>
      </c>
      <c r="D1642">
        <v>202501</v>
      </c>
      <c r="E1642" s="3" t="s">
        <v>20</v>
      </c>
      <c r="F1642">
        <v>320.83700900000002</v>
      </c>
      <c r="G1642">
        <v>4245.507404</v>
      </c>
      <c r="H1642">
        <v>116.362848</v>
      </c>
      <c r="I1642">
        <v>320.68379299999998</v>
      </c>
      <c r="J1642">
        <v>0.12575700000000001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T1642" t="str">
        <f t="shared" si="88"/>
        <v>040012202501</v>
      </c>
      <c r="U1642">
        <f t="shared" si="89"/>
        <v>641.64655900000002</v>
      </c>
    </row>
    <row r="1643" spans="1:21" x14ac:dyDescent="0.35">
      <c r="A1643">
        <v>2025</v>
      </c>
      <c r="B1643" s="7" t="s">
        <v>88</v>
      </c>
      <c r="C1643" s="7" t="s">
        <v>126</v>
      </c>
      <c r="D1643">
        <v>202501</v>
      </c>
      <c r="E1643" s="3" t="s">
        <v>21</v>
      </c>
      <c r="F1643">
        <v>263.63849699999997</v>
      </c>
      <c r="G1643">
        <v>1617.4132910000001</v>
      </c>
      <c r="H1643">
        <v>68.066543999999993</v>
      </c>
      <c r="I1643">
        <v>263.63849699999997</v>
      </c>
      <c r="J1643">
        <v>0</v>
      </c>
      <c r="K1643">
        <v>0</v>
      </c>
      <c r="L1643">
        <v>11.047093</v>
      </c>
      <c r="M1643">
        <v>11.047093</v>
      </c>
      <c r="N1643">
        <v>33.205348999999998</v>
      </c>
      <c r="O1643">
        <v>14.78875</v>
      </c>
      <c r="P1643">
        <v>11.047093</v>
      </c>
      <c r="Q1643">
        <v>0</v>
      </c>
      <c r="R1643">
        <v>0</v>
      </c>
      <c r="T1643" t="str">
        <f t="shared" si="88"/>
        <v>040014202501</v>
      </c>
      <c r="U1643">
        <f t="shared" si="89"/>
        <v>527.27699399999995</v>
      </c>
    </row>
    <row r="1644" spans="1:21" x14ac:dyDescent="0.35">
      <c r="A1644">
        <v>2025</v>
      </c>
      <c r="B1644" s="7" t="s">
        <v>88</v>
      </c>
      <c r="C1644" s="7" t="s">
        <v>126</v>
      </c>
      <c r="D1644">
        <v>202501</v>
      </c>
      <c r="E1644" s="3" t="s">
        <v>22</v>
      </c>
      <c r="F1644">
        <v>77.270268000000002</v>
      </c>
      <c r="G1644">
        <v>996.61688200000003</v>
      </c>
      <c r="H1644">
        <v>29.997869000000001</v>
      </c>
      <c r="I1644">
        <v>77.270268000000002</v>
      </c>
      <c r="J1644">
        <v>0</v>
      </c>
      <c r="K1644">
        <v>0</v>
      </c>
      <c r="L1644">
        <v>15.147319</v>
      </c>
      <c r="M1644">
        <v>15.147319</v>
      </c>
      <c r="N1644">
        <v>49.846539999999997</v>
      </c>
      <c r="O1644">
        <v>17.743579</v>
      </c>
      <c r="P1644">
        <v>15.147319</v>
      </c>
      <c r="Q1644">
        <v>0</v>
      </c>
      <c r="R1644">
        <v>0</v>
      </c>
      <c r="T1644" t="str">
        <f t="shared" si="88"/>
        <v>040021202501</v>
      </c>
      <c r="U1644">
        <f t="shared" si="89"/>
        <v>154.540536</v>
      </c>
    </row>
    <row r="1645" spans="1:21" x14ac:dyDescent="0.35">
      <c r="A1645">
        <v>2025</v>
      </c>
      <c r="B1645" s="7" t="s">
        <v>88</v>
      </c>
      <c r="C1645" s="7" t="s">
        <v>126</v>
      </c>
      <c r="D1645">
        <v>202501</v>
      </c>
      <c r="E1645" s="3" t="s">
        <v>23</v>
      </c>
      <c r="F1645">
        <v>11.21068526</v>
      </c>
      <c r="G1645">
        <v>68.202005319999998</v>
      </c>
      <c r="H1645">
        <v>2.0885538700000001</v>
      </c>
      <c r="I1645">
        <v>11.21068526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0.31757099</v>
      </c>
      <c r="P1645">
        <v>0</v>
      </c>
      <c r="Q1645">
        <v>0</v>
      </c>
      <c r="R1645">
        <v>0</v>
      </c>
      <c r="T1645" t="str">
        <f t="shared" si="88"/>
        <v>040030202501</v>
      </c>
      <c r="U1645">
        <f t="shared" si="89"/>
        <v>22.42137052</v>
      </c>
    </row>
    <row r="1646" spans="1:21" x14ac:dyDescent="0.35">
      <c r="A1646">
        <v>2025</v>
      </c>
      <c r="B1646" s="7" t="s">
        <v>88</v>
      </c>
      <c r="C1646" s="7" t="s">
        <v>126</v>
      </c>
      <c r="D1646">
        <v>202501</v>
      </c>
      <c r="E1646" s="3" t="s">
        <v>24</v>
      </c>
      <c r="F1646">
        <v>0</v>
      </c>
      <c r="G1646">
        <v>12.316544</v>
      </c>
      <c r="H1646">
        <v>1.255E-3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T1646" t="str">
        <f t="shared" ref="T1646:T1709" si="90">+E1646&amp;D1646</f>
        <v>040036202501</v>
      </c>
      <c r="U1646">
        <f t="shared" ref="U1646:U1709" si="91">+F1646+I1646+J1646</f>
        <v>0</v>
      </c>
    </row>
    <row r="1647" spans="1:21" x14ac:dyDescent="0.35">
      <c r="A1647">
        <v>2025</v>
      </c>
      <c r="B1647" s="7" t="s">
        <v>88</v>
      </c>
      <c r="C1647" s="7" t="s">
        <v>126</v>
      </c>
      <c r="D1647">
        <v>202501</v>
      </c>
      <c r="E1647" s="3" t="s">
        <v>25</v>
      </c>
      <c r="F1647">
        <v>12.339663</v>
      </c>
      <c r="G1647">
        <v>2.6459239999999999</v>
      </c>
      <c r="H1647">
        <v>0</v>
      </c>
      <c r="I1647">
        <v>12.339663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T1647" t="str">
        <f t="shared" si="90"/>
        <v>040042202501</v>
      </c>
      <c r="U1647">
        <f t="shared" si="91"/>
        <v>24.679326</v>
      </c>
    </row>
    <row r="1648" spans="1:21" x14ac:dyDescent="0.35">
      <c r="A1648">
        <v>2025</v>
      </c>
      <c r="B1648" s="7" t="s">
        <v>88</v>
      </c>
      <c r="C1648" s="7" t="s">
        <v>126</v>
      </c>
      <c r="D1648">
        <v>202501</v>
      </c>
      <c r="E1648" s="3" t="s">
        <v>26</v>
      </c>
      <c r="F1648">
        <v>1466.644534</v>
      </c>
      <c r="G1648">
        <v>247.61716999999999</v>
      </c>
      <c r="H1648">
        <v>26.840927000000001</v>
      </c>
      <c r="I1648">
        <v>1466.644534</v>
      </c>
      <c r="J1648">
        <v>0</v>
      </c>
      <c r="K1648">
        <v>0</v>
      </c>
      <c r="L1648">
        <v>0.168879</v>
      </c>
      <c r="M1648">
        <v>0.168879</v>
      </c>
      <c r="N1648">
        <v>22.948989999999998</v>
      </c>
      <c r="O1648">
        <v>36.449890000000003</v>
      </c>
      <c r="P1648">
        <v>0.168879</v>
      </c>
      <c r="Q1648">
        <v>0</v>
      </c>
      <c r="R1648">
        <v>0</v>
      </c>
      <c r="T1648" t="str">
        <f t="shared" si="90"/>
        <v>040044202501</v>
      </c>
      <c r="U1648">
        <f t="shared" si="91"/>
        <v>2933.289068</v>
      </c>
    </row>
    <row r="1649" spans="1:21" x14ac:dyDescent="0.35">
      <c r="A1649">
        <v>2025</v>
      </c>
      <c r="B1649" s="7" t="s">
        <v>88</v>
      </c>
      <c r="C1649" s="7" t="s">
        <v>126</v>
      </c>
      <c r="D1649">
        <v>202501</v>
      </c>
      <c r="E1649" s="3" t="s">
        <v>27</v>
      </c>
      <c r="F1649">
        <v>58.46484675</v>
      </c>
      <c r="G1649">
        <v>75.406581489999994</v>
      </c>
      <c r="H1649">
        <v>0.11510535000000001</v>
      </c>
      <c r="I1649">
        <v>58.46484675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T1649" t="str">
        <f t="shared" si="90"/>
        <v>040058202501</v>
      </c>
      <c r="U1649">
        <f t="shared" si="91"/>
        <v>116.9296935</v>
      </c>
    </row>
    <row r="1650" spans="1:21" x14ac:dyDescent="0.35">
      <c r="A1650">
        <v>2025</v>
      </c>
      <c r="B1650" s="7" t="s">
        <v>88</v>
      </c>
      <c r="C1650" s="7" t="s">
        <v>126</v>
      </c>
      <c r="D1650">
        <v>202501</v>
      </c>
      <c r="E1650" s="3" t="s">
        <v>28</v>
      </c>
      <c r="F1650">
        <v>0</v>
      </c>
      <c r="G1650">
        <v>248.09147400000001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T1650" t="str">
        <f t="shared" si="90"/>
        <v>040059202501</v>
      </c>
      <c r="U1650">
        <f t="shared" si="91"/>
        <v>0</v>
      </c>
    </row>
    <row r="1651" spans="1:21" x14ac:dyDescent="0.35">
      <c r="A1651">
        <v>2025</v>
      </c>
      <c r="B1651" s="7" t="s">
        <v>88</v>
      </c>
      <c r="C1651" s="7" t="s">
        <v>126</v>
      </c>
      <c r="D1651">
        <v>202501</v>
      </c>
      <c r="E1651" s="3" t="s">
        <v>62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T1651" t="str">
        <f t="shared" si="90"/>
        <v>040060202501</v>
      </c>
      <c r="U1651">
        <f t="shared" si="91"/>
        <v>0</v>
      </c>
    </row>
    <row r="1652" spans="1:21" x14ac:dyDescent="0.35">
      <c r="A1652">
        <v>2025</v>
      </c>
      <c r="B1652" s="7" t="s">
        <v>88</v>
      </c>
      <c r="C1652" s="7" t="s">
        <v>126</v>
      </c>
      <c r="D1652">
        <v>202501</v>
      </c>
      <c r="E1652" s="3" t="s">
        <v>29</v>
      </c>
      <c r="F1652">
        <v>2.560781</v>
      </c>
      <c r="G1652">
        <v>105.41974</v>
      </c>
      <c r="H1652">
        <v>2.0879000000000002E-2</v>
      </c>
      <c r="I1652">
        <v>2.560781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T1652" t="str">
        <f t="shared" si="90"/>
        <v>040062202501</v>
      </c>
      <c r="U1652">
        <f t="shared" si="91"/>
        <v>5.1215619999999999</v>
      </c>
    </row>
    <row r="1653" spans="1:21" x14ac:dyDescent="0.35">
      <c r="A1653">
        <v>2025</v>
      </c>
      <c r="B1653" s="7" t="s">
        <v>88</v>
      </c>
      <c r="C1653" s="7" t="s">
        <v>126</v>
      </c>
      <c r="D1653">
        <v>202501</v>
      </c>
      <c r="E1653" s="3" t="s">
        <v>30</v>
      </c>
      <c r="F1653">
        <v>96.61122263</v>
      </c>
      <c r="G1653">
        <v>1314.0147823699999</v>
      </c>
      <c r="H1653">
        <v>152.23662851</v>
      </c>
      <c r="I1653">
        <v>96.61122263</v>
      </c>
      <c r="J1653">
        <v>0</v>
      </c>
      <c r="K1653">
        <v>0</v>
      </c>
      <c r="L1653">
        <v>31.888519590000001</v>
      </c>
      <c r="M1653">
        <v>31.888442480000002</v>
      </c>
      <c r="N1653">
        <v>79.042434319999998</v>
      </c>
      <c r="O1653">
        <v>13.72007675</v>
      </c>
      <c r="P1653">
        <v>31.888442480000002</v>
      </c>
      <c r="Q1653">
        <v>0</v>
      </c>
      <c r="R1653">
        <v>7.7109999999999999E-5</v>
      </c>
      <c r="T1653" t="str">
        <f t="shared" si="90"/>
        <v>040072202501</v>
      </c>
      <c r="U1653">
        <f t="shared" si="91"/>
        <v>193.22244526</v>
      </c>
    </row>
    <row r="1654" spans="1:21" x14ac:dyDescent="0.35">
      <c r="A1654">
        <v>2025</v>
      </c>
      <c r="B1654" s="7" t="s">
        <v>88</v>
      </c>
      <c r="C1654" s="7" t="s">
        <v>126</v>
      </c>
      <c r="D1654">
        <v>202501</v>
      </c>
      <c r="E1654" s="3" t="s">
        <v>31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T1654" t="str">
        <f t="shared" si="90"/>
        <v>040106202501</v>
      </c>
      <c r="U1654">
        <f t="shared" si="91"/>
        <v>0</v>
      </c>
    </row>
    <row r="1655" spans="1:21" x14ac:dyDescent="0.35">
      <c r="A1655">
        <v>2025</v>
      </c>
      <c r="B1655" s="7" t="s">
        <v>88</v>
      </c>
      <c r="C1655" s="7" t="s">
        <v>126</v>
      </c>
      <c r="D1655">
        <v>202501</v>
      </c>
      <c r="E1655" s="3" t="s">
        <v>32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T1655" t="str">
        <f t="shared" si="90"/>
        <v>040108202501</v>
      </c>
      <c r="U1655">
        <f t="shared" si="91"/>
        <v>0</v>
      </c>
    </row>
    <row r="1656" spans="1:21" x14ac:dyDescent="0.35">
      <c r="A1656">
        <v>2025</v>
      </c>
      <c r="B1656" s="7" t="s">
        <v>88</v>
      </c>
      <c r="C1656" s="7" t="s">
        <v>126</v>
      </c>
      <c r="D1656">
        <v>202501</v>
      </c>
      <c r="E1656" s="3" t="s">
        <v>33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T1656" t="str">
        <f t="shared" si="90"/>
        <v>040110202501</v>
      </c>
      <c r="U1656">
        <f t="shared" si="91"/>
        <v>0</v>
      </c>
    </row>
    <row r="1657" spans="1:21" x14ac:dyDescent="0.35">
      <c r="A1657">
        <v>2025</v>
      </c>
      <c r="B1657" s="7" t="s">
        <v>88</v>
      </c>
      <c r="C1657" s="7" t="s">
        <v>126</v>
      </c>
      <c r="D1657">
        <v>202501</v>
      </c>
      <c r="E1657" s="3" t="s">
        <v>34</v>
      </c>
      <c r="F1657">
        <v>0.41878729999999997</v>
      </c>
      <c r="G1657">
        <v>0</v>
      </c>
      <c r="H1657">
        <v>7.2175199999999995E-2</v>
      </c>
      <c r="I1657">
        <v>0.41878729999999997</v>
      </c>
      <c r="J1657">
        <v>0</v>
      </c>
      <c r="K1657">
        <v>0</v>
      </c>
      <c r="L1657">
        <v>1.28905801</v>
      </c>
      <c r="M1657">
        <v>1.28905801</v>
      </c>
      <c r="N1657">
        <v>0</v>
      </c>
      <c r="O1657">
        <v>0</v>
      </c>
      <c r="P1657">
        <v>1.28905801</v>
      </c>
      <c r="Q1657">
        <v>0</v>
      </c>
      <c r="R1657">
        <v>0</v>
      </c>
      <c r="T1657" t="str">
        <f t="shared" si="90"/>
        <v>040112202501</v>
      </c>
      <c r="U1657">
        <f t="shared" si="91"/>
        <v>0.83757459999999995</v>
      </c>
    </row>
    <row r="1658" spans="1:21" x14ac:dyDescent="0.35">
      <c r="A1658">
        <v>2025</v>
      </c>
      <c r="B1658" s="7" t="s">
        <v>88</v>
      </c>
      <c r="C1658" s="7" t="s">
        <v>126</v>
      </c>
      <c r="D1658">
        <v>202501</v>
      </c>
      <c r="E1658" s="3" t="s">
        <v>35</v>
      </c>
      <c r="F1658">
        <v>3.5460210000000001</v>
      </c>
      <c r="G1658">
        <v>0</v>
      </c>
      <c r="H1658">
        <v>0</v>
      </c>
      <c r="I1658">
        <v>3.5460210000000001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T1658" t="str">
        <f t="shared" si="90"/>
        <v>040113202501</v>
      </c>
      <c r="U1658">
        <f t="shared" si="91"/>
        <v>7.0920420000000002</v>
      </c>
    </row>
    <row r="1659" spans="1:21" x14ac:dyDescent="0.35">
      <c r="A1659">
        <v>2025</v>
      </c>
      <c r="B1659" s="7" t="s">
        <v>88</v>
      </c>
      <c r="C1659" s="7" t="s">
        <v>126</v>
      </c>
      <c r="D1659">
        <v>202501</v>
      </c>
      <c r="E1659" s="3" t="s">
        <v>37</v>
      </c>
      <c r="F1659">
        <v>0</v>
      </c>
      <c r="G1659">
        <v>1073.6265673</v>
      </c>
      <c r="H1659">
        <v>9.0042300000000002E-3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T1659" t="str">
        <f t="shared" si="90"/>
        <v>040127202501</v>
      </c>
      <c r="U1659">
        <f t="shared" si="91"/>
        <v>0</v>
      </c>
    </row>
    <row r="1660" spans="1:21" x14ac:dyDescent="0.35">
      <c r="A1660">
        <v>2025</v>
      </c>
      <c r="B1660" s="7" t="s">
        <v>88</v>
      </c>
      <c r="C1660" s="7" t="s">
        <v>126</v>
      </c>
      <c r="D1660">
        <v>202501</v>
      </c>
      <c r="E1660" s="3" t="s">
        <v>38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T1660" t="str">
        <f t="shared" si="90"/>
        <v>040128202501</v>
      </c>
      <c r="U1660">
        <f t="shared" si="91"/>
        <v>0</v>
      </c>
    </row>
    <row r="1661" spans="1:21" x14ac:dyDescent="0.35">
      <c r="A1661">
        <v>2025</v>
      </c>
      <c r="B1661" s="7" t="s">
        <v>88</v>
      </c>
      <c r="C1661" s="7" t="s">
        <v>126</v>
      </c>
      <c r="D1661">
        <v>202501</v>
      </c>
      <c r="E1661" s="3" t="s">
        <v>39</v>
      </c>
      <c r="F1661">
        <v>0</v>
      </c>
      <c r="G1661">
        <v>524.15214100000003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20.827542999999999</v>
      </c>
      <c r="O1661">
        <v>0</v>
      </c>
      <c r="P1661">
        <v>0</v>
      </c>
      <c r="Q1661">
        <v>0</v>
      </c>
      <c r="R1661">
        <v>0</v>
      </c>
      <c r="T1661" t="str">
        <f t="shared" si="90"/>
        <v>040130202501</v>
      </c>
      <c r="U1661">
        <f t="shared" si="91"/>
        <v>0</v>
      </c>
    </row>
    <row r="1662" spans="1:21" x14ac:dyDescent="0.35">
      <c r="A1662">
        <v>2025</v>
      </c>
      <c r="B1662" s="7" t="s">
        <v>88</v>
      </c>
      <c r="C1662" s="7" t="s">
        <v>126</v>
      </c>
      <c r="D1662">
        <v>202501</v>
      </c>
      <c r="E1662" s="3" t="s">
        <v>40</v>
      </c>
      <c r="F1662">
        <v>0</v>
      </c>
      <c r="G1662">
        <v>1.5E-5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T1662" t="str">
        <f t="shared" si="90"/>
        <v>040132202501</v>
      </c>
      <c r="U1662">
        <f t="shared" si="91"/>
        <v>0</v>
      </c>
    </row>
    <row r="1663" spans="1:21" x14ac:dyDescent="0.35">
      <c r="A1663">
        <v>2025</v>
      </c>
      <c r="B1663" s="7" t="s">
        <v>88</v>
      </c>
      <c r="C1663" s="7" t="s">
        <v>126</v>
      </c>
      <c r="D1663">
        <v>202501</v>
      </c>
      <c r="E1663" s="3" t="s">
        <v>41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T1663" t="str">
        <f t="shared" si="90"/>
        <v>040133202501</v>
      </c>
      <c r="U1663">
        <f t="shared" si="91"/>
        <v>0</v>
      </c>
    </row>
    <row r="1664" spans="1:21" x14ac:dyDescent="0.35">
      <c r="A1664">
        <v>2025</v>
      </c>
      <c r="B1664" s="7" t="s">
        <v>88</v>
      </c>
      <c r="C1664" s="7" t="s">
        <v>126</v>
      </c>
      <c r="D1664">
        <v>202501</v>
      </c>
      <c r="E1664" s="3" t="s">
        <v>42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T1664" t="str">
        <f t="shared" si="90"/>
        <v>040136202501</v>
      </c>
      <c r="U1664">
        <f t="shared" si="91"/>
        <v>0</v>
      </c>
    </row>
    <row r="1665" spans="1:21" x14ac:dyDescent="0.35">
      <c r="A1665">
        <v>2025</v>
      </c>
      <c r="B1665" s="7" t="s">
        <v>88</v>
      </c>
      <c r="C1665" s="7" t="s">
        <v>126</v>
      </c>
      <c r="D1665">
        <v>202501</v>
      </c>
      <c r="E1665" s="3" t="s">
        <v>43</v>
      </c>
      <c r="F1665">
        <v>0</v>
      </c>
      <c r="G1665">
        <v>18.466318749999999</v>
      </c>
      <c r="H1665">
        <v>0.98009413000000001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T1665" t="str">
        <f t="shared" si="90"/>
        <v>040137202501</v>
      </c>
      <c r="U1665">
        <f t="shared" si="91"/>
        <v>0</v>
      </c>
    </row>
    <row r="1666" spans="1:21" x14ac:dyDescent="0.35">
      <c r="A1666">
        <v>2025</v>
      </c>
      <c r="B1666" s="7" t="s">
        <v>88</v>
      </c>
      <c r="C1666" s="7" t="s">
        <v>126</v>
      </c>
      <c r="D1666">
        <v>202501</v>
      </c>
      <c r="E1666" s="3" t="s">
        <v>44</v>
      </c>
      <c r="F1666">
        <v>0</v>
      </c>
      <c r="G1666">
        <v>15.14673923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T1666" t="str">
        <f t="shared" si="90"/>
        <v>040138202501</v>
      </c>
      <c r="U1666">
        <f t="shared" si="91"/>
        <v>0</v>
      </c>
    </row>
    <row r="1667" spans="1:21" x14ac:dyDescent="0.35">
      <c r="A1667">
        <v>2025</v>
      </c>
      <c r="B1667" s="7" t="s">
        <v>88</v>
      </c>
      <c r="C1667" s="7" t="s">
        <v>126</v>
      </c>
      <c r="D1667">
        <v>202501</v>
      </c>
      <c r="E1667" s="3" t="s">
        <v>45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T1667" t="str">
        <f t="shared" si="90"/>
        <v>040139202501</v>
      </c>
      <c r="U1667">
        <f t="shared" si="91"/>
        <v>0</v>
      </c>
    </row>
    <row r="1668" spans="1:21" x14ac:dyDescent="0.35">
      <c r="A1668">
        <v>2025</v>
      </c>
      <c r="B1668" s="7" t="s">
        <v>88</v>
      </c>
      <c r="C1668" s="7" t="s">
        <v>126</v>
      </c>
      <c r="D1668">
        <v>202501</v>
      </c>
      <c r="E1668" s="3" t="s">
        <v>46</v>
      </c>
      <c r="F1668">
        <v>0</v>
      </c>
      <c r="G1668">
        <v>33.914867000000001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T1668" t="str">
        <f t="shared" si="90"/>
        <v>040140202501</v>
      </c>
      <c r="U1668">
        <f t="shared" si="91"/>
        <v>0</v>
      </c>
    </row>
    <row r="1669" spans="1:21" x14ac:dyDescent="0.35">
      <c r="A1669">
        <v>2025</v>
      </c>
      <c r="B1669" s="7" t="s">
        <v>88</v>
      </c>
      <c r="C1669" s="7" t="s">
        <v>126</v>
      </c>
      <c r="D1669">
        <v>202501</v>
      </c>
      <c r="E1669" s="3" t="s">
        <v>47</v>
      </c>
      <c r="F1669">
        <v>0</v>
      </c>
      <c r="G1669">
        <v>0.18623400000000001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T1669" t="str">
        <f t="shared" si="90"/>
        <v>040141202501</v>
      </c>
      <c r="U1669">
        <f t="shared" si="91"/>
        <v>0</v>
      </c>
    </row>
    <row r="1670" spans="1:21" x14ac:dyDescent="0.35">
      <c r="A1670">
        <v>2025</v>
      </c>
      <c r="B1670" s="7" t="s">
        <v>88</v>
      </c>
      <c r="C1670" s="7" t="s">
        <v>126</v>
      </c>
      <c r="D1670">
        <v>202501</v>
      </c>
      <c r="E1670" s="3" t="s">
        <v>48</v>
      </c>
      <c r="F1670">
        <v>2.0553311000000001</v>
      </c>
      <c r="G1670">
        <v>2.66240977</v>
      </c>
      <c r="H1670">
        <v>3.5027330000000002E-2</v>
      </c>
      <c r="I1670">
        <v>1.6828772700000001</v>
      </c>
      <c r="J1670">
        <v>0.37245383000000004</v>
      </c>
      <c r="K1670">
        <v>0</v>
      </c>
      <c r="L1670">
        <v>0</v>
      </c>
      <c r="M1670">
        <v>0</v>
      </c>
      <c r="N1670">
        <v>7.8152778099999995</v>
      </c>
      <c r="O1670">
        <v>5.0439489999999997E-2</v>
      </c>
      <c r="P1670">
        <v>0</v>
      </c>
      <c r="Q1670">
        <v>0</v>
      </c>
      <c r="R1670">
        <v>0</v>
      </c>
      <c r="T1670" t="str">
        <f t="shared" si="90"/>
        <v>040143202501</v>
      </c>
      <c r="U1670">
        <f t="shared" si="91"/>
        <v>4.1106622000000002</v>
      </c>
    </row>
    <row r="1671" spans="1:21" x14ac:dyDescent="0.35">
      <c r="A1671">
        <v>2025</v>
      </c>
      <c r="B1671" s="7" t="s">
        <v>88</v>
      </c>
      <c r="C1671" s="7" t="s">
        <v>126</v>
      </c>
      <c r="D1671">
        <v>202501</v>
      </c>
      <c r="E1671" s="3" t="s">
        <v>49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T1671" t="str">
        <f t="shared" si="90"/>
        <v>040145202501</v>
      </c>
      <c r="U1671">
        <f t="shared" si="91"/>
        <v>0</v>
      </c>
    </row>
    <row r="1672" spans="1:21" x14ac:dyDescent="0.35">
      <c r="A1672">
        <v>2025</v>
      </c>
      <c r="B1672" s="7" t="s">
        <v>88</v>
      </c>
      <c r="C1672" s="7" t="s">
        <v>126</v>
      </c>
      <c r="D1672">
        <v>202501</v>
      </c>
      <c r="E1672" s="3" t="s">
        <v>50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T1672" t="str">
        <f t="shared" si="90"/>
        <v>040147202501</v>
      </c>
      <c r="U1672">
        <f t="shared" si="91"/>
        <v>0</v>
      </c>
    </row>
    <row r="1673" spans="1:21" x14ac:dyDescent="0.35">
      <c r="A1673">
        <v>2025</v>
      </c>
      <c r="B1673" s="7" t="s">
        <v>88</v>
      </c>
      <c r="C1673" s="7" t="s">
        <v>126</v>
      </c>
      <c r="D1673">
        <v>202501</v>
      </c>
      <c r="E1673" s="3" t="s">
        <v>51</v>
      </c>
      <c r="F1673">
        <v>0</v>
      </c>
      <c r="G1673">
        <v>4.5671609999999996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T1673" t="str">
        <f t="shared" si="90"/>
        <v>040149202501</v>
      </c>
      <c r="U1673">
        <f t="shared" si="91"/>
        <v>0</v>
      </c>
    </row>
    <row r="1674" spans="1:21" x14ac:dyDescent="0.35">
      <c r="A1674">
        <v>2025</v>
      </c>
      <c r="B1674" s="7" t="s">
        <v>88</v>
      </c>
      <c r="C1674" s="7" t="s">
        <v>126</v>
      </c>
      <c r="D1674">
        <v>202501</v>
      </c>
      <c r="E1674" s="3" t="s">
        <v>52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T1674" t="str">
        <f t="shared" si="90"/>
        <v>040150202501</v>
      </c>
      <c r="U1674">
        <f t="shared" si="91"/>
        <v>0</v>
      </c>
    </row>
    <row r="1675" spans="1:21" x14ac:dyDescent="0.35">
      <c r="A1675">
        <v>2025</v>
      </c>
      <c r="B1675" s="7" t="s">
        <v>88</v>
      </c>
      <c r="C1675" s="7" t="s">
        <v>126</v>
      </c>
      <c r="D1675">
        <v>202501</v>
      </c>
      <c r="E1675" s="3" t="s">
        <v>53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T1675" t="str">
        <f t="shared" si="90"/>
        <v>040151202501</v>
      </c>
      <c r="U1675">
        <f t="shared" si="91"/>
        <v>0</v>
      </c>
    </row>
    <row r="1676" spans="1:21" x14ac:dyDescent="0.35">
      <c r="A1676">
        <v>2025</v>
      </c>
      <c r="B1676" s="7" t="s">
        <v>88</v>
      </c>
      <c r="C1676" s="7" t="s">
        <v>126</v>
      </c>
      <c r="D1676">
        <v>202501</v>
      </c>
      <c r="E1676" s="3" t="s">
        <v>54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T1676" t="str">
        <f t="shared" si="90"/>
        <v>040152202501</v>
      </c>
      <c r="U1676">
        <f t="shared" si="91"/>
        <v>0</v>
      </c>
    </row>
    <row r="1677" spans="1:21" x14ac:dyDescent="0.35">
      <c r="A1677">
        <v>2025</v>
      </c>
      <c r="B1677" s="7" t="s">
        <v>88</v>
      </c>
      <c r="C1677" s="7" t="s">
        <v>126</v>
      </c>
      <c r="D1677">
        <v>202501</v>
      </c>
      <c r="E1677" s="3" t="s">
        <v>55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2.64710198</v>
      </c>
      <c r="M1677">
        <v>2.64710198</v>
      </c>
      <c r="N1677">
        <v>0</v>
      </c>
      <c r="O1677">
        <v>0</v>
      </c>
      <c r="P1677">
        <v>2.64710198</v>
      </c>
      <c r="Q1677">
        <v>0</v>
      </c>
      <c r="R1677">
        <v>0</v>
      </c>
      <c r="T1677" t="str">
        <f t="shared" si="90"/>
        <v>040154202501</v>
      </c>
      <c r="U1677">
        <f t="shared" si="91"/>
        <v>0</v>
      </c>
    </row>
    <row r="1678" spans="1:21" x14ac:dyDescent="0.35">
      <c r="A1678">
        <v>2025</v>
      </c>
      <c r="B1678" s="7" t="s">
        <v>88</v>
      </c>
      <c r="C1678" s="7" t="s">
        <v>126</v>
      </c>
      <c r="D1678">
        <v>202501</v>
      </c>
      <c r="E1678" s="3" t="s">
        <v>56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T1678" t="str">
        <f t="shared" si="90"/>
        <v>040155202501</v>
      </c>
      <c r="U1678">
        <f t="shared" si="91"/>
        <v>0</v>
      </c>
    </row>
    <row r="1679" spans="1:21" x14ac:dyDescent="0.35">
      <c r="A1679">
        <v>2025</v>
      </c>
      <c r="B1679" s="7" t="s">
        <v>88</v>
      </c>
      <c r="C1679" s="7" t="s">
        <v>126</v>
      </c>
      <c r="D1679">
        <v>202501</v>
      </c>
      <c r="E1679" s="3" t="s">
        <v>57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T1679" t="str">
        <f t="shared" si="90"/>
        <v>040156202501</v>
      </c>
      <c r="U1679">
        <f t="shared" si="91"/>
        <v>0</v>
      </c>
    </row>
    <row r="1680" spans="1:21" x14ac:dyDescent="0.35">
      <c r="A1680">
        <v>2025</v>
      </c>
      <c r="B1680" s="7" t="s">
        <v>88</v>
      </c>
      <c r="C1680" s="7" t="s">
        <v>126</v>
      </c>
      <c r="D1680">
        <v>202501</v>
      </c>
      <c r="E1680" s="3" t="s">
        <v>58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T1680" t="str">
        <f t="shared" si="90"/>
        <v>040157202501</v>
      </c>
      <c r="U1680">
        <f t="shared" si="91"/>
        <v>0</v>
      </c>
    </row>
    <row r="1681" spans="1:21" x14ac:dyDescent="0.35">
      <c r="A1681">
        <v>2025</v>
      </c>
      <c r="B1681" s="7" t="s">
        <v>88</v>
      </c>
      <c r="C1681" s="7" t="s">
        <v>126</v>
      </c>
      <c r="D1681">
        <v>202501</v>
      </c>
      <c r="E1681" s="3" t="s">
        <v>59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T1681" t="str">
        <f t="shared" si="90"/>
        <v>040158202501</v>
      </c>
      <c r="U1681">
        <f t="shared" si="91"/>
        <v>0</v>
      </c>
    </row>
    <row r="1682" spans="1:21" x14ac:dyDescent="0.35">
      <c r="A1682">
        <v>2025</v>
      </c>
      <c r="B1682" s="7" t="s">
        <v>88</v>
      </c>
      <c r="C1682" s="7" t="s">
        <v>126</v>
      </c>
      <c r="D1682">
        <v>202501</v>
      </c>
      <c r="E1682" s="3" t="s">
        <v>60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T1682" t="str">
        <f t="shared" si="90"/>
        <v>040159202501</v>
      </c>
      <c r="U1682">
        <f t="shared" si="91"/>
        <v>0</v>
      </c>
    </row>
    <row r="1683" spans="1:21" x14ac:dyDescent="0.35">
      <c r="A1683">
        <v>2025</v>
      </c>
      <c r="B1683" s="7" t="s">
        <v>88</v>
      </c>
      <c r="C1683" s="7" t="s">
        <v>126</v>
      </c>
      <c r="D1683">
        <v>202501</v>
      </c>
      <c r="E1683" s="3" t="s">
        <v>63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T1683" t="str">
        <f t="shared" si="90"/>
        <v>040160202501</v>
      </c>
      <c r="U1683">
        <f t="shared" si="91"/>
        <v>0</v>
      </c>
    </row>
    <row r="1684" spans="1:21" x14ac:dyDescent="0.35">
      <c r="A1684">
        <v>2025</v>
      </c>
      <c r="B1684" s="7" t="s">
        <v>88</v>
      </c>
      <c r="C1684" s="7" t="s">
        <v>126</v>
      </c>
      <c r="D1684">
        <v>202501</v>
      </c>
      <c r="E1684" s="3" t="s">
        <v>61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T1684" t="str">
        <f t="shared" si="90"/>
        <v>040162202501</v>
      </c>
      <c r="U1684">
        <f t="shared" si="91"/>
        <v>0</v>
      </c>
    </row>
    <row r="1685" spans="1:21" x14ac:dyDescent="0.35">
      <c r="A1685">
        <v>2025</v>
      </c>
      <c r="B1685" s="7" t="s">
        <v>88</v>
      </c>
      <c r="C1685" s="7" t="s">
        <v>126</v>
      </c>
      <c r="D1685">
        <v>202501</v>
      </c>
      <c r="E1685" s="3" t="s">
        <v>114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2.672453E-2</v>
      </c>
      <c r="O1685">
        <v>0</v>
      </c>
      <c r="P1685">
        <v>0</v>
      </c>
      <c r="Q1685">
        <v>0</v>
      </c>
      <c r="R1685">
        <v>0</v>
      </c>
      <c r="T1685" t="str">
        <f t="shared" si="90"/>
        <v>040165202501</v>
      </c>
      <c r="U1685">
        <f t="shared" si="91"/>
        <v>0</v>
      </c>
    </row>
    <row r="1686" spans="1:21" x14ac:dyDescent="0.35">
      <c r="A1686">
        <v>2025</v>
      </c>
      <c r="B1686" s="7" t="s">
        <v>90</v>
      </c>
      <c r="C1686" s="7" t="s">
        <v>127</v>
      </c>
      <c r="D1686">
        <v>202502</v>
      </c>
      <c r="E1686" s="3">
        <v>5</v>
      </c>
      <c r="F1686">
        <v>1103.39406745</v>
      </c>
      <c r="G1686">
        <v>1101.88747302</v>
      </c>
      <c r="H1686">
        <v>1.49138343</v>
      </c>
      <c r="I1686">
        <v>10587.606741760001</v>
      </c>
      <c r="J1686">
        <v>527.35011066000004</v>
      </c>
      <c r="K1686">
        <v>136.81122567</v>
      </c>
      <c r="L1686">
        <v>0</v>
      </c>
      <c r="M1686">
        <v>23.60984375</v>
      </c>
      <c r="N1686">
        <v>23.60973057</v>
      </c>
      <c r="O1686">
        <v>0</v>
      </c>
      <c r="P1686">
        <v>23.60984375</v>
      </c>
      <c r="Q1686">
        <v>181.98144044999998</v>
      </c>
      <c r="R1686">
        <v>88.991283379999999</v>
      </c>
      <c r="T1686" t="str">
        <f t="shared" si="90"/>
        <v>5202502</v>
      </c>
      <c r="U1686">
        <f t="shared" si="91"/>
        <v>12218.350919869999</v>
      </c>
    </row>
    <row r="1687" spans="1:21" x14ac:dyDescent="0.35">
      <c r="A1687">
        <v>2025</v>
      </c>
      <c r="B1687" s="7" t="s">
        <v>90</v>
      </c>
      <c r="C1687" s="7" t="s">
        <v>127</v>
      </c>
      <c r="D1687">
        <v>202502</v>
      </c>
      <c r="E1687" s="3" t="s">
        <v>19</v>
      </c>
      <c r="F1687">
        <v>95.288954910000001</v>
      </c>
      <c r="G1687">
        <v>95.288954910000001</v>
      </c>
      <c r="H1687">
        <v>0</v>
      </c>
      <c r="I1687">
        <v>317.18193933999999</v>
      </c>
      <c r="J1687">
        <v>27.995957000000001</v>
      </c>
      <c r="K1687">
        <v>136.81122567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T1687" t="str">
        <f t="shared" si="90"/>
        <v>040002202502</v>
      </c>
      <c r="U1687">
        <f t="shared" si="91"/>
        <v>440.46685124999999</v>
      </c>
    </row>
    <row r="1688" spans="1:21" x14ac:dyDescent="0.35">
      <c r="A1688">
        <v>2025</v>
      </c>
      <c r="B1688" s="7" t="s">
        <v>90</v>
      </c>
      <c r="C1688" s="7" t="s">
        <v>127</v>
      </c>
      <c r="D1688">
        <v>202502</v>
      </c>
      <c r="E1688" s="3" t="s">
        <v>20</v>
      </c>
      <c r="F1688">
        <v>254.367987</v>
      </c>
      <c r="G1688">
        <v>254.265139</v>
      </c>
      <c r="H1688">
        <v>8.7637000000000007E-2</v>
      </c>
      <c r="I1688">
        <v>4360.4456419999997</v>
      </c>
      <c r="J1688">
        <v>148.01707500000001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T1688" t="str">
        <f t="shared" si="90"/>
        <v>040012202502</v>
      </c>
      <c r="U1688">
        <f t="shared" si="91"/>
        <v>4762.8307039999991</v>
      </c>
    </row>
    <row r="1689" spans="1:21" x14ac:dyDescent="0.35">
      <c r="A1689">
        <v>2025</v>
      </c>
      <c r="B1689" s="7" t="s">
        <v>90</v>
      </c>
      <c r="C1689" s="7" t="s">
        <v>127</v>
      </c>
      <c r="D1689">
        <v>202502</v>
      </c>
      <c r="E1689" s="3" t="s">
        <v>21</v>
      </c>
      <c r="F1689">
        <v>208.379278</v>
      </c>
      <c r="G1689">
        <v>208.379278</v>
      </c>
      <c r="H1689">
        <v>0</v>
      </c>
      <c r="I1689">
        <v>1507.643669</v>
      </c>
      <c r="J1689">
        <v>146.35636</v>
      </c>
      <c r="K1689">
        <v>0</v>
      </c>
      <c r="L1689">
        <v>0</v>
      </c>
      <c r="M1689">
        <v>5.0715519999999996</v>
      </c>
      <c r="N1689">
        <v>5.0715519999999996</v>
      </c>
      <c r="O1689">
        <v>0</v>
      </c>
      <c r="P1689">
        <v>5.0715519999999996</v>
      </c>
      <c r="Q1689">
        <v>27.862517</v>
      </c>
      <c r="R1689">
        <v>10.861704</v>
      </c>
      <c r="T1689" t="str">
        <f t="shared" si="90"/>
        <v>040014202502</v>
      </c>
      <c r="U1689">
        <f t="shared" si="91"/>
        <v>1862.3793069999999</v>
      </c>
    </row>
    <row r="1690" spans="1:21" x14ac:dyDescent="0.35">
      <c r="A1690">
        <v>2025</v>
      </c>
      <c r="B1690" s="7" t="s">
        <v>90</v>
      </c>
      <c r="C1690" s="7" t="s">
        <v>127</v>
      </c>
      <c r="D1690">
        <v>202502</v>
      </c>
      <c r="E1690" s="3" t="s">
        <v>22</v>
      </c>
      <c r="F1690">
        <v>89.442272000000003</v>
      </c>
      <c r="G1690">
        <v>88.109172999999998</v>
      </c>
      <c r="H1690">
        <v>1.333099</v>
      </c>
      <c r="I1690">
        <v>1014.235015</v>
      </c>
      <c r="J1690">
        <v>38.481631</v>
      </c>
      <c r="K1690">
        <v>0</v>
      </c>
      <c r="L1690">
        <v>0</v>
      </c>
      <c r="M1690">
        <v>11.225360999999999</v>
      </c>
      <c r="N1690">
        <v>11.225360999999999</v>
      </c>
      <c r="O1690">
        <v>0</v>
      </c>
      <c r="P1690">
        <v>11.225360999999999</v>
      </c>
      <c r="Q1690">
        <v>43.032280999999998</v>
      </c>
      <c r="R1690">
        <v>29.302517999999999</v>
      </c>
      <c r="T1690" t="str">
        <f t="shared" si="90"/>
        <v>040021202502</v>
      </c>
      <c r="U1690">
        <f t="shared" si="91"/>
        <v>1142.1589180000001</v>
      </c>
    </row>
    <row r="1691" spans="1:21" x14ac:dyDescent="0.35">
      <c r="A1691">
        <v>2025</v>
      </c>
      <c r="B1691" s="7" t="s">
        <v>90</v>
      </c>
      <c r="C1691" s="7" t="s">
        <v>127</v>
      </c>
      <c r="D1691">
        <v>202502</v>
      </c>
      <c r="E1691" s="3" t="s">
        <v>23</v>
      </c>
      <c r="F1691">
        <v>168.19064114</v>
      </c>
      <c r="G1691">
        <v>168.19064114</v>
      </c>
      <c r="H1691">
        <v>0</v>
      </c>
      <c r="I1691">
        <v>66.282605349999997</v>
      </c>
      <c r="J1691">
        <v>2.61008679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0.33331008000000001</v>
      </c>
      <c r="T1691" t="str">
        <f t="shared" si="90"/>
        <v>040030202502</v>
      </c>
      <c r="U1691">
        <f t="shared" si="91"/>
        <v>237.08333328000001</v>
      </c>
    </row>
    <row r="1692" spans="1:21" x14ac:dyDescent="0.35">
      <c r="A1692">
        <v>2025</v>
      </c>
      <c r="B1692" s="7" t="s">
        <v>90</v>
      </c>
      <c r="C1692" s="7" t="s">
        <v>127</v>
      </c>
      <c r="D1692">
        <v>202502</v>
      </c>
      <c r="E1692" s="3" t="s">
        <v>24</v>
      </c>
      <c r="F1692">
        <v>0</v>
      </c>
      <c r="G1692">
        <v>0</v>
      </c>
      <c r="H1692">
        <v>0</v>
      </c>
      <c r="I1692">
        <v>10.674568000000001</v>
      </c>
      <c r="J1692">
        <v>1.5125E-2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T1692" t="str">
        <f t="shared" si="90"/>
        <v>040036202502</v>
      </c>
      <c r="U1692">
        <f t="shared" si="91"/>
        <v>10.689693</v>
      </c>
    </row>
    <row r="1693" spans="1:21" x14ac:dyDescent="0.35">
      <c r="A1693">
        <v>2025</v>
      </c>
      <c r="B1693" s="7" t="s">
        <v>90</v>
      </c>
      <c r="C1693" s="7" t="s">
        <v>127</v>
      </c>
      <c r="D1693">
        <v>202502</v>
      </c>
      <c r="E1693" s="3" t="s">
        <v>25</v>
      </c>
      <c r="F1693">
        <v>9.4821390000000001</v>
      </c>
      <c r="G1693">
        <v>9.4821390000000001</v>
      </c>
      <c r="H1693">
        <v>0</v>
      </c>
      <c r="I1693">
        <v>0.45052399999999998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T1693" t="str">
        <f t="shared" si="90"/>
        <v>040042202502</v>
      </c>
      <c r="U1693">
        <f t="shared" si="91"/>
        <v>9.9326629999999998</v>
      </c>
    </row>
    <row r="1694" spans="1:21" x14ac:dyDescent="0.35">
      <c r="A1694">
        <v>2025</v>
      </c>
      <c r="B1694" s="7" t="s">
        <v>90</v>
      </c>
      <c r="C1694" s="7" t="s">
        <v>127</v>
      </c>
      <c r="D1694">
        <v>202502</v>
      </c>
      <c r="E1694" s="3" t="s">
        <v>26</v>
      </c>
      <c r="F1694">
        <v>0.163859</v>
      </c>
      <c r="G1694">
        <v>0.163859</v>
      </c>
      <c r="H1694">
        <v>0</v>
      </c>
      <c r="I1694">
        <v>173.11343199999999</v>
      </c>
      <c r="J1694">
        <v>36.837721999999999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12.385680000000001</v>
      </c>
      <c r="R1694">
        <v>34.739655999999997</v>
      </c>
      <c r="T1694" t="str">
        <f t="shared" si="90"/>
        <v>040044202502</v>
      </c>
      <c r="U1694">
        <f t="shared" si="91"/>
        <v>210.11501299999998</v>
      </c>
    </row>
    <row r="1695" spans="1:21" x14ac:dyDescent="0.35">
      <c r="A1695">
        <v>2025</v>
      </c>
      <c r="B1695" s="7" t="s">
        <v>90</v>
      </c>
      <c r="C1695" s="7" t="s">
        <v>127</v>
      </c>
      <c r="D1695">
        <v>202502</v>
      </c>
      <c r="E1695" s="3" t="s">
        <v>27</v>
      </c>
      <c r="F1695">
        <v>30.469520410000001</v>
      </c>
      <c r="G1695">
        <v>30.469520410000001</v>
      </c>
      <c r="H1695">
        <v>0</v>
      </c>
      <c r="I1695">
        <v>35.20419725</v>
      </c>
      <c r="J1695">
        <v>1.4796002500000001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T1695" t="str">
        <f t="shared" si="90"/>
        <v>040058202502</v>
      </c>
      <c r="U1695">
        <f t="shared" si="91"/>
        <v>67.153317909999998</v>
      </c>
    </row>
    <row r="1696" spans="1:21" x14ac:dyDescent="0.35">
      <c r="A1696">
        <v>2025</v>
      </c>
      <c r="B1696" s="7" t="s">
        <v>90</v>
      </c>
      <c r="C1696" s="7" t="s">
        <v>127</v>
      </c>
      <c r="D1696">
        <v>202502</v>
      </c>
      <c r="E1696" s="3" t="s">
        <v>28</v>
      </c>
      <c r="F1696">
        <v>0</v>
      </c>
      <c r="G1696">
        <v>0</v>
      </c>
      <c r="H1696">
        <v>0</v>
      </c>
      <c r="I1696">
        <v>266.89748800000001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T1696" t="str">
        <f t="shared" si="90"/>
        <v>040059202502</v>
      </c>
      <c r="U1696">
        <f t="shared" si="91"/>
        <v>266.89748800000001</v>
      </c>
    </row>
    <row r="1697" spans="1:21" x14ac:dyDescent="0.35">
      <c r="A1697">
        <v>2025</v>
      </c>
      <c r="B1697" s="7" t="s">
        <v>90</v>
      </c>
      <c r="C1697" s="7" t="s">
        <v>127</v>
      </c>
      <c r="D1697">
        <v>202502</v>
      </c>
      <c r="E1697" s="3" t="s">
        <v>62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T1697" t="str">
        <f t="shared" si="90"/>
        <v>040060202502</v>
      </c>
      <c r="U1697">
        <f t="shared" si="91"/>
        <v>0</v>
      </c>
    </row>
    <row r="1698" spans="1:21" x14ac:dyDescent="0.35">
      <c r="A1698">
        <v>2025</v>
      </c>
      <c r="B1698" s="7" t="s">
        <v>90</v>
      </c>
      <c r="C1698" s="7" t="s">
        <v>127</v>
      </c>
      <c r="D1698">
        <v>202502</v>
      </c>
      <c r="E1698" s="3" t="s">
        <v>29</v>
      </c>
      <c r="F1698">
        <v>5.805606</v>
      </c>
      <c r="G1698">
        <v>5.805606</v>
      </c>
      <c r="H1698">
        <v>0</v>
      </c>
      <c r="I1698">
        <v>75.348663999999999</v>
      </c>
      <c r="J1698">
        <v>1.064E-2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T1698" t="str">
        <f t="shared" si="90"/>
        <v>040062202502</v>
      </c>
      <c r="U1698">
        <f t="shared" si="91"/>
        <v>81.164909999999992</v>
      </c>
    </row>
    <row r="1699" spans="1:21" x14ac:dyDescent="0.35">
      <c r="A1699">
        <v>2025</v>
      </c>
      <c r="B1699" s="7" t="s">
        <v>90</v>
      </c>
      <c r="C1699" s="7" t="s">
        <v>127</v>
      </c>
      <c r="D1699">
        <v>202502</v>
      </c>
      <c r="E1699" s="3" t="s">
        <v>30</v>
      </c>
      <c r="F1699">
        <v>234.36910112999999</v>
      </c>
      <c r="G1699">
        <v>234.36910112999999</v>
      </c>
      <c r="H1699">
        <v>0</v>
      </c>
      <c r="I1699">
        <v>1255.50416946</v>
      </c>
      <c r="J1699">
        <v>123.84570653</v>
      </c>
      <c r="K1699">
        <v>0</v>
      </c>
      <c r="L1699">
        <v>0</v>
      </c>
      <c r="M1699">
        <v>6.0725734100000004</v>
      </c>
      <c r="N1699">
        <v>6.0724602300000008</v>
      </c>
      <c r="O1699">
        <v>0</v>
      </c>
      <c r="P1699">
        <v>6.0725734100000004</v>
      </c>
      <c r="Q1699">
        <v>77.969574690000002</v>
      </c>
      <c r="R1699">
        <v>13.29864216</v>
      </c>
      <c r="T1699" t="str">
        <f t="shared" si="90"/>
        <v>040072202502</v>
      </c>
      <c r="U1699">
        <f t="shared" si="91"/>
        <v>1613.7189771199999</v>
      </c>
    </row>
    <row r="1700" spans="1:21" x14ac:dyDescent="0.35">
      <c r="A1700">
        <v>2025</v>
      </c>
      <c r="B1700" s="7" t="s">
        <v>90</v>
      </c>
      <c r="C1700" s="7" t="s">
        <v>127</v>
      </c>
      <c r="D1700">
        <v>202502</v>
      </c>
      <c r="E1700" s="3" t="s">
        <v>31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T1700" t="str">
        <f t="shared" si="90"/>
        <v>040106202502</v>
      </c>
      <c r="U1700">
        <f t="shared" si="91"/>
        <v>0</v>
      </c>
    </row>
    <row r="1701" spans="1:21" x14ac:dyDescent="0.35">
      <c r="A1701">
        <v>2025</v>
      </c>
      <c r="B1701" s="7" t="s">
        <v>90</v>
      </c>
      <c r="C1701" s="7" t="s">
        <v>127</v>
      </c>
      <c r="D1701">
        <v>202502</v>
      </c>
      <c r="E1701" s="3" t="s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T1701" t="str">
        <f t="shared" si="90"/>
        <v>040108202502</v>
      </c>
      <c r="U1701">
        <f t="shared" si="91"/>
        <v>0</v>
      </c>
    </row>
    <row r="1702" spans="1:21" x14ac:dyDescent="0.35">
      <c r="A1702">
        <v>2025</v>
      </c>
      <c r="B1702" s="7" t="s">
        <v>90</v>
      </c>
      <c r="C1702" s="7" t="s">
        <v>127</v>
      </c>
      <c r="D1702">
        <v>202502</v>
      </c>
      <c r="E1702" s="3" t="s">
        <v>33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T1702" t="str">
        <f t="shared" si="90"/>
        <v>040110202502</v>
      </c>
      <c r="U1702">
        <f t="shared" si="91"/>
        <v>0</v>
      </c>
    </row>
    <row r="1703" spans="1:21" x14ac:dyDescent="0.35">
      <c r="A1703">
        <v>2025</v>
      </c>
      <c r="B1703" s="7" t="s">
        <v>90</v>
      </c>
      <c r="C1703" s="7" t="s">
        <v>127</v>
      </c>
      <c r="D1703">
        <v>202502</v>
      </c>
      <c r="E1703" s="3" t="s">
        <v>34</v>
      </c>
      <c r="F1703">
        <v>0</v>
      </c>
      <c r="G1703">
        <v>0</v>
      </c>
      <c r="H1703">
        <v>0</v>
      </c>
      <c r="I1703">
        <v>0</v>
      </c>
      <c r="J1703">
        <v>0.15782142999999998</v>
      </c>
      <c r="K1703">
        <v>0</v>
      </c>
      <c r="L1703">
        <v>0</v>
      </c>
      <c r="M1703">
        <v>0.49040223999999999</v>
      </c>
      <c r="N1703">
        <v>0.49040223999999999</v>
      </c>
      <c r="O1703">
        <v>0</v>
      </c>
      <c r="P1703">
        <v>0.49040223999999999</v>
      </c>
      <c r="Q1703">
        <v>0</v>
      </c>
      <c r="R1703">
        <v>0</v>
      </c>
      <c r="T1703" t="str">
        <f t="shared" si="90"/>
        <v>040112202502</v>
      </c>
      <c r="U1703">
        <f t="shared" si="91"/>
        <v>0.15782142999999998</v>
      </c>
    </row>
    <row r="1704" spans="1:21" x14ac:dyDescent="0.35">
      <c r="A1704">
        <v>2025</v>
      </c>
      <c r="B1704" s="7" t="s">
        <v>90</v>
      </c>
      <c r="C1704" s="7" t="s">
        <v>127</v>
      </c>
      <c r="D1704">
        <v>202502</v>
      </c>
      <c r="E1704" s="3" t="s">
        <v>35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3.1026999999999999E-2</v>
      </c>
      <c r="N1704">
        <v>3.1026999999999999E-2</v>
      </c>
      <c r="O1704">
        <v>0</v>
      </c>
      <c r="P1704">
        <v>3.1026999999999999E-2</v>
      </c>
      <c r="Q1704">
        <v>0</v>
      </c>
      <c r="R1704">
        <v>0</v>
      </c>
      <c r="T1704" t="str">
        <f t="shared" si="90"/>
        <v>040113202502</v>
      </c>
      <c r="U1704">
        <f t="shared" si="91"/>
        <v>0</v>
      </c>
    </row>
    <row r="1705" spans="1:21" x14ac:dyDescent="0.35">
      <c r="A1705">
        <v>2025</v>
      </c>
      <c r="B1705" s="7" t="s">
        <v>90</v>
      </c>
      <c r="C1705" s="7" t="s">
        <v>127</v>
      </c>
      <c r="D1705">
        <v>202502</v>
      </c>
      <c r="E1705" s="3" t="s">
        <v>37</v>
      </c>
      <c r="F1705">
        <v>0</v>
      </c>
      <c r="G1705">
        <v>0</v>
      </c>
      <c r="H1705">
        <v>0</v>
      </c>
      <c r="I1705">
        <v>972.01968578999993</v>
      </c>
      <c r="J1705">
        <v>5.3447689999999999E-2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T1705" t="str">
        <f t="shared" si="90"/>
        <v>040127202502</v>
      </c>
      <c r="U1705">
        <f t="shared" si="91"/>
        <v>972.07313347999991</v>
      </c>
    </row>
    <row r="1706" spans="1:21" x14ac:dyDescent="0.35">
      <c r="A1706">
        <v>2025</v>
      </c>
      <c r="B1706" s="7" t="s">
        <v>90</v>
      </c>
      <c r="C1706" s="7" t="s">
        <v>127</v>
      </c>
      <c r="D1706">
        <v>202502</v>
      </c>
      <c r="E1706" s="3" t="s">
        <v>38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T1706" t="str">
        <f t="shared" si="90"/>
        <v>040128202502</v>
      </c>
      <c r="U1706">
        <f t="shared" si="91"/>
        <v>0</v>
      </c>
    </row>
    <row r="1707" spans="1:21" x14ac:dyDescent="0.35">
      <c r="A1707">
        <v>2025</v>
      </c>
      <c r="B1707" s="7" t="s">
        <v>90</v>
      </c>
      <c r="C1707" s="7" t="s">
        <v>127</v>
      </c>
      <c r="D1707">
        <v>202502</v>
      </c>
      <c r="E1707" s="3" t="s">
        <v>39</v>
      </c>
      <c r="F1707">
        <v>0</v>
      </c>
      <c r="G1707">
        <v>0</v>
      </c>
      <c r="H1707">
        <v>0</v>
      </c>
      <c r="I1707">
        <v>456.84439600000002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15.866028999999999</v>
      </c>
      <c r="R1707">
        <v>0</v>
      </c>
      <c r="T1707" t="str">
        <f t="shared" si="90"/>
        <v>040130202502</v>
      </c>
      <c r="U1707">
        <f t="shared" si="91"/>
        <v>456.84439600000002</v>
      </c>
    </row>
    <row r="1708" spans="1:21" x14ac:dyDescent="0.35">
      <c r="A1708">
        <v>2025</v>
      </c>
      <c r="B1708" s="7" t="s">
        <v>90</v>
      </c>
      <c r="C1708" s="7" t="s">
        <v>127</v>
      </c>
      <c r="D1708">
        <v>202502</v>
      </c>
      <c r="E1708" s="3" t="s">
        <v>40</v>
      </c>
      <c r="F1708">
        <v>0</v>
      </c>
      <c r="G1708">
        <v>0</v>
      </c>
      <c r="H1708">
        <v>0</v>
      </c>
      <c r="I1708">
        <v>13.083909999999999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T1708" t="str">
        <f t="shared" si="90"/>
        <v>040132202502</v>
      </c>
      <c r="U1708">
        <f t="shared" si="91"/>
        <v>13.083909999999999</v>
      </c>
    </row>
    <row r="1709" spans="1:21" x14ac:dyDescent="0.35">
      <c r="A1709">
        <v>2025</v>
      </c>
      <c r="B1709" s="7" t="s">
        <v>90</v>
      </c>
      <c r="C1709" s="7" t="s">
        <v>127</v>
      </c>
      <c r="D1709">
        <v>202502</v>
      </c>
      <c r="E1709" s="3" t="s">
        <v>41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T1709" t="str">
        <f t="shared" si="90"/>
        <v>040133202502</v>
      </c>
      <c r="U1709">
        <f t="shared" si="91"/>
        <v>0</v>
      </c>
    </row>
    <row r="1710" spans="1:21" x14ac:dyDescent="0.35">
      <c r="A1710">
        <v>2025</v>
      </c>
      <c r="B1710" s="7" t="s">
        <v>90</v>
      </c>
      <c r="C1710" s="7" t="s">
        <v>127</v>
      </c>
      <c r="D1710">
        <v>202502</v>
      </c>
      <c r="E1710" s="3" t="s">
        <v>42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T1710" t="str">
        <f t="shared" ref="T1710:T1731" si="92">+E1710&amp;D1710</f>
        <v>040136202502</v>
      </c>
      <c r="U1710">
        <f t="shared" ref="U1710:U1731" si="93">+F1710+I1710+J1710</f>
        <v>0</v>
      </c>
    </row>
    <row r="1711" spans="1:21" x14ac:dyDescent="0.35">
      <c r="A1711">
        <v>2025</v>
      </c>
      <c r="B1711" s="7" t="s">
        <v>90</v>
      </c>
      <c r="C1711" s="7" t="s">
        <v>127</v>
      </c>
      <c r="D1711">
        <v>202502</v>
      </c>
      <c r="E1711" s="3" t="s">
        <v>43</v>
      </c>
      <c r="F1711">
        <v>0</v>
      </c>
      <c r="G1711">
        <v>0</v>
      </c>
      <c r="H1711">
        <v>0</v>
      </c>
      <c r="I1711">
        <v>17.282294010000001</v>
      </c>
      <c r="J1711">
        <v>1.38768745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T1711" t="str">
        <f t="shared" si="92"/>
        <v>040137202502</v>
      </c>
      <c r="U1711">
        <f t="shared" si="93"/>
        <v>18.669981460000002</v>
      </c>
    </row>
    <row r="1712" spans="1:21" x14ac:dyDescent="0.35">
      <c r="A1712">
        <v>2025</v>
      </c>
      <c r="B1712" s="7" t="s">
        <v>90</v>
      </c>
      <c r="C1712" s="7" t="s">
        <v>127</v>
      </c>
      <c r="D1712">
        <v>202502</v>
      </c>
      <c r="E1712" s="3" t="s">
        <v>44</v>
      </c>
      <c r="F1712">
        <v>2.0886356799999999</v>
      </c>
      <c r="G1712">
        <v>2.0886356799999999</v>
      </c>
      <c r="H1712">
        <v>0</v>
      </c>
      <c r="I1712">
        <v>13.82365467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T1712" t="str">
        <f t="shared" si="92"/>
        <v>040138202502</v>
      </c>
      <c r="U1712">
        <f t="shared" si="93"/>
        <v>15.912290349999999</v>
      </c>
    </row>
    <row r="1713" spans="1:21" x14ac:dyDescent="0.35">
      <c r="A1713">
        <v>2025</v>
      </c>
      <c r="B1713" s="7" t="s">
        <v>90</v>
      </c>
      <c r="C1713" s="7" t="s">
        <v>127</v>
      </c>
      <c r="D1713">
        <v>202502</v>
      </c>
      <c r="E1713" s="3" t="s">
        <v>45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T1713" t="str">
        <f t="shared" si="92"/>
        <v>040139202502</v>
      </c>
      <c r="U1713">
        <f t="shared" si="93"/>
        <v>0</v>
      </c>
    </row>
    <row r="1714" spans="1:21" x14ac:dyDescent="0.35">
      <c r="A1714">
        <v>2025</v>
      </c>
      <c r="B1714" s="7" t="s">
        <v>90</v>
      </c>
      <c r="C1714" s="7" t="s">
        <v>127</v>
      </c>
      <c r="D1714">
        <v>202502</v>
      </c>
      <c r="E1714" s="3" t="s">
        <v>46</v>
      </c>
      <c r="F1714">
        <v>0</v>
      </c>
      <c r="G1714">
        <v>0</v>
      </c>
      <c r="H1714">
        <v>0</v>
      </c>
      <c r="I1714">
        <v>17.171139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T1714" t="str">
        <f t="shared" si="92"/>
        <v>040140202502</v>
      </c>
      <c r="U1714">
        <f t="shared" si="93"/>
        <v>17.171139</v>
      </c>
    </row>
    <row r="1715" spans="1:21" x14ac:dyDescent="0.35">
      <c r="A1715">
        <v>2025</v>
      </c>
      <c r="B1715" s="7" t="s">
        <v>90</v>
      </c>
      <c r="C1715" s="7" t="s">
        <v>127</v>
      </c>
      <c r="D1715">
        <v>202502</v>
      </c>
      <c r="E1715" s="3" t="s">
        <v>47</v>
      </c>
      <c r="F1715">
        <v>0</v>
      </c>
      <c r="G1715">
        <v>0</v>
      </c>
      <c r="H1715">
        <v>0</v>
      </c>
      <c r="I1715">
        <v>0.20211499999999999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T1715" t="str">
        <f t="shared" si="92"/>
        <v>040141202502</v>
      </c>
      <c r="U1715">
        <f t="shared" si="93"/>
        <v>0.20211499999999999</v>
      </c>
    </row>
    <row r="1716" spans="1:21" x14ac:dyDescent="0.35">
      <c r="A1716">
        <v>2025</v>
      </c>
      <c r="B1716" s="7" t="s">
        <v>90</v>
      </c>
      <c r="C1716" s="7" t="s">
        <v>127</v>
      </c>
      <c r="D1716">
        <v>202502</v>
      </c>
      <c r="E1716" s="3" t="s">
        <v>48</v>
      </c>
      <c r="F1716">
        <v>1.49165236</v>
      </c>
      <c r="G1716">
        <v>1.4210049299999998</v>
      </c>
      <c r="H1716">
        <v>7.0647429999999997E-2</v>
      </c>
      <c r="I1716">
        <v>5.2240043600000003</v>
      </c>
      <c r="J1716">
        <v>0.10125052000000001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4.8447714400000006</v>
      </c>
      <c r="R1716">
        <v>0.45545314000000003</v>
      </c>
      <c r="T1716" t="str">
        <f t="shared" si="92"/>
        <v>040143202502</v>
      </c>
      <c r="U1716">
        <f t="shared" si="93"/>
        <v>6.8169072399999999</v>
      </c>
    </row>
    <row r="1717" spans="1:21" x14ac:dyDescent="0.35">
      <c r="A1717">
        <v>2025</v>
      </c>
      <c r="B1717" s="7" t="s">
        <v>90</v>
      </c>
      <c r="C1717" s="7" t="s">
        <v>127</v>
      </c>
      <c r="D1717">
        <v>202502</v>
      </c>
      <c r="E1717" s="3" t="s">
        <v>49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T1717" t="str">
        <f t="shared" si="92"/>
        <v>040145202502</v>
      </c>
      <c r="U1717">
        <f t="shared" si="93"/>
        <v>0</v>
      </c>
    </row>
    <row r="1718" spans="1:21" x14ac:dyDescent="0.35">
      <c r="A1718">
        <v>2025</v>
      </c>
      <c r="B1718" s="7" t="s">
        <v>90</v>
      </c>
      <c r="C1718" s="7" t="s">
        <v>127</v>
      </c>
      <c r="D1718">
        <v>202502</v>
      </c>
      <c r="E1718" s="3" t="s">
        <v>50</v>
      </c>
      <c r="F1718">
        <v>0</v>
      </c>
      <c r="G1718">
        <v>0</v>
      </c>
      <c r="H1718">
        <v>0</v>
      </c>
      <c r="I1718">
        <v>0.11457050000000001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T1718" t="str">
        <f t="shared" si="92"/>
        <v>040147202502</v>
      </c>
      <c r="U1718">
        <f t="shared" si="93"/>
        <v>0.11457050000000001</v>
      </c>
    </row>
    <row r="1719" spans="1:21" x14ac:dyDescent="0.35">
      <c r="A1719">
        <v>2025</v>
      </c>
      <c r="B1719" s="7" t="s">
        <v>90</v>
      </c>
      <c r="C1719" s="7" t="s">
        <v>127</v>
      </c>
      <c r="D1719">
        <v>202502</v>
      </c>
      <c r="E1719" s="3" t="s">
        <v>51</v>
      </c>
      <c r="F1719">
        <v>0</v>
      </c>
      <c r="G1719">
        <v>0</v>
      </c>
      <c r="H1719">
        <v>0</v>
      </c>
      <c r="I1719">
        <v>5.3158899999999996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8.9779999999999999E-3</v>
      </c>
      <c r="R1719">
        <v>0</v>
      </c>
      <c r="T1719" t="str">
        <f t="shared" si="92"/>
        <v>040149202502</v>
      </c>
      <c r="U1719">
        <f t="shared" si="93"/>
        <v>5.3158899999999996</v>
      </c>
    </row>
    <row r="1720" spans="1:21" x14ac:dyDescent="0.35">
      <c r="A1720">
        <v>2025</v>
      </c>
      <c r="B1720" s="7" t="s">
        <v>90</v>
      </c>
      <c r="C1720" s="7" t="s">
        <v>127</v>
      </c>
      <c r="D1720">
        <v>202502</v>
      </c>
      <c r="E1720" s="3" t="s">
        <v>52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T1720" t="str">
        <f t="shared" si="92"/>
        <v>040150202502</v>
      </c>
      <c r="U1720">
        <f t="shared" si="93"/>
        <v>0</v>
      </c>
    </row>
    <row r="1721" spans="1:21" x14ac:dyDescent="0.35">
      <c r="A1721">
        <v>2025</v>
      </c>
      <c r="B1721" s="7" t="s">
        <v>90</v>
      </c>
      <c r="C1721" s="7" t="s">
        <v>127</v>
      </c>
      <c r="D1721">
        <v>202502</v>
      </c>
      <c r="E1721" s="3" t="s">
        <v>53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T1721" t="str">
        <f t="shared" si="92"/>
        <v>040151202502</v>
      </c>
      <c r="U1721">
        <f t="shared" si="93"/>
        <v>0</v>
      </c>
    </row>
    <row r="1722" spans="1:21" x14ac:dyDescent="0.35">
      <c r="A1722">
        <v>2025</v>
      </c>
      <c r="B1722" s="7" t="s">
        <v>90</v>
      </c>
      <c r="C1722" s="7" t="s">
        <v>127</v>
      </c>
      <c r="D1722">
        <v>202502</v>
      </c>
      <c r="E1722" s="3" t="s">
        <v>54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T1722" t="str">
        <f t="shared" si="92"/>
        <v>040152202502</v>
      </c>
      <c r="U1722">
        <f t="shared" si="93"/>
        <v>0</v>
      </c>
    </row>
    <row r="1723" spans="1:21" x14ac:dyDescent="0.35">
      <c r="A1723">
        <v>2025</v>
      </c>
      <c r="B1723" s="7" t="s">
        <v>90</v>
      </c>
      <c r="C1723" s="7" t="s">
        <v>127</v>
      </c>
      <c r="D1723">
        <v>202502</v>
      </c>
      <c r="E1723" s="3" t="s">
        <v>55</v>
      </c>
      <c r="F1723">
        <v>3.8544207999999998</v>
      </c>
      <c r="G1723">
        <v>3.8544207999999998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0.71892809999999996</v>
      </c>
      <c r="N1723">
        <v>0.71892809999999996</v>
      </c>
      <c r="O1723">
        <v>0</v>
      </c>
      <c r="P1723">
        <v>0.71892809999999996</v>
      </c>
      <c r="Q1723">
        <v>0</v>
      </c>
      <c r="R1723">
        <v>0</v>
      </c>
      <c r="T1723" t="str">
        <f t="shared" si="92"/>
        <v>040154202502</v>
      </c>
      <c r="U1723">
        <f t="shared" si="93"/>
        <v>3.8544207999999998</v>
      </c>
    </row>
    <row r="1724" spans="1:21" x14ac:dyDescent="0.35">
      <c r="A1724">
        <v>2025</v>
      </c>
      <c r="B1724" s="7" t="s">
        <v>90</v>
      </c>
      <c r="C1724" s="7" t="s">
        <v>127</v>
      </c>
      <c r="D1724">
        <v>202502</v>
      </c>
      <c r="E1724" s="3" t="s">
        <v>56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T1724" t="str">
        <f t="shared" si="92"/>
        <v>040155202502</v>
      </c>
      <c r="U1724">
        <f t="shared" si="93"/>
        <v>0</v>
      </c>
    </row>
    <row r="1725" spans="1:21" x14ac:dyDescent="0.35">
      <c r="A1725">
        <v>2025</v>
      </c>
      <c r="B1725" s="7" t="s">
        <v>90</v>
      </c>
      <c r="C1725" s="7" t="s">
        <v>127</v>
      </c>
      <c r="D1725">
        <v>202502</v>
      </c>
      <c r="E1725" s="3" t="s">
        <v>57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T1725" t="str">
        <f t="shared" si="92"/>
        <v>040156202502</v>
      </c>
      <c r="U1725">
        <f t="shared" si="93"/>
        <v>0</v>
      </c>
    </row>
    <row r="1726" spans="1:21" x14ac:dyDescent="0.35">
      <c r="A1726">
        <v>2025</v>
      </c>
      <c r="B1726" s="7" t="s">
        <v>90</v>
      </c>
      <c r="C1726" s="7" t="s">
        <v>127</v>
      </c>
      <c r="D1726">
        <v>202502</v>
      </c>
      <c r="E1726" s="3" t="s">
        <v>58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T1726" t="str">
        <f t="shared" si="92"/>
        <v>040157202502</v>
      </c>
      <c r="U1726">
        <f t="shared" si="93"/>
        <v>0</v>
      </c>
    </row>
    <row r="1727" spans="1:21" x14ac:dyDescent="0.35">
      <c r="A1727">
        <v>2025</v>
      </c>
      <c r="B1727" s="7" t="s">
        <v>90</v>
      </c>
      <c r="C1727" s="7" t="s">
        <v>127</v>
      </c>
      <c r="D1727">
        <v>202502</v>
      </c>
      <c r="E1727" s="3" t="s">
        <v>59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T1727" t="str">
        <f t="shared" si="92"/>
        <v>040158202502</v>
      </c>
      <c r="U1727">
        <f t="shared" si="93"/>
        <v>0</v>
      </c>
    </row>
    <row r="1728" spans="1:21" x14ac:dyDescent="0.35">
      <c r="A1728">
        <v>2025</v>
      </c>
      <c r="B1728" s="7" t="s">
        <v>90</v>
      </c>
      <c r="C1728" s="7" t="s">
        <v>127</v>
      </c>
      <c r="D1728">
        <v>202502</v>
      </c>
      <c r="E1728" s="3" t="s">
        <v>60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T1728" t="str">
        <f t="shared" si="92"/>
        <v>040159202502</v>
      </c>
      <c r="U1728">
        <f t="shared" si="93"/>
        <v>0</v>
      </c>
    </row>
    <row r="1729" spans="1:21" x14ac:dyDescent="0.35">
      <c r="A1729">
        <v>2025</v>
      </c>
      <c r="B1729" s="7" t="s">
        <v>90</v>
      </c>
      <c r="C1729" s="7" t="s">
        <v>127</v>
      </c>
      <c r="D1729">
        <v>202502</v>
      </c>
      <c r="E1729" s="3" t="s">
        <v>63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T1729" t="str">
        <f t="shared" si="92"/>
        <v>040160202502</v>
      </c>
      <c r="U1729">
        <f t="shared" si="93"/>
        <v>0</v>
      </c>
    </row>
    <row r="1730" spans="1:21" x14ac:dyDescent="0.35">
      <c r="A1730">
        <v>2025</v>
      </c>
      <c r="B1730" s="7" t="s">
        <v>90</v>
      </c>
      <c r="C1730" s="7" t="s">
        <v>127</v>
      </c>
      <c r="D1730">
        <v>202502</v>
      </c>
      <c r="E1730" s="3" t="s">
        <v>61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T1730" t="str">
        <f t="shared" si="92"/>
        <v>040162202502</v>
      </c>
      <c r="U1730">
        <f t="shared" si="93"/>
        <v>0</v>
      </c>
    </row>
    <row r="1731" spans="1:21" x14ac:dyDescent="0.35">
      <c r="A1731">
        <v>2025</v>
      </c>
      <c r="B1731" s="7" t="s">
        <v>90</v>
      </c>
      <c r="C1731" s="7" t="s">
        <v>127</v>
      </c>
      <c r="D1731">
        <v>202502</v>
      </c>
      <c r="E1731" s="3" t="s">
        <v>114</v>
      </c>
      <c r="F1731">
        <v>0</v>
      </c>
      <c r="G1731">
        <v>0</v>
      </c>
      <c r="H1731">
        <v>0</v>
      </c>
      <c r="I1731">
        <v>3.5431690299999996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1.1609319999999999E-2</v>
      </c>
      <c r="R1731">
        <v>0</v>
      </c>
      <c r="T1731" t="str">
        <f t="shared" si="92"/>
        <v>040165202502</v>
      </c>
      <c r="U1731">
        <f t="shared" si="93"/>
        <v>3.5431690299999996</v>
      </c>
    </row>
    <row r="1732" spans="1:21" x14ac:dyDescent="0.35">
      <c r="A1732">
        <v>2025</v>
      </c>
      <c r="B1732" s="7" t="s">
        <v>91</v>
      </c>
      <c r="C1732" s="7" t="s">
        <v>128</v>
      </c>
      <c r="D1732">
        <v>202503</v>
      </c>
      <c r="E1732" s="3">
        <v>5</v>
      </c>
      <c r="F1732">
        <v>1030.70810706</v>
      </c>
      <c r="G1732">
        <v>13116.772697280001</v>
      </c>
      <c r="H1732">
        <v>616.22191054999996</v>
      </c>
      <c r="I1732">
        <v>1030.2345328399999</v>
      </c>
      <c r="J1732">
        <v>0.45727621999999996</v>
      </c>
      <c r="K1732">
        <v>5.4932799999999997E-3</v>
      </c>
      <c r="L1732">
        <v>2.671E-5</v>
      </c>
      <c r="M1732">
        <v>0</v>
      </c>
      <c r="N1732">
        <v>59.658492409999994</v>
      </c>
      <c r="O1732">
        <v>178.18470650999998</v>
      </c>
      <c r="P1732">
        <v>0</v>
      </c>
      <c r="Q1732">
        <v>59.658465700000001</v>
      </c>
      <c r="R1732">
        <v>0</v>
      </c>
      <c r="T1732" t="str">
        <f t="shared" ref="T1732:T1777" si="94">+E1732&amp;D1732</f>
        <v>5202503</v>
      </c>
      <c r="U1732">
        <f t="shared" ref="U1732:U1777" si="95">+F1732+I1732+J1732</f>
        <v>2061.3999161199999</v>
      </c>
    </row>
    <row r="1733" spans="1:21" x14ac:dyDescent="0.35">
      <c r="A1733">
        <v>2025</v>
      </c>
      <c r="B1733" s="7" t="s">
        <v>91</v>
      </c>
      <c r="C1733" s="7" t="s">
        <v>128</v>
      </c>
      <c r="D1733">
        <v>202503</v>
      </c>
      <c r="E1733" s="3" t="s">
        <v>19</v>
      </c>
      <c r="F1733">
        <v>58.853310840000006</v>
      </c>
      <c r="G1733">
        <v>369.77268631999999</v>
      </c>
      <c r="H1733">
        <v>52.616416139999998</v>
      </c>
      <c r="I1733">
        <v>58.853310840000006</v>
      </c>
      <c r="J1733">
        <v>0</v>
      </c>
      <c r="K1733">
        <v>5.4932799999999997E-3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T1733" t="str">
        <f t="shared" si="94"/>
        <v>040002202503</v>
      </c>
      <c r="U1733">
        <f t="shared" si="95"/>
        <v>117.70662168000001</v>
      </c>
    </row>
    <row r="1734" spans="1:21" x14ac:dyDescent="0.35">
      <c r="A1734">
        <v>2025</v>
      </c>
      <c r="B1734" s="7" t="s">
        <v>91</v>
      </c>
      <c r="C1734" s="7" t="s">
        <v>128</v>
      </c>
      <c r="D1734">
        <v>202503</v>
      </c>
      <c r="E1734" s="3" t="s">
        <v>20</v>
      </c>
      <c r="F1734">
        <v>255.49334400000001</v>
      </c>
      <c r="G1734">
        <v>6103.180359</v>
      </c>
      <c r="H1734">
        <v>214.187265</v>
      </c>
      <c r="I1734">
        <v>255.39416600000001</v>
      </c>
      <c r="J1734">
        <v>8.2879999999999995E-2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T1734" t="str">
        <f t="shared" si="94"/>
        <v>040012202503</v>
      </c>
      <c r="U1734">
        <f t="shared" si="95"/>
        <v>510.97039000000001</v>
      </c>
    </row>
    <row r="1735" spans="1:21" x14ac:dyDescent="0.35">
      <c r="A1735">
        <v>2025</v>
      </c>
      <c r="B1735" s="7" t="s">
        <v>91</v>
      </c>
      <c r="C1735" s="7" t="s">
        <v>128</v>
      </c>
      <c r="D1735">
        <v>202503</v>
      </c>
      <c r="E1735" s="3" t="s">
        <v>21</v>
      </c>
      <c r="F1735">
        <v>273.87384100000003</v>
      </c>
      <c r="G1735">
        <v>1769.1864430000001</v>
      </c>
      <c r="H1735">
        <v>109.179233</v>
      </c>
      <c r="I1735">
        <v>273.87384100000003</v>
      </c>
      <c r="J1735">
        <v>0</v>
      </c>
      <c r="K1735">
        <v>0</v>
      </c>
      <c r="L1735">
        <v>0</v>
      </c>
      <c r="M1735">
        <v>0</v>
      </c>
      <c r="N1735">
        <v>12.033821</v>
      </c>
      <c r="O1735">
        <v>29.301089999999999</v>
      </c>
      <c r="P1735">
        <v>0</v>
      </c>
      <c r="Q1735">
        <v>12.033821</v>
      </c>
      <c r="R1735">
        <v>0</v>
      </c>
      <c r="T1735" t="str">
        <f t="shared" si="94"/>
        <v>040014202503</v>
      </c>
      <c r="U1735">
        <f t="shared" si="95"/>
        <v>547.74768200000005</v>
      </c>
    </row>
    <row r="1736" spans="1:21" x14ac:dyDescent="0.35">
      <c r="A1736">
        <v>2025</v>
      </c>
      <c r="B1736" s="7" t="s">
        <v>91</v>
      </c>
      <c r="C1736" s="7" t="s">
        <v>128</v>
      </c>
      <c r="D1736">
        <v>202503</v>
      </c>
      <c r="E1736" s="3" t="s">
        <v>22</v>
      </c>
      <c r="F1736">
        <v>85.223957999999996</v>
      </c>
      <c r="G1736">
        <v>997.18435899999997</v>
      </c>
      <c r="H1736">
        <v>20.879104000000002</v>
      </c>
      <c r="I1736">
        <v>85.223957999999996</v>
      </c>
      <c r="J1736">
        <v>0</v>
      </c>
      <c r="K1736">
        <v>0</v>
      </c>
      <c r="L1736">
        <v>1.2999999999999999E-5</v>
      </c>
      <c r="M1736">
        <v>0</v>
      </c>
      <c r="N1736">
        <v>8.1362469999999991</v>
      </c>
      <c r="O1736">
        <v>41.115805000000002</v>
      </c>
      <c r="P1736">
        <v>0</v>
      </c>
      <c r="Q1736">
        <v>8.136234</v>
      </c>
      <c r="R1736">
        <v>0</v>
      </c>
      <c r="T1736" t="str">
        <f t="shared" si="94"/>
        <v>040021202503</v>
      </c>
      <c r="U1736">
        <f t="shared" si="95"/>
        <v>170.44791599999999</v>
      </c>
    </row>
    <row r="1737" spans="1:21" x14ac:dyDescent="0.35">
      <c r="A1737">
        <v>2025</v>
      </c>
      <c r="B1737" s="7" t="s">
        <v>91</v>
      </c>
      <c r="C1737" s="7" t="s">
        <v>128</v>
      </c>
      <c r="D1737">
        <v>202503</v>
      </c>
      <c r="E1737" s="3" t="s">
        <v>23</v>
      </c>
      <c r="F1737">
        <v>91.712315379999993</v>
      </c>
      <c r="G1737">
        <v>63.046755210000001</v>
      </c>
      <c r="H1737">
        <v>1.6305002900000001</v>
      </c>
      <c r="I1737">
        <v>91.712315379999993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T1737" t="str">
        <f t="shared" si="94"/>
        <v>040030202503</v>
      </c>
      <c r="U1737">
        <f t="shared" si="95"/>
        <v>183.42463075999999</v>
      </c>
    </row>
    <row r="1738" spans="1:21" x14ac:dyDescent="0.35">
      <c r="A1738">
        <v>2025</v>
      </c>
      <c r="B1738" s="7" t="s">
        <v>91</v>
      </c>
      <c r="C1738" s="7" t="s">
        <v>128</v>
      </c>
      <c r="D1738">
        <v>202503</v>
      </c>
      <c r="E1738" s="3" t="s">
        <v>24</v>
      </c>
      <c r="F1738">
        <v>0</v>
      </c>
      <c r="G1738">
        <v>12.461596</v>
      </c>
      <c r="H1738">
        <v>4.0410000000000003E-3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T1738" t="str">
        <f t="shared" si="94"/>
        <v>040036202503</v>
      </c>
      <c r="U1738">
        <f t="shared" si="95"/>
        <v>0</v>
      </c>
    </row>
    <row r="1739" spans="1:21" x14ac:dyDescent="0.35">
      <c r="A1739">
        <v>2025</v>
      </c>
      <c r="B1739" s="7" t="s">
        <v>91</v>
      </c>
      <c r="C1739" s="7" t="s">
        <v>128</v>
      </c>
      <c r="D1739">
        <v>202503</v>
      </c>
      <c r="E1739" s="3" t="s">
        <v>25</v>
      </c>
      <c r="F1739">
        <v>15.512409</v>
      </c>
      <c r="G1739">
        <v>4.4663190000000004</v>
      </c>
      <c r="H1739">
        <v>0.80495099999999997</v>
      </c>
      <c r="I1739">
        <v>15.512409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T1739" t="str">
        <f t="shared" si="94"/>
        <v>040042202503</v>
      </c>
      <c r="U1739">
        <f t="shared" si="95"/>
        <v>31.024818</v>
      </c>
    </row>
    <row r="1740" spans="1:21" x14ac:dyDescent="0.35">
      <c r="A1740">
        <v>2025</v>
      </c>
      <c r="B1740" s="7" t="s">
        <v>91</v>
      </c>
      <c r="C1740" s="7" t="s">
        <v>128</v>
      </c>
      <c r="D1740">
        <v>202503</v>
      </c>
      <c r="E1740" s="3" t="s">
        <v>26</v>
      </c>
      <c r="F1740">
        <v>16.337388000000001</v>
      </c>
      <c r="G1740">
        <v>283.97896400000002</v>
      </c>
      <c r="H1740">
        <v>13.798902999999999</v>
      </c>
      <c r="I1740">
        <v>16.337388000000001</v>
      </c>
      <c r="J1740">
        <v>0</v>
      </c>
      <c r="K1740">
        <v>0</v>
      </c>
      <c r="L1740">
        <v>0</v>
      </c>
      <c r="M1740">
        <v>0</v>
      </c>
      <c r="N1740">
        <v>25.625354999999999</v>
      </c>
      <c r="O1740">
        <v>11.38776</v>
      </c>
      <c r="P1740">
        <v>0</v>
      </c>
      <c r="Q1740">
        <v>25.625354999999999</v>
      </c>
      <c r="R1740">
        <v>0</v>
      </c>
      <c r="T1740" t="str">
        <f t="shared" si="94"/>
        <v>040044202503</v>
      </c>
      <c r="U1740">
        <f t="shared" si="95"/>
        <v>32.674776000000001</v>
      </c>
    </row>
    <row r="1741" spans="1:21" x14ac:dyDescent="0.35">
      <c r="A1741">
        <v>2025</v>
      </c>
      <c r="B1741" s="7" t="s">
        <v>91</v>
      </c>
      <c r="C1741" s="7" t="s">
        <v>128</v>
      </c>
      <c r="D1741">
        <v>202503</v>
      </c>
      <c r="E1741" s="3" t="s">
        <v>27</v>
      </c>
      <c r="F1741">
        <v>132.61582122999999</v>
      </c>
      <c r="G1741">
        <v>35.428181500000001</v>
      </c>
      <c r="H1741">
        <v>0.94346403000000001</v>
      </c>
      <c r="I1741">
        <v>132.61582122999999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T1741" t="str">
        <f t="shared" si="94"/>
        <v>040058202503</v>
      </c>
      <c r="U1741">
        <f t="shared" si="95"/>
        <v>265.23164245999999</v>
      </c>
    </row>
    <row r="1742" spans="1:21" x14ac:dyDescent="0.35">
      <c r="A1742">
        <v>2025</v>
      </c>
      <c r="B1742" s="7" t="s">
        <v>91</v>
      </c>
      <c r="C1742" s="7" t="s">
        <v>128</v>
      </c>
      <c r="D1742">
        <v>202503</v>
      </c>
      <c r="E1742" s="3" t="s">
        <v>28</v>
      </c>
      <c r="F1742">
        <v>0</v>
      </c>
      <c r="G1742">
        <v>305.56928599999998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T1742" t="str">
        <f t="shared" si="94"/>
        <v>040059202503</v>
      </c>
      <c r="U1742">
        <f t="shared" si="95"/>
        <v>0</v>
      </c>
    </row>
    <row r="1743" spans="1:21" x14ac:dyDescent="0.35">
      <c r="A1743">
        <v>2025</v>
      </c>
      <c r="B1743" s="7" t="s">
        <v>91</v>
      </c>
      <c r="C1743" s="7" t="s">
        <v>128</v>
      </c>
      <c r="D1743">
        <v>202503</v>
      </c>
      <c r="E1743" s="3" t="s">
        <v>62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T1743" t="str">
        <f t="shared" si="94"/>
        <v>040060202503</v>
      </c>
      <c r="U1743">
        <f t="shared" si="95"/>
        <v>0</v>
      </c>
    </row>
    <row r="1744" spans="1:21" x14ac:dyDescent="0.35">
      <c r="A1744">
        <v>2025</v>
      </c>
      <c r="B1744" s="7" t="s">
        <v>91</v>
      </c>
      <c r="C1744" s="7" t="s">
        <v>128</v>
      </c>
      <c r="D1744">
        <v>202503</v>
      </c>
      <c r="E1744" s="3" t="s">
        <v>29</v>
      </c>
      <c r="F1744">
        <v>0.79854800000000004</v>
      </c>
      <c r="G1744">
        <v>97.765540999999999</v>
      </c>
      <c r="H1744">
        <v>7.5799999999999999E-3</v>
      </c>
      <c r="I1744">
        <v>0.79854800000000004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T1744" t="str">
        <f t="shared" si="94"/>
        <v>040062202503</v>
      </c>
      <c r="U1744">
        <f t="shared" si="95"/>
        <v>1.5970960000000001</v>
      </c>
    </row>
    <row r="1745" spans="1:21" x14ac:dyDescent="0.35">
      <c r="A1745">
        <v>2025</v>
      </c>
      <c r="B1745" s="7" t="s">
        <v>91</v>
      </c>
      <c r="C1745" s="7" t="s">
        <v>128</v>
      </c>
      <c r="D1745">
        <v>202503</v>
      </c>
      <c r="E1745" s="3" t="s">
        <v>30</v>
      </c>
      <c r="F1745">
        <v>96.104827680000014</v>
      </c>
      <c r="G1745">
        <v>1357.4043406600001</v>
      </c>
      <c r="H1745">
        <v>198.58858058000001</v>
      </c>
      <c r="I1745">
        <v>96.104827680000014</v>
      </c>
      <c r="J1745">
        <v>0</v>
      </c>
      <c r="K1745">
        <v>0</v>
      </c>
      <c r="L1745">
        <v>1.3710000000000001E-5</v>
      </c>
      <c r="M1745">
        <v>0</v>
      </c>
      <c r="N1745">
        <v>12.087204419999999</v>
      </c>
      <c r="O1745">
        <v>80.39215784999999</v>
      </c>
      <c r="P1745">
        <v>0</v>
      </c>
      <c r="Q1745">
        <v>12.087190710000002</v>
      </c>
      <c r="R1745">
        <v>0</v>
      </c>
      <c r="T1745" t="str">
        <f t="shared" si="94"/>
        <v>040072202503</v>
      </c>
      <c r="U1745">
        <f t="shared" si="95"/>
        <v>192.20965536000003</v>
      </c>
    </row>
    <row r="1746" spans="1:21" x14ac:dyDescent="0.35">
      <c r="A1746">
        <v>2025</v>
      </c>
      <c r="B1746" s="7" t="s">
        <v>91</v>
      </c>
      <c r="C1746" s="7" t="s">
        <v>128</v>
      </c>
      <c r="D1746">
        <v>202503</v>
      </c>
      <c r="E1746" s="3" t="s">
        <v>31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T1746" t="str">
        <f t="shared" si="94"/>
        <v>040106202503</v>
      </c>
      <c r="U1746">
        <f t="shared" si="95"/>
        <v>0</v>
      </c>
    </row>
    <row r="1747" spans="1:21" x14ac:dyDescent="0.35">
      <c r="A1747">
        <v>2025</v>
      </c>
      <c r="B1747" s="7" t="s">
        <v>91</v>
      </c>
      <c r="C1747" s="7" t="s">
        <v>128</v>
      </c>
      <c r="D1747">
        <v>202503</v>
      </c>
      <c r="E1747" s="3" t="s">
        <v>32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T1747" t="str">
        <f t="shared" si="94"/>
        <v>040108202503</v>
      </c>
      <c r="U1747">
        <f t="shared" si="95"/>
        <v>0</v>
      </c>
    </row>
    <row r="1748" spans="1:21" x14ac:dyDescent="0.35">
      <c r="A1748">
        <v>2025</v>
      </c>
      <c r="B1748" s="7" t="s">
        <v>91</v>
      </c>
      <c r="C1748" s="7" t="s">
        <v>128</v>
      </c>
      <c r="D1748">
        <v>202503</v>
      </c>
      <c r="E1748" s="3" t="s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T1748" t="str">
        <f t="shared" si="94"/>
        <v>040110202503</v>
      </c>
      <c r="U1748">
        <f t="shared" si="95"/>
        <v>0</v>
      </c>
    </row>
    <row r="1749" spans="1:21" x14ac:dyDescent="0.35">
      <c r="A1749">
        <v>2025</v>
      </c>
      <c r="B1749" s="7" t="s">
        <v>91</v>
      </c>
      <c r="C1749" s="7" t="s">
        <v>128</v>
      </c>
      <c r="D1749">
        <v>202503</v>
      </c>
      <c r="E1749" s="3" t="s">
        <v>34</v>
      </c>
      <c r="F1749">
        <v>0.60062081</v>
      </c>
      <c r="G1749">
        <v>0</v>
      </c>
      <c r="H1749">
        <v>8.474778999999999E-2</v>
      </c>
      <c r="I1749">
        <v>0.60062081</v>
      </c>
      <c r="J1749">
        <v>0</v>
      </c>
      <c r="K1749">
        <v>0</v>
      </c>
      <c r="L1749">
        <v>0</v>
      </c>
      <c r="M1749">
        <v>0</v>
      </c>
      <c r="N1749">
        <v>1.71709026</v>
      </c>
      <c r="O1749">
        <v>0</v>
      </c>
      <c r="P1749">
        <v>0</v>
      </c>
      <c r="Q1749">
        <v>1.71709026</v>
      </c>
      <c r="R1749">
        <v>0</v>
      </c>
      <c r="T1749" t="str">
        <f t="shared" si="94"/>
        <v>040112202503</v>
      </c>
      <c r="U1749">
        <f t="shared" si="95"/>
        <v>1.20124162</v>
      </c>
    </row>
    <row r="1750" spans="1:21" x14ac:dyDescent="0.35">
      <c r="A1750">
        <v>2025</v>
      </c>
      <c r="B1750" s="7" t="s">
        <v>91</v>
      </c>
      <c r="C1750" s="7" t="s">
        <v>128</v>
      </c>
      <c r="D1750">
        <v>202503</v>
      </c>
      <c r="E1750" s="3" t="s">
        <v>35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T1750" t="str">
        <f t="shared" si="94"/>
        <v>040113202503</v>
      </c>
      <c r="U1750">
        <f t="shared" si="95"/>
        <v>0</v>
      </c>
    </row>
    <row r="1751" spans="1:21" x14ac:dyDescent="0.35">
      <c r="A1751">
        <v>2025</v>
      </c>
      <c r="B1751" s="7" t="s">
        <v>91</v>
      </c>
      <c r="C1751" s="7" t="s">
        <v>128</v>
      </c>
      <c r="D1751">
        <v>202503</v>
      </c>
      <c r="E1751" s="3" t="s">
        <v>37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T1751" t="str">
        <f t="shared" si="94"/>
        <v>040127202503</v>
      </c>
      <c r="U1751">
        <f t="shared" si="95"/>
        <v>0</v>
      </c>
    </row>
    <row r="1752" spans="1:21" x14ac:dyDescent="0.35">
      <c r="A1752">
        <v>2025</v>
      </c>
      <c r="B1752" s="7" t="s">
        <v>91</v>
      </c>
      <c r="C1752" s="7" t="s">
        <v>128</v>
      </c>
      <c r="D1752">
        <v>202503</v>
      </c>
      <c r="E1752" s="3" t="s">
        <v>38</v>
      </c>
      <c r="F1752">
        <v>0</v>
      </c>
      <c r="G1752">
        <v>1137.7142447000001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T1752" t="str">
        <f t="shared" si="94"/>
        <v>040128202503</v>
      </c>
      <c r="U1752">
        <f t="shared" si="95"/>
        <v>0</v>
      </c>
    </row>
    <row r="1753" spans="1:21" x14ac:dyDescent="0.35">
      <c r="A1753">
        <v>2025</v>
      </c>
      <c r="B1753" s="7" t="s">
        <v>91</v>
      </c>
      <c r="C1753" s="7" t="s">
        <v>128</v>
      </c>
      <c r="D1753">
        <v>202503</v>
      </c>
      <c r="E1753" s="3" t="s">
        <v>39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T1753" t="str">
        <f t="shared" si="94"/>
        <v>040130202503</v>
      </c>
      <c r="U1753">
        <f t="shared" si="95"/>
        <v>0</v>
      </c>
    </row>
    <row r="1754" spans="1:21" x14ac:dyDescent="0.35">
      <c r="A1754">
        <v>2025</v>
      </c>
      <c r="B1754" s="7" t="s">
        <v>91</v>
      </c>
      <c r="C1754" s="7" t="s">
        <v>128</v>
      </c>
      <c r="D1754">
        <v>202503</v>
      </c>
      <c r="E1754" s="3" t="s">
        <v>40</v>
      </c>
      <c r="F1754">
        <v>0</v>
      </c>
      <c r="G1754">
        <v>459.061577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11.93614</v>
      </c>
      <c r="P1754">
        <v>0</v>
      </c>
      <c r="Q1754">
        <v>0</v>
      </c>
      <c r="R1754">
        <v>0</v>
      </c>
      <c r="T1754" t="str">
        <f t="shared" si="94"/>
        <v>040132202503</v>
      </c>
      <c r="U1754">
        <f t="shared" si="95"/>
        <v>0</v>
      </c>
    </row>
    <row r="1755" spans="1:21" x14ac:dyDescent="0.35">
      <c r="A1755">
        <v>2025</v>
      </c>
      <c r="B1755" s="7" t="s">
        <v>91</v>
      </c>
      <c r="C1755" s="7" t="s">
        <v>128</v>
      </c>
      <c r="D1755">
        <v>202503</v>
      </c>
      <c r="E1755" s="3" t="s">
        <v>41</v>
      </c>
      <c r="F1755">
        <v>1.624627</v>
      </c>
      <c r="G1755">
        <v>1.0000000000000001E-5</v>
      </c>
      <c r="H1755">
        <v>0</v>
      </c>
      <c r="I1755">
        <v>1.624627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T1755" t="str">
        <f t="shared" si="94"/>
        <v>040133202503</v>
      </c>
      <c r="U1755">
        <f t="shared" si="95"/>
        <v>3.2492540000000001</v>
      </c>
    </row>
    <row r="1756" spans="1:21" x14ac:dyDescent="0.35">
      <c r="A1756">
        <v>2025</v>
      </c>
      <c r="B1756" s="7" t="s">
        <v>91</v>
      </c>
      <c r="C1756" s="7" t="s">
        <v>128</v>
      </c>
      <c r="D1756">
        <v>202503</v>
      </c>
      <c r="E1756" s="3" t="s">
        <v>42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T1756" t="str">
        <f t="shared" si="94"/>
        <v>040136202503</v>
      </c>
      <c r="U1756">
        <f t="shared" si="95"/>
        <v>0</v>
      </c>
    </row>
    <row r="1757" spans="1:21" x14ac:dyDescent="0.35">
      <c r="A1757">
        <v>2025</v>
      </c>
      <c r="B1757" s="7" t="s">
        <v>91</v>
      </c>
      <c r="C1757" s="7" t="s">
        <v>128</v>
      </c>
      <c r="D1757">
        <v>202503</v>
      </c>
      <c r="E1757" s="3" t="s">
        <v>43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T1757" t="str">
        <f t="shared" si="94"/>
        <v>040137202503</v>
      </c>
      <c r="U1757">
        <f t="shared" si="95"/>
        <v>0</v>
      </c>
    </row>
    <row r="1758" spans="1:21" x14ac:dyDescent="0.35">
      <c r="A1758">
        <v>2025</v>
      </c>
      <c r="B1758" s="7" t="s">
        <v>91</v>
      </c>
      <c r="C1758" s="7" t="s">
        <v>128</v>
      </c>
      <c r="D1758">
        <v>202503</v>
      </c>
      <c r="E1758" s="3" t="s">
        <v>44</v>
      </c>
      <c r="F1758">
        <v>0</v>
      </c>
      <c r="G1758">
        <v>15.354588789999999</v>
      </c>
      <c r="H1758">
        <v>1.6750956100000001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T1758" t="str">
        <f t="shared" si="94"/>
        <v>040138202503</v>
      </c>
      <c r="U1758">
        <f t="shared" si="95"/>
        <v>0</v>
      </c>
    </row>
    <row r="1759" spans="1:21" x14ac:dyDescent="0.35">
      <c r="A1759">
        <v>2025</v>
      </c>
      <c r="B1759" s="7" t="s">
        <v>91</v>
      </c>
      <c r="C1759" s="7" t="s">
        <v>128</v>
      </c>
      <c r="D1759">
        <v>202503</v>
      </c>
      <c r="E1759" s="3" t="s">
        <v>45</v>
      </c>
      <c r="F1759">
        <v>0</v>
      </c>
      <c r="G1759">
        <v>15.852627640000001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T1759" t="str">
        <f t="shared" si="94"/>
        <v>040139202503</v>
      </c>
      <c r="U1759">
        <f t="shared" si="95"/>
        <v>0</v>
      </c>
    </row>
    <row r="1760" spans="1:21" x14ac:dyDescent="0.35">
      <c r="A1760">
        <v>2025</v>
      </c>
      <c r="B1760" s="7" t="s">
        <v>91</v>
      </c>
      <c r="C1760" s="7" t="s">
        <v>128</v>
      </c>
      <c r="D1760">
        <v>202503</v>
      </c>
      <c r="E1760" s="3" t="s">
        <v>46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T1760" t="str">
        <f t="shared" si="94"/>
        <v>040140202503</v>
      </c>
      <c r="U1760">
        <f t="shared" si="95"/>
        <v>0</v>
      </c>
    </row>
    <row r="1761" spans="1:21" x14ac:dyDescent="0.35">
      <c r="A1761">
        <v>2025</v>
      </c>
      <c r="B1761" s="7" t="s">
        <v>91</v>
      </c>
      <c r="C1761" s="7" t="s">
        <v>128</v>
      </c>
      <c r="D1761">
        <v>202503</v>
      </c>
      <c r="E1761" s="3" t="s">
        <v>47</v>
      </c>
      <c r="F1761">
        <v>0</v>
      </c>
      <c r="G1761">
        <v>65.661416000000003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T1761" t="str">
        <f t="shared" si="94"/>
        <v>040141202503</v>
      </c>
      <c r="U1761">
        <f t="shared" si="95"/>
        <v>0</v>
      </c>
    </row>
    <row r="1762" spans="1:21" x14ac:dyDescent="0.35">
      <c r="A1762">
        <v>2025</v>
      </c>
      <c r="B1762" s="7" t="s">
        <v>91</v>
      </c>
      <c r="C1762" s="7" t="s">
        <v>128</v>
      </c>
      <c r="D1762">
        <v>202503</v>
      </c>
      <c r="E1762" s="3" t="s">
        <v>48</v>
      </c>
      <c r="F1762">
        <v>0</v>
      </c>
      <c r="G1762">
        <v>8.4402030000000003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T1762" t="str">
        <f t="shared" si="94"/>
        <v>040143202503</v>
      </c>
      <c r="U1762">
        <f t="shared" si="95"/>
        <v>0</v>
      </c>
    </row>
    <row r="1763" spans="1:21" x14ac:dyDescent="0.35">
      <c r="A1763">
        <v>2025</v>
      </c>
      <c r="B1763" s="7" t="s">
        <v>91</v>
      </c>
      <c r="C1763" s="7" t="s">
        <v>128</v>
      </c>
      <c r="D1763">
        <v>202503</v>
      </c>
      <c r="E1763" s="3" t="s">
        <v>49</v>
      </c>
      <c r="F1763">
        <v>1.9570961200000001</v>
      </c>
      <c r="G1763">
        <v>4.3727977100000004</v>
      </c>
      <c r="H1763">
        <v>1.8220291100000001</v>
      </c>
      <c r="I1763">
        <v>1.5826998999999999</v>
      </c>
      <c r="J1763">
        <v>0.37439621999999995</v>
      </c>
      <c r="K1763">
        <v>0</v>
      </c>
      <c r="L1763">
        <v>0</v>
      </c>
      <c r="M1763">
        <v>0</v>
      </c>
      <c r="N1763">
        <v>0</v>
      </c>
      <c r="O1763">
        <v>4.0179869200000002</v>
      </c>
      <c r="P1763">
        <v>0</v>
      </c>
      <c r="Q1763">
        <v>0</v>
      </c>
      <c r="R1763">
        <v>0</v>
      </c>
      <c r="T1763" t="str">
        <f t="shared" si="94"/>
        <v>040145202503</v>
      </c>
      <c r="U1763">
        <f t="shared" si="95"/>
        <v>3.9141922399999998</v>
      </c>
    </row>
    <row r="1764" spans="1:21" x14ac:dyDescent="0.35">
      <c r="A1764">
        <v>2025</v>
      </c>
      <c r="B1764" s="7" t="s">
        <v>91</v>
      </c>
      <c r="C1764" s="7" t="s">
        <v>128</v>
      </c>
      <c r="D1764">
        <v>202503</v>
      </c>
      <c r="E1764" s="3" t="s">
        <v>50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T1764" t="str">
        <f t="shared" si="94"/>
        <v>040147202503</v>
      </c>
      <c r="U1764">
        <f t="shared" si="95"/>
        <v>0</v>
      </c>
    </row>
    <row r="1765" spans="1:21" x14ac:dyDescent="0.35">
      <c r="A1765">
        <v>2025</v>
      </c>
      <c r="B1765" s="7" t="s">
        <v>91</v>
      </c>
      <c r="C1765" s="7" t="s">
        <v>128</v>
      </c>
      <c r="D1765">
        <v>202503</v>
      </c>
      <c r="E1765" s="3" t="s">
        <v>51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T1765" t="str">
        <f t="shared" si="94"/>
        <v>040149202503</v>
      </c>
      <c r="U1765">
        <f t="shared" si="95"/>
        <v>0</v>
      </c>
    </row>
    <row r="1766" spans="1:21" x14ac:dyDescent="0.35">
      <c r="A1766">
        <v>2025</v>
      </c>
      <c r="B1766" s="7" t="s">
        <v>91</v>
      </c>
      <c r="C1766" s="7" t="s">
        <v>128</v>
      </c>
      <c r="D1766">
        <v>202503</v>
      </c>
      <c r="E1766" s="3" t="s">
        <v>52</v>
      </c>
      <c r="F1766">
        <v>0</v>
      </c>
      <c r="G1766">
        <v>6.9697199999999997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1.098E-2</v>
      </c>
      <c r="P1766">
        <v>0</v>
      </c>
      <c r="Q1766">
        <v>0</v>
      </c>
      <c r="R1766">
        <v>0</v>
      </c>
      <c r="T1766" t="str">
        <f t="shared" si="94"/>
        <v>040150202503</v>
      </c>
      <c r="U1766">
        <f t="shared" si="95"/>
        <v>0</v>
      </c>
    </row>
    <row r="1767" spans="1:21" x14ac:dyDescent="0.35">
      <c r="A1767">
        <v>2025</v>
      </c>
      <c r="B1767" s="7" t="s">
        <v>91</v>
      </c>
      <c r="C1767" s="7" t="s">
        <v>128</v>
      </c>
      <c r="D1767">
        <v>202503</v>
      </c>
      <c r="E1767" s="3" t="s">
        <v>53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T1767" t="str">
        <f t="shared" si="94"/>
        <v>040151202503</v>
      </c>
      <c r="U1767">
        <f t="shared" si="95"/>
        <v>0</v>
      </c>
    </row>
    <row r="1768" spans="1:21" x14ac:dyDescent="0.35">
      <c r="A1768">
        <v>2025</v>
      </c>
      <c r="B1768" s="7" t="s">
        <v>91</v>
      </c>
      <c r="C1768" s="7" t="s">
        <v>128</v>
      </c>
      <c r="D1768">
        <v>202503</v>
      </c>
      <c r="E1768" s="3" t="s">
        <v>54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T1768" t="str">
        <f t="shared" si="94"/>
        <v>040152202503</v>
      </c>
      <c r="U1768">
        <f t="shared" si="95"/>
        <v>0</v>
      </c>
    </row>
    <row r="1769" spans="1:21" x14ac:dyDescent="0.35">
      <c r="A1769">
        <v>2025</v>
      </c>
      <c r="B1769" s="7" t="s">
        <v>91</v>
      </c>
      <c r="C1769" s="7" t="s">
        <v>128</v>
      </c>
      <c r="D1769">
        <v>202503</v>
      </c>
      <c r="E1769" s="3" t="s">
        <v>55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T1769" t="str">
        <f t="shared" si="94"/>
        <v>040154202503</v>
      </c>
      <c r="U1769">
        <f t="shared" si="95"/>
        <v>0</v>
      </c>
    </row>
    <row r="1770" spans="1:21" x14ac:dyDescent="0.35">
      <c r="A1770">
        <v>2025</v>
      </c>
      <c r="B1770" s="7" t="s">
        <v>91</v>
      </c>
      <c r="C1770" s="7" t="s">
        <v>128</v>
      </c>
      <c r="D1770">
        <v>202503</v>
      </c>
      <c r="E1770" s="3" t="s">
        <v>56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5.8774730000000004E-2</v>
      </c>
      <c r="O1770">
        <v>0</v>
      </c>
      <c r="P1770">
        <v>0</v>
      </c>
      <c r="Q1770">
        <v>5.8774730000000004E-2</v>
      </c>
      <c r="R1770">
        <v>0</v>
      </c>
      <c r="T1770" t="str">
        <f t="shared" si="94"/>
        <v>040155202503</v>
      </c>
      <c r="U1770">
        <f t="shared" si="95"/>
        <v>0</v>
      </c>
    </row>
    <row r="1771" spans="1:21" x14ac:dyDescent="0.35">
      <c r="A1771">
        <v>2025</v>
      </c>
      <c r="B1771" s="7" t="s">
        <v>91</v>
      </c>
      <c r="C1771" s="7" t="s">
        <v>128</v>
      </c>
      <c r="D1771">
        <v>202503</v>
      </c>
      <c r="E1771" s="3" t="s">
        <v>57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T1771" t="str">
        <f t="shared" si="94"/>
        <v>040156202503</v>
      </c>
      <c r="U1771">
        <f t="shared" si="95"/>
        <v>0</v>
      </c>
    </row>
    <row r="1772" spans="1:21" x14ac:dyDescent="0.35">
      <c r="A1772">
        <v>2025</v>
      </c>
      <c r="B1772" s="7" t="s">
        <v>91</v>
      </c>
      <c r="C1772" s="7" t="s">
        <v>128</v>
      </c>
      <c r="D1772">
        <v>202503</v>
      </c>
      <c r="E1772" s="3" t="s">
        <v>58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T1772" t="str">
        <f t="shared" si="94"/>
        <v>040157202503</v>
      </c>
      <c r="U1772">
        <f t="shared" si="95"/>
        <v>0</v>
      </c>
    </row>
    <row r="1773" spans="1:21" x14ac:dyDescent="0.35">
      <c r="A1773">
        <v>2025</v>
      </c>
      <c r="B1773" s="7" t="s">
        <v>91</v>
      </c>
      <c r="C1773" s="7" t="s">
        <v>128</v>
      </c>
      <c r="D1773">
        <v>202503</v>
      </c>
      <c r="E1773" s="3" t="s">
        <v>59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T1773" t="str">
        <f t="shared" si="94"/>
        <v>040158202503</v>
      </c>
      <c r="U1773">
        <f t="shared" si="95"/>
        <v>0</v>
      </c>
    </row>
    <row r="1774" spans="1:21" x14ac:dyDescent="0.35">
      <c r="A1774">
        <v>2025</v>
      </c>
      <c r="B1774" s="7" t="s">
        <v>91</v>
      </c>
      <c r="C1774" s="7" t="s">
        <v>128</v>
      </c>
      <c r="D1774">
        <v>202503</v>
      </c>
      <c r="E1774" s="3" t="s">
        <v>60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T1774" t="str">
        <f t="shared" si="94"/>
        <v>040159202503</v>
      </c>
      <c r="U1774">
        <f t="shared" si="95"/>
        <v>0</v>
      </c>
    </row>
    <row r="1775" spans="1:21" x14ac:dyDescent="0.35">
      <c r="A1775">
        <v>2025</v>
      </c>
      <c r="B1775" s="7" t="s">
        <v>91</v>
      </c>
      <c r="C1775" s="7" t="s">
        <v>128</v>
      </c>
      <c r="D1775">
        <v>202503</v>
      </c>
      <c r="E1775" s="3" t="s">
        <v>63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T1775" t="str">
        <f t="shared" si="94"/>
        <v>040160202503</v>
      </c>
      <c r="U1775">
        <f t="shared" si="95"/>
        <v>0</v>
      </c>
    </row>
    <row r="1776" spans="1:21" x14ac:dyDescent="0.35">
      <c r="A1776">
        <v>2025</v>
      </c>
      <c r="B1776" s="7" t="s">
        <v>91</v>
      </c>
      <c r="C1776" s="7" t="s">
        <v>128</v>
      </c>
      <c r="D1776">
        <v>202503</v>
      </c>
      <c r="E1776" s="3" t="s">
        <v>61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T1776" t="str">
        <f t="shared" si="94"/>
        <v>040162202503</v>
      </c>
      <c r="U1776">
        <f t="shared" si="95"/>
        <v>0</v>
      </c>
    </row>
    <row r="1777" spans="1:21" x14ac:dyDescent="0.35">
      <c r="A1777">
        <v>2025</v>
      </c>
      <c r="B1777" s="7" t="s">
        <v>91</v>
      </c>
      <c r="C1777" s="7" t="s">
        <v>128</v>
      </c>
      <c r="D1777">
        <v>202503</v>
      </c>
      <c r="E1777" s="3" t="s">
        <v>114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T1777" t="str">
        <f t="shared" si="94"/>
        <v>040165202503</v>
      </c>
      <c r="U1777">
        <f t="shared" si="95"/>
        <v>0</v>
      </c>
    </row>
    <row r="1778" spans="1:21" x14ac:dyDescent="0.35">
      <c r="A1778">
        <v>2025</v>
      </c>
      <c r="B1778" s="7" t="s">
        <v>92</v>
      </c>
      <c r="C1778" s="7" t="s">
        <v>129</v>
      </c>
      <c r="D1778">
        <v>202504</v>
      </c>
      <c r="E1778" s="3">
        <v>5</v>
      </c>
      <c r="F1778">
        <v>1186.7193420999999</v>
      </c>
      <c r="G1778">
        <v>1186.7193420999999</v>
      </c>
      <c r="H1778">
        <v>28.580386899999997</v>
      </c>
      <c r="I1778">
        <v>9507.4346267800011</v>
      </c>
      <c r="J1778">
        <v>503.80940231</v>
      </c>
      <c r="K1778">
        <v>187.62778738999998</v>
      </c>
      <c r="L1778">
        <v>397.56234017000003</v>
      </c>
      <c r="M1778">
        <v>397.56232217000002</v>
      </c>
      <c r="N1778">
        <v>0</v>
      </c>
      <c r="O1778">
        <v>1.8E-5</v>
      </c>
      <c r="P1778">
        <v>211.31997981999999</v>
      </c>
      <c r="Q1778">
        <v>73.888264090000007</v>
      </c>
      <c r="R1778">
        <v>0</v>
      </c>
      <c r="T1778" t="str">
        <f t="shared" ref="T1778:T1841" si="96">+E1778&amp;D1778</f>
        <v>5202504</v>
      </c>
      <c r="U1778">
        <f t="shared" ref="U1778:U1841" si="97">+F1778+I1778+J1778</f>
        <v>11197.963371190001</v>
      </c>
    </row>
    <row r="1779" spans="1:21" x14ac:dyDescent="0.35">
      <c r="A1779">
        <v>2025</v>
      </c>
      <c r="B1779" s="7" t="s">
        <v>92</v>
      </c>
      <c r="C1779" s="7" t="s">
        <v>129</v>
      </c>
      <c r="D1779">
        <v>202504</v>
      </c>
      <c r="E1779" s="3" t="s">
        <v>19</v>
      </c>
      <c r="F1779">
        <v>36.660949359999996</v>
      </c>
      <c r="G1779">
        <v>36.660949359999996</v>
      </c>
      <c r="H1779">
        <v>0</v>
      </c>
      <c r="I1779">
        <v>397.18830143000002</v>
      </c>
      <c r="J1779">
        <v>41.684273140000002</v>
      </c>
      <c r="K1779">
        <v>187.62778738999998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T1779" t="str">
        <f t="shared" si="96"/>
        <v>040002202504</v>
      </c>
      <c r="U1779">
        <f t="shared" si="97"/>
        <v>475.53352393000006</v>
      </c>
    </row>
    <row r="1780" spans="1:21" x14ac:dyDescent="0.35">
      <c r="A1780">
        <v>2025</v>
      </c>
      <c r="B1780" s="7" t="s">
        <v>92</v>
      </c>
      <c r="C1780" s="7" t="s">
        <v>129</v>
      </c>
      <c r="D1780">
        <v>202504</v>
      </c>
      <c r="E1780" s="3" t="s">
        <v>20</v>
      </c>
      <c r="F1780">
        <v>295.51575100000002</v>
      </c>
      <c r="G1780">
        <v>294.17557499999998</v>
      </c>
      <c r="H1780">
        <v>1.1451549999999999</v>
      </c>
      <c r="I1780">
        <v>2411.004273</v>
      </c>
      <c r="J1780">
        <v>166.48360099999999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T1780" t="str">
        <f t="shared" si="96"/>
        <v>040012202504</v>
      </c>
      <c r="U1780">
        <f t="shared" si="97"/>
        <v>2873.0036249999998</v>
      </c>
    </row>
    <row r="1781" spans="1:21" x14ac:dyDescent="0.35">
      <c r="A1781">
        <v>2025</v>
      </c>
      <c r="B1781" s="7" t="s">
        <v>92</v>
      </c>
      <c r="C1781" s="7" t="s">
        <v>129</v>
      </c>
      <c r="D1781">
        <v>202504</v>
      </c>
      <c r="E1781" s="3" t="s">
        <v>21</v>
      </c>
      <c r="F1781">
        <v>514.98058500000002</v>
      </c>
      <c r="G1781">
        <v>489.32339400000001</v>
      </c>
      <c r="H1781">
        <v>25.657191000000001</v>
      </c>
      <c r="I1781">
        <v>1689.710517</v>
      </c>
      <c r="J1781">
        <v>114.507682</v>
      </c>
      <c r="K1781">
        <v>0</v>
      </c>
      <c r="L1781">
        <v>14.439177000000001</v>
      </c>
      <c r="M1781">
        <v>14.439177000000001</v>
      </c>
      <c r="N1781">
        <v>0</v>
      </c>
      <c r="O1781">
        <v>0</v>
      </c>
      <c r="P1781">
        <v>26.994485999999998</v>
      </c>
      <c r="Q1781">
        <v>19.838591999999998</v>
      </c>
      <c r="R1781">
        <v>0</v>
      </c>
      <c r="T1781" t="str">
        <f t="shared" si="96"/>
        <v>040014202504</v>
      </c>
      <c r="U1781">
        <f t="shared" si="97"/>
        <v>2319.1987839999997</v>
      </c>
    </row>
    <row r="1782" spans="1:21" x14ac:dyDescent="0.35">
      <c r="A1782">
        <v>2025</v>
      </c>
      <c r="B1782" s="7" t="s">
        <v>92</v>
      </c>
      <c r="C1782" s="7" t="s">
        <v>129</v>
      </c>
      <c r="D1782">
        <v>202504</v>
      </c>
      <c r="E1782" s="3" t="s">
        <v>22</v>
      </c>
      <c r="F1782">
        <v>79.531530000000004</v>
      </c>
      <c r="G1782">
        <v>79.531530000000004</v>
      </c>
      <c r="H1782">
        <v>0</v>
      </c>
      <c r="I1782">
        <v>978.64556000000005</v>
      </c>
      <c r="J1782">
        <v>23.060995999999999</v>
      </c>
      <c r="K1782">
        <v>0</v>
      </c>
      <c r="L1782">
        <v>374.70112699999999</v>
      </c>
      <c r="M1782">
        <v>374.70110899999997</v>
      </c>
      <c r="N1782">
        <v>0</v>
      </c>
      <c r="O1782">
        <v>1.8E-5</v>
      </c>
      <c r="P1782">
        <v>47.074452999999998</v>
      </c>
      <c r="Q1782">
        <v>15.763311</v>
      </c>
      <c r="R1782">
        <v>0</v>
      </c>
      <c r="T1782" t="str">
        <f t="shared" si="96"/>
        <v>040021202504</v>
      </c>
      <c r="U1782">
        <f t="shared" si="97"/>
        <v>1081.2380860000001</v>
      </c>
    </row>
    <row r="1783" spans="1:21" x14ac:dyDescent="0.35">
      <c r="A1783">
        <v>2025</v>
      </c>
      <c r="B1783" s="7" t="s">
        <v>92</v>
      </c>
      <c r="C1783" s="7" t="s">
        <v>129</v>
      </c>
      <c r="D1783">
        <v>202504</v>
      </c>
      <c r="E1783" s="3" t="s">
        <v>23</v>
      </c>
      <c r="F1783">
        <v>27.347296710000002</v>
      </c>
      <c r="G1783">
        <v>27.347296710000002</v>
      </c>
      <c r="H1783">
        <v>0</v>
      </c>
      <c r="I1783">
        <v>71.758264749999995</v>
      </c>
      <c r="J1783">
        <v>4.9091575599999997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0.33999248999999998</v>
      </c>
      <c r="R1783">
        <v>0</v>
      </c>
      <c r="T1783" t="str">
        <f t="shared" si="96"/>
        <v>040030202504</v>
      </c>
      <c r="U1783">
        <f t="shared" si="97"/>
        <v>104.01471901999999</v>
      </c>
    </row>
    <row r="1784" spans="1:21" x14ac:dyDescent="0.35">
      <c r="A1784">
        <v>2025</v>
      </c>
      <c r="B1784" s="7" t="s">
        <v>92</v>
      </c>
      <c r="C1784" s="7" t="s">
        <v>129</v>
      </c>
      <c r="D1784">
        <v>202504</v>
      </c>
      <c r="E1784" s="3" t="s">
        <v>24</v>
      </c>
      <c r="F1784">
        <v>0</v>
      </c>
      <c r="G1784">
        <v>0</v>
      </c>
      <c r="H1784">
        <v>0</v>
      </c>
      <c r="I1784">
        <v>12.715451</v>
      </c>
      <c r="J1784">
        <v>6.4999999999999997E-3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T1784" t="str">
        <f t="shared" si="96"/>
        <v>040036202504</v>
      </c>
      <c r="U1784">
        <f t="shared" si="97"/>
        <v>12.721951000000001</v>
      </c>
    </row>
    <row r="1785" spans="1:21" x14ac:dyDescent="0.35">
      <c r="A1785">
        <v>2025</v>
      </c>
      <c r="B1785" s="7" t="s">
        <v>92</v>
      </c>
      <c r="C1785" s="7" t="s">
        <v>129</v>
      </c>
      <c r="D1785">
        <v>202504</v>
      </c>
      <c r="E1785" s="3" t="s">
        <v>25</v>
      </c>
      <c r="F1785">
        <v>0</v>
      </c>
      <c r="G1785">
        <v>0</v>
      </c>
      <c r="H1785">
        <v>0</v>
      </c>
      <c r="I1785">
        <v>19.966663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T1785" t="str">
        <f t="shared" si="96"/>
        <v>040042202504</v>
      </c>
      <c r="U1785">
        <f t="shared" si="97"/>
        <v>19.966663</v>
      </c>
    </row>
    <row r="1786" spans="1:21" x14ac:dyDescent="0.35">
      <c r="A1786">
        <v>2025</v>
      </c>
      <c r="B1786" s="7" t="s">
        <v>92</v>
      </c>
      <c r="C1786" s="7" t="s">
        <v>129</v>
      </c>
      <c r="D1786">
        <v>202504</v>
      </c>
      <c r="E1786" s="3" t="s">
        <v>26</v>
      </c>
      <c r="F1786">
        <v>5.3453410000000003</v>
      </c>
      <c r="G1786">
        <v>5.3453410000000003</v>
      </c>
      <c r="H1786">
        <v>0</v>
      </c>
      <c r="I1786">
        <v>254.243368</v>
      </c>
      <c r="J1786">
        <v>15.653416999999999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30.019068000000001</v>
      </c>
      <c r="Q1786">
        <v>23.839389000000001</v>
      </c>
      <c r="R1786">
        <v>0</v>
      </c>
      <c r="T1786" t="str">
        <f t="shared" si="96"/>
        <v>040044202504</v>
      </c>
      <c r="U1786">
        <f t="shared" si="97"/>
        <v>275.24212599999998</v>
      </c>
    </row>
    <row r="1787" spans="1:21" x14ac:dyDescent="0.35">
      <c r="A1787">
        <v>2025</v>
      </c>
      <c r="B1787" s="7" t="s">
        <v>92</v>
      </c>
      <c r="C1787" s="7" t="s">
        <v>129</v>
      </c>
      <c r="D1787">
        <v>202504</v>
      </c>
      <c r="E1787" s="3" t="s">
        <v>27</v>
      </c>
      <c r="F1787">
        <v>22.157071850000001</v>
      </c>
      <c r="G1787">
        <v>22.157071850000001</v>
      </c>
      <c r="H1787">
        <v>0</v>
      </c>
      <c r="I1787">
        <v>49.780474599999998</v>
      </c>
      <c r="J1787">
        <v>0.17385528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T1787" t="str">
        <f t="shared" si="96"/>
        <v>040058202504</v>
      </c>
      <c r="U1787">
        <f t="shared" si="97"/>
        <v>72.111401729999997</v>
      </c>
    </row>
    <row r="1788" spans="1:21" x14ac:dyDescent="0.35">
      <c r="A1788">
        <v>2025</v>
      </c>
      <c r="B1788" s="7" t="s">
        <v>92</v>
      </c>
      <c r="C1788" s="7" t="s">
        <v>129</v>
      </c>
      <c r="D1788">
        <v>202504</v>
      </c>
      <c r="E1788" s="3" t="s">
        <v>28</v>
      </c>
      <c r="F1788">
        <v>106.259276</v>
      </c>
      <c r="G1788">
        <v>106.259276</v>
      </c>
      <c r="H1788">
        <v>0</v>
      </c>
      <c r="I1788">
        <v>309.97352899999998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T1788" t="str">
        <f t="shared" si="96"/>
        <v>040059202504</v>
      </c>
      <c r="U1788">
        <f t="shared" si="97"/>
        <v>416.23280499999998</v>
      </c>
    </row>
    <row r="1789" spans="1:21" x14ac:dyDescent="0.35">
      <c r="A1789">
        <v>2025</v>
      </c>
      <c r="B1789" s="7" t="s">
        <v>92</v>
      </c>
      <c r="C1789" s="7" t="s">
        <v>129</v>
      </c>
      <c r="D1789">
        <v>202504</v>
      </c>
      <c r="E1789" s="3" t="s">
        <v>62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T1789" t="str">
        <f t="shared" si="96"/>
        <v>040060202504</v>
      </c>
      <c r="U1789">
        <f t="shared" si="97"/>
        <v>0</v>
      </c>
    </row>
    <row r="1790" spans="1:21" x14ac:dyDescent="0.35">
      <c r="A1790">
        <v>2025</v>
      </c>
      <c r="B1790" s="7" t="s">
        <v>92</v>
      </c>
      <c r="C1790" s="7" t="s">
        <v>129</v>
      </c>
      <c r="D1790">
        <v>202504</v>
      </c>
      <c r="E1790" s="3" t="s">
        <v>29</v>
      </c>
      <c r="F1790">
        <v>3.7882169999999999</v>
      </c>
      <c r="G1790">
        <v>3.7882169999999999</v>
      </c>
      <c r="H1790">
        <v>0</v>
      </c>
      <c r="I1790">
        <v>104.171581</v>
      </c>
      <c r="J1790">
        <v>2.0702000000000002E-2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T1790" t="str">
        <f t="shared" si="96"/>
        <v>040062202504</v>
      </c>
      <c r="U1790">
        <f t="shared" si="97"/>
        <v>107.98050000000001</v>
      </c>
    </row>
    <row r="1791" spans="1:21" x14ac:dyDescent="0.35">
      <c r="A1791">
        <v>2025</v>
      </c>
      <c r="B1791" s="7" t="s">
        <v>92</v>
      </c>
      <c r="C1791" s="7" t="s">
        <v>129</v>
      </c>
      <c r="D1791">
        <v>202504</v>
      </c>
      <c r="E1791" s="3" t="s">
        <v>30</v>
      </c>
      <c r="F1791">
        <v>91.178079189999991</v>
      </c>
      <c r="G1791">
        <v>91.178079189999991</v>
      </c>
      <c r="H1791">
        <v>0</v>
      </c>
      <c r="I1791">
        <v>1381.84428437</v>
      </c>
      <c r="J1791">
        <v>136.08202498</v>
      </c>
      <c r="K1791">
        <v>0</v>
      </c>
      <c r="L1791">
        <v>7.4412982899999998</v>
      </c>
      <c r="M1791">
        <v>7.4412982899999998</v>
      </c>
      <c r="N1791">
        <v>0</v>
      </c>
      <c r="O1791">
        <v>0</v>
      </c>
      <c r="P1791">
        <v>88.306900580000004</v>
      </c>
      <c r="Q1791">
        <v>13.797651220000001</v>
      </c>
      <c r="R1791">
        <v>0</v>
      </c>
      <c r="T1791" t="str">
        <f t="shared" si="96"/>
        <v>040072202504</v>
      </c>
      <c r="U1791">
        <f t="shared" si="97"/>
        <v>1609.1043885399999</v>
      </c>
    </row>
    <row r="1792" spans="1:21" x14ac:dyDescent="0.35">
      <c r="A1792">
        <v>2025</v>
      </c>
      <c r="B1792" s="7" t="s">
        <v>92</v>
      </c>
      <c r="C1792" s="7" t="s">
        <v>129</v>
      </c>
      <c r="D1792">
        <v>202504</v>
      </c>
      <c r="E1792" s="3" t="s">
        <v>31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T1792" t="str">
        <f t="shared" si="96"/>
        <v>040106202504</v>
      </c>
      <c r="U1792">
        <f t="shared" si="97"/>
        <v>0</v>
      </c>
    </row>
    <row r="1793" spans="1:21" x14ac:dyDescent="0.35">
      <c r="A1793">
        <v>2025</v>
      </c>
      <c r="B1793" s="7" t="s">
        <v>92</v>
      </c>
      <c r="C1793" s="7" t="s">
        <v>129</v>
      </c>
      <c r="D1793">
        <v>202504</v>
      </c>
      <c r="E1793" s="3" t="s">
        <v>32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T1793" t="str">
        <f t="shared" si="96"/>
        <v>040108202504</v>
      </c>
      <c r="U1793">
        <f t="shared" si="97"/>
        <v>0</v>
      </c>
    </row>
    <row r="1794" spans="1:21" x14ac:dyDescent="0.35">
      <c r="A1794">
        <v>2025</v>
      </c>
      <c r="B1794" s="7" t="s">
        <v>92</v>
      </c>
      <c r="C1794" s="7" t="s">
        <v>129</v>
      </c>
      <c r="D1794">
        <v>202504</v>
      </c>
      <c r="E1794" s="3" t="s">
        <v>33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T1794" t="str">
        <f t="shared" si="96"/>
        <v>040110202504</v>
      </c>
      <c r="U1794">
        <f t="shared" si="97"/>
        <v>0</v>
      </c>
    </row>
    <row r="1795" spans="1:21" x14ac:dyDescent="0.35">
      <c r="A1795">
        <v>2025</v>
      </c>
      <c r="B1795" s="7" t="s">
        <v>92</v>
      </c>
      <c r="C1795" s="7" t="s">
        <v>129</v>
      </c>
      <c r="D1795">
        <v>202504</v>
      </c>
      <c r="E1795" s="3" t="s">
        <v>34</v>
      </c>
      <c r="F1795">
        <v>0.60282795</v>
      </c>
      <c r="G1795">
        <v>0.60282795</v>
      </c>
      <c r="H1795">
        <v>0</v>
      </c>
      <c r="I1795">
        <v>0</v>
      </c>
      <c r="J1795">
        <v>5.4150100000000005E-3</v>
      </c>
      <c r="K1795">
        <v>0</v>
      </c>
      <c r="L1795">
        <v>0.95638401000000006</v>
      </c>
      <c r="M1795">
        <v>0.95638401000000006</v>
      </c>
      <c r="N1795">
        <v>0</v>
      </c>
      <c r="O1795">
        <v>0</v>
      </c>
      <c r="P1795">
        <v>0</v>
      </c>
      <c r="Q1795">
        <v>0</v>
      </c>
      <c r="R1795">
        <v>0</v>
      </c>
      <c r="T1795" t="str">
        <f t="shared" si="96"/>
        <v>040112202504</v>
      </c>
      <c r="U1795">
        <f t="shared" si="97"/>
        <v>0.60824296</v>
      </c>
    </row>
    <row r="1796" spans="1:21" x14ac:dyDescent="0.35">
      <c r="A1796">
        <v>2025</v>
      </c>
      <c r="B1796" s="7" t="s">
        <v>92</v>
      </c>
      <c r="C1796" s="7" t="s">
        <v>129</v>
      </c>
      <c r="D1796">
        <v>202504</v>
      </c>
      <c r="E1796" s="3" t="s">
        <v>35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T1796" t="str">
        <f t="shared" si="96"/>
        <v>040113202504</v>
      </c>
      <c r="U1796">
        <f t="shared" si="97"/>
        <v>0</v>
      </c>
    </row>
    <row r="1797" spans="1:21" x14ac:dyDescent="0.35">
      <c r="A1797">
        <v>2025</v>
      </c>
      <c r="B1797" s="7" t="s">
        <v>92</v>
      </c>
      <c r="C1797" s="7" t="s">
        <v>129</v>
      </c>
      <c r="D1797">
        <v>202504</v>
      </c>
      <c r="E1797" s="3" t="s">
        <v>37</v>
      </c>
      <c r="F1797">
        <v>0</v>
      </c>
      <c r="G1797">
        <v>0</v>
      </c>
      <c r="H1797">
        <v>0</v>
      </c>
      <c r="I1797">
        <v>1130.29109722</v>
      </c>
      <c r="J1797">
        <v>2.77013E-3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T1797" t="str">
        <f t="shared" si="96"/>
        <v>040127202504</v>
      </c>
      <c r="U1797">
        <f t="shared" si="97"/>
        <v>1130.29386735</v>
      </c>
    </row>
    <row r="1798" spans="1:21" x14ac:dyDescent="0.35">
      <c r="A1798">
        <v>2025</v>
      </c>
      <c r="B1798" s="7" t="s">
        <v>92</v>
      </c>
      <c r="C1798" s="7" t="s">
        <v>129</v>
      </c>
      <c r="D1798">
        <v>202504</v>
      </c>
      <c r="E1798" s="3" t="s">
        <v>38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T1798" t="str">
        <f t="shared" si="96"/>
        <v>040128202504</v>
      </c>
      <c r="U1798">
        <f t="shared" si="97"/>
        <v>0</v>
      </c>
    </row>
    <row r="1799" spans="1:21" x14ac:dyDescent="0.35">
      <c r="A1799">
        <v>2025</v>
      </c>
      <c r="B1799" s="7" t="s">
        <v>92</v>
      </c>
      <c r="C1799" s="7" t="s">
        <v>129</v>
      </c>
      <c r="D1799">
        <v>202504</v>
      </c>
      <c r="E1799" s="3" t="s">
        <v>39</v>
      </c>
      <c r="F1799">
        <v>0</v>
      </c>
      <c r="G1799">
        <v>0</v>
      </c>
      <c r="H1799">
        <v>0</v>
      </c>
      <c r="I1799">
        <v>627.86686799999995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12.933937999999999</v>
      </c>
      <c r="Q1799">
        <v>0</v>
      </c>
      <c r="R1799">
        <v>0</v>
      </c>
      <c r="T1799" t="str">
        <f t="shared" si="96"/>
        <v>040130202504</v>
      </c>
      <c r="U1799">
        <f t="shared" si="97"/>
        <v>627.86686799999995</v>
      </c>
    </row>
    <row r="1800" spans="1:21" x14ac:dyDescent="0.35">
      <c r="A1800">
        <v>2025</v>
      </c>
      <c r="B1800" s="7" t="s">
        <v>92</v>
      </c>
      <c r="C1800" s="7" t="s">
        <v>129</v>
      </c>
      <c r="D1800">
        <v>202504</v>
      </c>
      <c r="E1800" s="3" t="s">
        <v>40</v>
      </c>
      <c r="F1800">
        <v>6.0140000000000002E-3</v>
      </c>
      <c r="G1800">
        <v>6.0140000000000002E-3</v>
      </c>
      <c r="H1800">
        <v>0</v>
      </c>
      <c r="I1800">
        <v>3.0000000000000001E-6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T1800" t="str">
        <f t="shared" si="96"/>
        <v>040132202504</v>
      </c>
      <c r="U1800">
        <f t="shared" si="97"/>
        <v>6.0170000000000006E-3</v>
      </c>
    </row>
    <row r="1801" spans="1:21" x14ac:dyDescent="0.35">
      <c r="A1801">
        <v>2025</v>
      </c>
      <c r="B1801" s="7" t="s">
        <v>92</v>
      </c>
      <c r="C1801" s="7" t="s">
        <v>129</v>
      </c>
      <c r="D1801">
        <v>202504</v>
      </c>
      <c r="E1801" s="3" t="s">
        <v>41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T1801" t="str">
        <f t="shared" si="96"/>
        <v>040133202504</v>
      </c>
      <c r="U1801">
        <f t="shared" si="97"/>
        <v>0</v>
      </c>
    </row>
    <row r="1802" spans="1:21" x14ac:dyDescent="0.35">
      <c r="A1802">
        <v>2025</v>
      </c>
      <c r="B1802" s="7" t="s">
        <v>92</v>
      </c>
      <c r="C1802" s="7" t="s">
        <v>129</v>
      </c>
      <c r="D1802">
        <v>202504</v>
      </c>
      <c r="E1802" s="3" t="s">
        <v>42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T1802" t="str">
        <f t="shared" si="96"/>
        <v>040136202504</v>
      </c>
      <c r="U1802">
        <f t="shared" si="97"/>
        <v>0</v>
      </c>
    </row>
    <row r="1803" spans="1:21" x14ac:dyDescent="0.35">
      <c r="A1803">
        <v>2025</v>
      </c>
      <c r="B1803" s="7" t="s">
        <v>92</v>
      </c>
      <c r="C1803" s="7" t="s">
        <v>129</v>
      </c>
      <c r="D1803">
        <v>202504</v>
      </c>
      <c r="E1803" s="3" t="s">
        <v>43</v>
      </c>
      <c r="F1803">
        <v>0</v>
      </c>
      <c r="G1803">
        <v>0</v>
      </c>
      <c r="H1803">
        <v>0</v>
      </c>
      <c r="I1803">
        <v>13.40934047</v>
      </c>
      <c r="J1803">
        <v>1.11969359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T1803" t="str">
        <f t="shared" si="96"/>
        <v>040137202504</v>
      </c>
      <c r="U1803">
        <f t="shared" si="97"/>
        <v>14.529034060000001</v>
      </c>
    </row>
    <row r="1804" spans="1:21" x14ac:dyDescent="0.35">
      <c r="A1804">
        <v>2025</v>
      </c>
      <c r="B1804" s="7" t="s">
        <v>92</v>
      </c>
      <c r="C1804" s="7" t="s">
        <v>129</v>
      </c>
      <c r="D1804">
        <v>202504</v>
      </c>
      <c r="E1804" s="3" t="s">
        <v>44</v>
      </c>
      <c r="F1804">
        <v>0</v>
      </c>
      <c r="G1804">
        <v>0</v>
      </c>
      <c r="H1804">
        <v>0</v>
      </c>
      <c r="I1804">
        <v>15.064519789999999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T1804" t="str">
        <f t="shared" si="96"/>
        <v>040138202504</v>
      </c>
      <c r="U1804">
        <f t="shared" si="97"/>
        <v>15.064519789999999</v>
      </c>
    </row>
    <row r="1805" spans="1:21" x14ac:dyDescent="0.35">
      <c r="A1805">
        <v>2025</v>
      </c>
      <c r="B1805" s="7" t="s">
        <v>92</v>
      </c>
      <c r="C1805" s="7" t="s">
        <v>129</v>
      </c>
      <c r="D1805">
        <v>202504</v>
      </c>
      <c r="E1805" s="3" t="s">
        <v>45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T1805" t="str">
        <f t="shared" si="96"/>
        <v>040139202504</v>
      </c>
      <c r="U1805">
        <f t="shared" si="97"/>
        <v>0</v>
      </c>
    </row>
    <row r="1806" spans="1:21" x14ac:dyDescent="0.35">
      <c r="A1806">
        <v>2025</v>
      </c>
      <c r="B1806" s="7" t="s">
        <v>92</v>
      </c>
      <c r="C1806" s="7" t="s">
        <v>129</v>
      </c>
      <c r="D1806">
        <v>202504</v>
      </c>
      <c r="E1806" s="3" t="s">
        <v>46</v>
      </c>
      <c r="F1806">
        <v>0</v>
      </c>
      <c r="G1806">
        <v>0</v>
      </c>
      <c r="H1806">
        <v>0</v>
      </c>
      <c r="I1806">
        <v>25.159312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T1806" t="str">
        <f t="shared" si="96"/>
        <v>040140202504</v>
      </c>
      <c r="U1806">
        <f t="shared" si="97"/>
        <v>25.159312</v>
      </c>
    </row>
    <row r="1807" spans="1:21" x14ac:dyDescent="0.35">
      <c r="A1807">
        <v>2025</v>
      </c>
      <c r="B1807" s="7" t="s">
        <v>92</v>
      </c>
      <c r="C1807" s="7" t="s">
        <v>129</v>
      </c>
      <c r="D1807">
        <v>202504</v>
      </c>
      <c r="E1807" s="3" t="s">
        <v>47</v>
      </c>
      <c r="F1807">
        <v>0</v>
      </c>
      <c r="G1807">
        <v>0</v>
      </c>
      <c r="H1807">
        <v>0</v>
      </c>
      <c r="I1807">
        <v>0.41771799999999998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T1807" t="str">
        <f t="shared" si="96"/>
        <v>040141202504</v>
      </c>
      <c r="U1807">
        <f t="shared" si="97"/>
        <v>0.41771799999999998</v>
      </c>
    </row>
    <row r="1808" spans="1:21" x14ac:dyDescent="0.35">
      <c r="A1808">
        <v>2025</v>
      </c>
      <c r="B1808" s="7" t="s">
        <v>92</v>
      </c>
      <c r="C1808" s="7" t="s">
        <v>129</v>
      </c>
      <c r="D1808">
        <v>202504</v>
      </c>
      <c r="E1808" s="3" t="s">
        <v>48</v>
      </c>
      <c r="F1808">
        <v>3.3464030400000002</v>
      </c>
      <c r="G1808">
        <v>1.5683621399999998</v>
      </c>
      <c r="H1808">
        <v>1.7780408999999999</v>
      </c>
      <c r="I1808">
        <v>3.3456345299999999</v>
      </c>
      <c r="J1808">
        <v>9.9314619999999992E-2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5.9276264599999999</v>
      </c>
      <c r="Q1808">
        <v>0.30932838000000001</v>
      </c>
      <c r="R1808">
        <v>0</v>
      </c>
      <c r="T1808" t="str">
        <f t="shared" si="96"/>
        <v>040143202504</v>
      </c>
      <c r="U1808">
        <f t="shared" si="97"/>
        <v>6.7913521900000005</v>
      </c>
    </row>
    <row r="1809" spans="1:21" x14ac:dyDescent="0.35">
      <c r="A1809">
        <v>2025</v>
      </c>
      <c r="B1809" s="7" t="s">
        <v>92</v>
      </c>
      <c r="C1809" s="7" t="s">
        <v>129</v>
      </c>
      <c r="D1809">
        <v>202504</v>
      </c>
      <c r="E1809" s="3" t="s">
        <v>49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T1809" t="str">
        <f t="shared" si="96"/>
        <v>040145202504</v>
      </c>
      <c r="U1809">
        <f t="shared" si="97"/>
        <v>0</v>
      </c>
    </row>
    <row r="1810" spans="1:21" x14ac:dyDescent="0.35">
      <c r="A1810">
        <v>2025</v>
      </c>
      <c r="B1810" s="7" t="s">
        <v>92</v>
      </c>
      <c r="C1810" s="7" t="s">
        <v>129</v>
      </c>
      <c r="D1810">
        <v>202504</v>
      </c>
      <c r="E1810" s="3" t="s">
        <v>50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T1810" t="str">
        <f t="shared" si="96"/>
        <v>040147202504</v>
      </c>
      <c r="U1810">
        <f t="shared" si="97"/>
        <v>0</v>
      </c>
    </row>
    <row r="1811" spans="1:21" x14ac:dyDescent="0.35">
      <c r="A1811">
        <v>2025</v>
      </c>
      <c r="B1811" s="7" t="s">
        <v>92</v>
      </c>
      <c r="C1811" s="7" t="s">
        <v>129</v>
      </c>
      <c r="D1811">
        <v>202504</v>
      </c>
      <c r="E1811" s="3" t="s">
        <v>51</v>
      </c>
      <c r="F1811">
        <v>0</v>
      </c>
      <c r="G1811">
        <v>0</v>
      </c>
      <c r="H1811">
        <v>0</v>
      </c>
      <c r="I1811">
        <v>7.0502570000000002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1.34E-3</v>
      </c>
      <c r="Q1811">
        <v>0</v>
      </c>
      <c r="R1811">
        <v>0</v>
      </c>
      <c r="T1811" t="str">
        <f t="shared" si="96"/>
        <v>040149202504</v>
      </c>
      <c r="U1811">
        <f t="shared" si="97"/>
        <v>7.0502570000000002</v>
      </c>
    </row>
    <row r="1812" spans="1:21" x14ac:dyDescent="0.35">
      <c r="A1812">
        <v>2025</v>
      </c>
      <c r="B1812" s="7" t="s">
        <v>92</v>
      </c>
      <c r="C1812" s="7" t="s">
        <v>129</v>
      </c>
      <c r="D1812">
        <v>202504</v>
      </c>
      <c r="E1812" s="3" t="s">
        <v>52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T1812" t="str">
        <f t="shared" si="96"/>
        <v>040150202504</v>
      </c>
      <c r="U1812">
        <f t="shared" si="97"/>
        <v>0</v>
      </c>
    </row>
    <row r="1813" spans="1:21" x14ac:dyDescent="0.35">
      <c r="A1813">
        <v>2025</v>
      </c>
      <c r="B1813" s="7" t="s">
        <v>92</v>
      </c>
      <c r="C1813" s="7" t="s">
        <v>129</v>
      </c>
      <c r="D1813">
        <v>202504</v>
      </c>
      <c r="E1813" s="3" t="s">
        <v>53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T1813" t="str">
        <f t="shared" si="96"/>
        <v>040151202504</v>
      </c>
      <c r="U1813">
        <f t="shared" si="97"/>
        <v>0</v>
      </c>
    </row>
    <row r="1814" spans="1:21" x14ac:dyDescent="0.35">
      <c r="A1814">
        <v>2025</v>
      </c>
      <c r="B1814" s="7" t="s">
        <v>92</v>
      </c>
      <c r="C1814" s="7" t="s">
        <v>129</v>
      </c>
      <c r="D1814">
        <v>202504</v>
      </c>
      <c r="E1814" s="3" t="s">
        <v>54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T1814" t="str">
        <f t="shared" si="96"/>
        <v>040152202504</v>
      </c>
      <c r="U1814">
        <f t="shared" si="97"/>
        <v>0</v>
      </c>
    </row>
    <row r="1815" spans="1:21" x14ac:dyDescent="0.35">
      <c r="A1815">
        <v>2025</v>
      </c>
      <c r="B1815" s="7" t="s">
        <v>92</v>
      </c>
      <c r="C1815" s="7" t="s">
        <v>129</v>
      </c>
      <c r="D1815">
        <v>202504</v>
      </c>
      <c r="E1815" s="3" t="s">
        <v>55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2.435387E-2</v>
      </c>
      <c r="M1815">
        <v>2.435387E-2</v>
      </c>
      <c r="N1815">
        <v>0</v>
      </c>
      <c r="O1815">
        <v>0</v>
      </c>
      <c r="P1815">
        <v>0</v>
      </c>
      <c r="Q1815">
        <v>0</v>
      </c>
      <c r="R1815">
        <v>0</v>
      </c>
      <c r="T1815" t="str">
        <f t="shared" si="96"/>
        <v>040154202504</v>
      </c>
      <c r="U1815">
        <f t="shared" si="97"/>
        <v>0</v>
      </c>
    </row>
    <row r="1816" spans="1:21" x14ac:dyDescent="0.35">
      <c r="A1816">
        <v>2025</v>
      </c>
      <c r="B1816" s="7" t="s">
        <v>92</v>
      </c>
      <c r="C1816" s="7" t="s">
        <v>129</v>
      </c>
      <c r="D1816">
        <v>202504</v>
      </c>
      <c r="E1816" s="3" t="s">
        <v>56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T1816" t="str">
        <f t="shared" si="96"/>
        <v>040155202504</v>
      </c>
      <c r="U1816">
        <f t="shared" si="97"/>
        <v>0</v>
      </c>
    </row>
    <row r="1817" spans="1:21" x14ac:dyDescent="0.35">
      <c r="A1817">
        <v>2025</v>
      </c>
      <c r="B1817" s="7" t="s">
        <v>92</v>
      </c>
      <c r="C1817" s="7" t="s">
        <v>129</v>
      </c>
      <c r="D1817">
        <v>202504</v>
      </c>
      <c r="E1817" s="3" t="s">
        <v>57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T1817" t="str">
        <f t="shared" si="96"/>
        <v>040156202504</v>
      </c>
      <c r="U1817">
        <f t="shared" si="97"/>
        <v>0</v>
      </c>
    </row>
    <row r="1818" spans="1:21" x14ac:dyDescent="0.35">
      <c r="A1818">
        <v>2025</v>
      </c>
      <c r="B1818" s="7" t="s">
        <v>92</v>
      </c>
      <c r="C1818" s="7" t="s">
        <v>129</v>
      </c>
      <c r="D1818">
        <v>202504</v>
      </c>
      <c r="E1818" s="3" t="s">
        <v>58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T1818" t="str">
        <f t="shared" si="96"/>
        <v>040157202504</v>
      </c>
      <c r="U1818">
        <f t="shared" si="97"/>
        <v>0</v>
      </c>
    </row>
    <row r="1819" spans="1:21" x14ac:dyDescent="0.35">
      <c r="A1819">
        <v>2025</v>
      </c>
      <c r="B1819" s="7" t="s">
        <v>92</v>
      </c>
      <c r="C1819" s="7" t="s">
        <v>129</v>
      </c>
      <c r="D1819">
        <v>202504</v>
      </c>
      <c r="E1819" s="3" t="s">
        <v>59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T1819" t="str">
        <f t="shared" si="96"/>
        <v>040158202504</v>
      </c>
      <c r="U1819">
        <f t="shared" si="97"/>
        <v>0</v>
      </c>
    </row>
    <row r="1820" spans="1:21" x14ac:dyDescent="0.35">
      <c r="A1820">
        <v>2025</v>
      </c>
      <c r="B1820" s="7" t="s">
        <v>92</v>
      </c>
      <c r="C1820" s="7" t="s">
        <v>129</v>
      </c>
      <c r="D1820">
        <v>202504</v>
      </c>
      <c r="E1820" s="3" t="s">
        <v>60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T1820" t="str">
        <f t="shared" si="96"/>
        <v>040159202504</v>
      </c>
      <c r="U1820">
        <f t="shared" si="97"/>
        <v>0</v>
      </c>
    </row>
    <row r="1821" spans="1:21" x14ac:dyDescent="0.35">
      <c r="A1821">
        <v>2025</v>
      </c>
      <c r="B1821" s="7" t="s">
        <v>92</v>
      </c>
      <c r="C1821" s="7" t="s">
        <v>129</v>
      </c>
      <c r="D1821">
        <v>202504</v>
      </c>
      <c r="E1821" s="3" t="s">
        <v>63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T1821" t="str">
        <f t="shared" si="96"/>
        <v>040160202504</v>
      </c>
      <c r="U1821">
        <f t="shared" si="97"/>
        <v>0</v>
      </c>
    </row>
    <row r="1822" spans="1:21" x14ac:dyDescent="0.35">
      <c r="A1822">
        <v>2025</v>
      </c>
      <c r="B1822" s="7" t="s">
        <v>92</v>
      </c>
      <c r="C1822" s="7" t="s">
        <v>129</v>
      </c>
      <c r="D1822">
        <v>202504</v>
      </c>
      <c r="E1822" s="3" t="s">
        <v>61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T1822" t="str">
        <f t="shared" si="96"/>
        <v>040162202504</v>
      </c>
      <c r="U1822">
        <f t="shared" si="97"/>
        <v>0</v>
      </c>
    </row>
    <row r="1823" spans="1:21" x14ac:dyDescent="0.35">
      <c r="A1823">
        <v>2025</v>
      </c>
      <c r="B1823" s="7" t="s">
        <v>92</v>
      </c>
      <c r="C1823" s="7" t="s">
        <v>129</v>
      </c>
      <c r="D1823">
        <v>202504</v>
      </c>
      <c r="E1823" s="3" t="s">
        <v>114</v>
      </c>
      <c r="F1823">
        <v>0</v>
      </c>
      <c r="G1823">
        <v>0</v>
      </c>
      <c r="H1823">
        <v>0</v>
      </c>
      <c r="I1823">
        <v>3.82760962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6.2167779999999999E-2</v>
      </c>
      <c r="Q1823">
        <v>0</v>
      </c>
      <c r="R1823">
        <v>0</v>
      </c>
      <c r="T1823" t="str">
        <f t="shared" si="96"/>
        <v>040165202504</v>
      </c>
      <c r="U1823">
        <f t="shared" si="97"/>
        <v>3.82760962</v>
      </c>
    </row>
    <row r="1824" spans="1:21" x14ac:dyDescent="0.35">
      <c r="A1824">
        <v>2025</v>
      </c>
      <c r="B1824" s="7" t="s">
        <v>94</v>
      </c>
      <c r="C1824" s="7" t="s">
        <v>130</v>
      </c>
      <c r="D1824">
        <v>202505</v>
      </c>
      <c r="E1824" s="3">
        <v>5</v>
      </c>
      <c r="F1824">
        <v>1358.4923508699999</v>
      </c>
      <c r="G1824">
        <v>1352.09876502</v>
      </c>
      <c r="H1824">
        <v>5.3439838499999999</v>
      </c>
      <c r="I1824">
        <v>11096.113896370001</v>
      </c>
      <c r="J1824">
        <v>462.83687405000001</v>
      </c>
      <c r="K1824">
        <v>54.414056719999998</v>
      </c>
      <c r="L1824">
        <v>244.30652003999998</v>
      </c>
      <c r="M1824">
        <v>244.30649203999999</v>
      </c>
      <c r="N1824">
        <v>0</v>
      </c>
      <c r="O1824">
        <v>2.8E-5</v>
      </c>
      <c r="P1824">
        <v>212.52843812</v>
      </c>
      <c r="Q1824">
        <v>80.930733419999996</v>
      </c>
      <c r="R1824">
        <v>0</v>
      </c>
      <c r="T1824" t="str">
        <f t="shared" si="96"/>
        <v>5202505</v>
      </c>
      <c r="U1824">
        <f t="shared" si="97"/>
        <v>12917.443121290002</v>
      </c>
    </row>
    <row r="1825" spans="1:21" x14ac:dyDescent="0.35">
      <c r="A1825">
        <v>2025</v>
      </c>
      <c r="B1825" s="7" t="s">
        <v>94</v>
      </c>
      <c r="C1825" s="7" t="s">
        <v>130</v>
      </c>
      <c r="D1825">
        <v>202505</v>
      </c>
      <c r="E1825" s="3" t="s">
        <v>19</v>
      </c>
      <c r="F1825">
        <v>67.147661139999997</v>
      </c>
      <c r="G1825">
        <v>67.147661139999997</v>
      </c>
      <c r="H1825">
        <v>0</v>
      </c>
      <c r="I1825">
        <v>442.59332405000004</v>
      </c>
      <c r="J1825">
        <v>39.774585639999998</v>
      </c>
      <c r="K1825">
        <v>54.414056719999998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T1825" t="str">
        <f t="shared" si="96"/>
        <v>040002202505</v>
      </c>
      <c r="U1825">
        <f t="shared" si="97"/>
        <v>549.51557083000012</v>
      </c>
    </row>
    <row r="1826" spans="1:21" x14ac:dyDescent="0.35">
      <c r="A1826">
        <v>2025</v>
      </c>
      <c r="B1826" s="7" t="s">
        <v>94</v>
      </c>
      <c r="C1826" s="7" t="s">
        <v>130</v>
      </c>
      <c r="D1826">
        <v>202505</v>
      </c>
      <c r="E1826" s="3" t="s">
        <v>20</v>
      </c>
      <c r="F1826">
        <v>263.06931500000002</v>
      </c>
      <c r="G1826">
        <v>261.65682299999997</v>
      </c>
      <c r="H1826">
        <v>0.36288999999999999</v>
      </c>
      <c r="I1826">
        <v>4177.2051700000002</v>
      </c>
      <c r="J1826">
        <v>68.875769000000005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T1826" t="str">
        <f t="shared" si="96"/>
        <v>040012202505</v>
      </c>
      <c r="U1826">
        <f t="shared" si="97"/>
        <v>4509.1502540000001</v>
      </c>
    </row>
    <row r="1827" spans="1:21" x14ac:dyDescent="0.35">
      <c r="A1827">
        <v>2025</v>
      </c>
      <c r="B1827" s="7" t="s">
        <v>94</v>
      </c>
      <c r="C1827" s="7" t="s">
        <v>130</v>
      </c>
      <c r="D1827">
        <v>202505</v>
      </c>
      <c r="E1827" s="3" t="s">
        <v>21</v>
      </c>
      <c r="F1827">
        <v>593.80550600000004</v>
      </c>
      <c r="G1827">
        <v>593.80550600000004</v>
      </c>
      <c r="H1827">
        <v>0</v>
      </c>
      <c r="I1827">
        <v>1691.717155</v>
      </c>
      <c r="J1827">
        <v>101.65319100000001</v>
      </c>
      <c r="K1827">
        <v>0</v>
      </c>
      <c r="L1827">
        <v>23.647839000000001</v>
      </c>
      <c r="M1827">
        <v>23.647839000000001</v>
      </c>
      <c r="N1827">
        <v>0</v>
      </c>
      <c r="O1827">
        <v>0</v>
      </c>
      <c r="P1827">
        <v>25.702511000000001</v>
      </c>
      <c r="Q1827">
        <v>14.547593000000001</v>
      </c>
      <c r="R1827">
        <v>0</v>
      </c>
      <c r="T1827" t="str">
        <f t="shared" si="96"/>
        <v>040014202505</v>
      </c>
      <c r="U1827">
        <f t="shared" si="97"/>
        <v>2387.1758519999998</v>
      </c>
    </row>
    <row r="1828" spans="1:21" x14ac:dyDescent="0.35">
      <c r="A1828">
        <v>2025</v>
      </c>
      <c r="B1828" s="7" t="s">
        <v>94</v>
      </c>
      <c r="C1828" s="7" t="s">
        <v>130</v>
      </c>
      <c r="D1828">
        <v>202505</v>
      </c>
      <c r="E1828" s="3" t="s">
        <v>22</v>
      </c>
      <c r="F1828">
        <v>65.987590999999995</v>
      </c>
      <c r="G1828">
        <v>65.987590999999995</v>
      </c>
      <c r="H1828">
        <v>0</v>
      </c>
      <c r="I1828">
        <v>958.07315200000005</v>
      </c>
      <c r="J1828">
        <v>26.415955</v>
      </c>
      <c r="K1828">
        <v>0</v>
      </c>
      <c r="L1828">
        <v>23.090534000000002</v>
      </c>
      <c r="M1828">
        <v>23.090506000000001</v>
      </c>
      <c r="N1828">
        <v>0</v>
      </c>
      <c r="O1828">
        <v>2.8E-5</v>
      </c>
      <c r="P1828">
        <v>58.701462999999997</v>
      </c>
      <c r="Q1828">
        <v>22.020073</v>
      </c>
      <c r="R1828">
        <v>0</v>
      </c>
      <c r="T1828" t="str">
        <f t="shared" si="96"/>
        <v>040021202505</v>
      </c>
      <c r="U1828">
        <f t="shared" si="97"/>
        <v>1050.4766979999999</v>
      </c>
    </row>
    <row r="1829" spans="1:21" x14ac:dyDescent="0.35">
      <c r="A1829">
        <v>2025</v>
      </c>
      <c r="B1829" s="7" t="s">
        <v>94</v>
      </c>
      <c r="C1829" s="7" t="s">
        <v>130</v>
      </c>
      <c r="D1829">
        <v>202505</v>
      </c>
      <c r="E1829" s="3" t="s">
        <v>23</v>
      </c>
      <c r="F1829">
        <v>175.71850199000002</v>
      </c>
      <c r="G1829">
        <v>175.71850199000002</v>
      </c>
      <c r="H1829">
        <v>0</v>
      </c>
      <c r="I1829">
        <v>63.829043679999998</v>
      </c>
      <c r="J1829">
        <v>2.92961443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0.37607306000000001</v>
      </c>
      <c r="R1829">
        <v>0</v>
      </c>
      <c r="T1829" t="str">
        <f t="shared" si="96"/>
        <v>040030202505</v>
      </c>
      <c r="U1829">
        <f t="shared" si="97"/>
        <v>242.47716010000002</v>
      </c>
    </row>
    <row r="1830" spans="1:21" x14ac:dyDescent="0.35">
      <c r="A1830">
        <v>2025</v>
      </c>
      <c r="B1830" s="7" t="s">
        <v>94</v>
      </c>
      <c r="C1830" s="7" t="s">
        <v>130</v>
      </c>
      <c r="D1830">
        <v>202505</v>
      </c>
      <c r="E1830" s="3" t="s">
        <v>24</v>
      </c>
      <c r="F1830">
        <v>0</v>
      </c>
      <c r="G1830">
        <v>0</v>
      </c>
      <c r="H1830">
        <v>0</v>
      </c>
      <c r="I1830">
        <v>12.707136999999999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T1830" t="str">
        <f t="shared" si="96"/>
        <v>040036202505</v>
      </c>
      <c r="U1830">
        <f t="shared" si="97"/>
        <v>12.707136999999999</v>
      </c>
    </row>
    <row r="1831" spans="1:21" x14ac:dyDescent="0.35">
      <c r="A1831">
        <v>2025</v>
      </c>
      <c r="B1831" s="7" t="s">
        <v>94</v>
      </c>
      <c r="C1831" s="7" t="s">
        <v>130</v>
      </c>
      <c r="D1831">
        <v>202505</v>
      </c>
      <c r="E1831" s="3" t="s">
        <v>25</v>
      </c>
      <c r="F1831">
        <v>68.200642000000002</v>
      </c>
      <c r="G1831">
        <v>68.200642000000002</v>
      </c>
      <c r="H1831">
        <v>0</v>
      </c>
      <c r="I1831">
        <v>0.70203899999999997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T1831" t="str">
        <f t="shared" si="96"/>
        <v>040042202505</v>
      </c>
      <c r="U1831">
        <f t="shared" si="97"/>
        <v>68.902681000000001</v>
      </c>
    </row>
    <row r="1832" spans="1:21" x14ac:dyDescent="0.35">
      <c r="A1832">
        <v>2025</v>
      </c>
      <c r="B1832" s="7" t="s">
        <v>94</v>
      </c>
      <c r="C1832" s="7" t="s">
        <v>130</v>
      </c>
      <c r="D1832">
        <v>202505</v>
      </c>
      <c r="E1832" s="3" t="s">
        <v>26</v>
      </c>
      <c r="F1832">
        <v>0.95557899999999996</v>
      </c>
      <c r="G1832">
        <v>0.95557899999999996</v>
      </c>
      <c r="H1832">
        <v>0</v>
      </c>
      <c r="I1832">
        <v>275.39671199999998</v>
      </c>
      <c r="J1832">
        <v>22.240773999999998</v>
      </c>
      <c r="K1832">
        <v>0</v>
      </c>
      <c r="L1832">
        <v>176.56325799999999</v>
      </c>
      <c r="M1832">
        <v>176.56325799999999</v>
      </c>
      <c r="N1832">
        <v>0</v>
      </c>
      <c r="O1832">
        <v>0</v>
      </c>
      <c r="P1832">
        <v>19.993922000000001</v>
      </c>
      <c r="Q1832">
        <v>31.283089</v>
      </c>
      <c r="R1832">
        <v>0</v>
      </c>
      <c r="T1832" t="str">
        <f t="shared" si="96"/>
        <v>040044202505</v>
      </c>
      <c r="U1832">
        <f t="shared" si="97"/>
        <v>298.59306499999997</v>
      </c>
    </row>
    <row r="1833" spans="1:21" x14ac:dyDescent="0.35">
      <c r="A1833">
        <v>2025</v>
      </c>
      <c r="B1833" s="7" t="s">
        <v>94</v>
      </c>
      <c r="C1833" s="7" t="s">
        <v>130</v>
      </c>
      <c r="D1833">
        <v>202505</v>
      </c>
      <c r="E1833" s="3" t="s">
        <v>27</v>
      </c>
      <c r="F1833">
        <v>18.212561129999997</v>
      </c>
      <c r="G1833">
        <v>18.212561129999997</v>
      </c>
      <c r="H1833">
        <v>0</v>
      </c>
      <c r="I1833">
        <v>76.558580079999999</v>
      </c>
      <c r="J1833">
        <v>6.577725999999999E-2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T1833" t="str">
        <f t="shared" si="96"/>
        <v>040058202505</v>
      </c>
      <c r="U1833">
        <f t="shared" si="97"/>
        <v>94.836918470000001</v>
      </c>
    </row>
    <row r="1834" spans="1:21" x14ac:dyDescent="0.35">
      <c r="A1834">
        <v>2025</v>
      </c>
      <c r="B1834" s="7" t="s">
        <v>94</v>
      </c>
      <c r="C1834" s="7" t="s">
        <v>130</v>
      </c>
      <c r="D1834">
        <v>202505</v>
      </c>
      <c r="E1834" s="3" t="s">
        <v>28</v>
      </c>
      <c r="F1834">
        <v>0</v>
      </c>
      <c r="G1834">
        <v>0</v>
      </c>
      <c r="H1834">
        <v>0</v>
      </c>
      <c r="I1834">
        <v>253.463843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T1834" t="str">
        <f t="shared" si="96"/>
        <v>040059202505</v>
      </c>
      <c r="U1834">
        <f t="shared" si="97"/>
        <v>253.463843</v>
      </c>
    </row>
    <row r="1835" spans="1:21" x14ac:dyDescent="0.35">
      <c r="A1835">
        <v>2025</v>
      </c>
      <c r="B1835" s="7" t="s">
        <v>94</v>
      </c>
      <c r="C1835" s="7" t="s">
        <v>130</v>
      </c>
      <c r="D1835">
        <v>202505</v>
      </c>
      <c r="E1835" s="3" t="s">
        <v>62</v>
      </c>
      <c r="F1835">
        <v>0</v>
      </c>
      <c r="G1835">
        <v>0</v>
      </c>
      <c r="H1835">
        <v>0</v>
      </c>
      <c r="I1835">
        <v>3.7236999999999999E-2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T1835" t="str">
        <f t="shared" si="96"/>
        <v>040060202505</v>
      </c>
      <c r="U1835">
        <f t="shared" si="97"/>
        <v>3.7236999999999999E-2</v>
      </c>
    </row>
    <row r="1836" spans="1:21" x14ac:dyDescent="0.35">
      <c r="A1836">
        <v>2025</v>
      </c>
      <c r="B1836" s="7" t="s">
        <v>94</v>
      </c>
      <c r="C1836" s="7" t="s">
        <v>130</v>
      </c>
      <c r="D1836">
        <v>202505</v>
      </c>
      <c r="E1836" s="3" t="s">
        <v>29</v>
      </c>
      <c r="F1836">
        <v>4.6487829999999999</v>
      </c>
      <c r="G1836">
        <v>4.6487829999999999</v>
      </c>
      <c r="H1836">
        <v>0</v>
      </c>
      <c r="I1836">
        <v>94.435177999999993</v>
      </c>
      <c r="J1836">
        <v>0.28067599999999998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T1836" t="str">
        <f t="shared" si="96"/>
        <v>040062202505</v>
      </c>
      <c r="U1836">
        <f t="shared" si="97"/>
        <v>99.364636999999988</v>
      </c>
    </row>
    <row r="1837" spans="1:21" x14ac:dyDescent="0.35">
      <c r="A1837">
        <v>2025</v>
      </c>
      <c r="B1837" s="7" t="s">
        <v>94</v>
      </c>
      <c r="C1837" s="7" t="s">
        <v>130</v>
      </c>
      <c r="D1837">
        <v>202505</v>
      </c>
      <c r="E1837" s="3" t="s">
        <v>30</v>
      </c>
      <c r="F1837">
        <v>77.080653220000002</v>
      </c>
      <c r="G1837">
        <v>77.080653220000002</v>
      </c>
      <c r="H1837">
        <v>0</v>
      </c>
      <c r="I1837">
        <v>1323.1874954300001</v>
      </c>
      <c r="J1837">
        <v>195.19206409</v>
      </c>
      <c r="K1837">
        <v>0</v>
      </c>
      <c r="L1837">
        <v>20.561849769999998</v>
      </c>
      <c r="M1837">
        <v>20.561849769999998</v>
      </c>
      <c r="N1837">
        <v>0</v>
      </c>
      <c r="O1837">
        <v>0</v>
      </c>
      <c r="P1837">
        <v>84.00725159000001</v>
      </c>
      <c r="Q1837">
        <v>12.433718279999999</v>
      </c>
      <c r="R1837">
        <v>0</v>
      </c>
      <c r="T1837" t="str">
        <f t="shared" si="96"/>
        <v>040072202505</v>
      </c>
      <c r="U1837">
        <f t="shared" si="97"/>
        <v>1595.4602127400001</v>
      </c>
    </row>
    <row r="1838" spans="1:21" x14ac:dyDescent="0.35">
      <c r="A1838">
        <v>2025</v>
      </c>
      <c r="B1838" s="7" t="s">
        <v>94</v>
      </c>
      <c r="C1838" s="7" t="s">
        <v>130</v>
      </c>
      <c r="D1838">
        <v>202505</v>
      </c>
      <c r="E1838" s="3" t="s">
        <v>31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T1838" t="str">
        <f t="shared" si="96"/>
        <v>040106202505</v>
      </c>
      <c r="U1838">
        <f t="shared" si="97"/>
        <v>0</v>
      </c>
    </row>
    <row r="1839" spans="1:21" x14ac:dyDescent="0.35">
      <c r="A1839">
        <v>2025</v>
      </c>
      <c r="B1839" s="7" t="s">
        <v>94</v>
      </c>
      <c r="C1839" s="7" t="s">
        <v>130</v>
      </c>
      <c r="D1839">
        <v>202505</v>
      </c>
      <c r="E1839" s="3" t="s">
        <v>32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T1839" t="str">
        <f t="shared" si="96"/>
        <v>040108202505</v>
      </c>
      <c r="U1839">
        <f t="shared" si="97"/>
        <v>0</v>
      </c>
    </row>
    <row r="1840" spans="1:21" x14ac:dyDescent="0.35">
      <c r="A1840">
        <v>2025</v>
      </c>
      <c r="B1840" s="7" t="s">
        <v>94</v>
      </c>
      <c r="C1840" s="7" t="s">
        <v>130</v>
      </c>
      <c r="D1840">
        <v>202505</v>
      </c>
      <c r="E1840" s="3" t="s">
        <v>33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T1840" t="str">
        <f t="shared" si="96"/>
        <v>040110202505</v>
      </c>
      <c r="U1840">
        <f t="shared" si="97"/>
        <v>0</v>
      </c>
    </row>
    <row r="1841" spans="1:21" x14ac:dyDescent="0.35">
      <c r="A1841">
        <v>2025</v>
      </c>
      <c r="B1841" s="7" t="s">
        <v>94</v>
      </c>
      <c r="C1841" s="7" t="s">
        <v>130</v>
      </c>
      <c r="D1841">
        <v>202505</v>
      </c>
      <c r="E1841" s="3" t="s">
        <v>34</v>
      </c>
      <c r="F1841">
        <v>0</v>
      </c>
      <c r="G1841">
        <v>0</v>
      </c>
      <c r="H1841">
        <v>0</v>
      </c>
      <c r="I1841">
        <v>0</v>
      </c>
      <c r="J1841">
        <v>4.4034000899999999</v>
      </c>
      <c r="K1841">
        <v>0</v>
      </c>
      <c r="L1841">
        <v>0.18505005999999999</v>
      </c>
      <c r="M1841">
        <v>0.18505005999999999</v>
      </c>
      <c r="N1841">
        <v>0</v>
      </c>
      <c r="O1841">
        <v>0</v>
      </c>
      <c r="P1841">
        <v>0</v>
      </c>
      <c r="Q1841">
        <v>0</v>
      </c>
      <c r="R1841">
        <v>0</v>
      </c>
      <c r="T1841" t="str">
        <f t="shared" si="96"/>
        <v>040112202505</v>
      </c>
      <c r="U1841">
        <f t="shared" si="97"/>
        <v>4.4034000899999999</v>
      </c>
    </row>
    <row r="1842" spans="1:21" x14ac:dyDescent="0.35">
      <c r="A1842">
        <v>2025</v>
      </c>
      <c r="B1842" s="7" t="s">
        <v>94</v>
      </c>
      <c r="C1842" s="7" t="s">
        <v>130</v>
      </c>
      <c r="D1842">
        <v>202505</v>
      </c>
      <c r="E1842" s="3" t="s">
        <v>35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T1842" t="str">
        <f t="shared" ref="T1842:T1905" si="98">+E1842&amp;D1842</f>
        <v>040113202505</v>
      </c>
      <c r="U1842">
        <f t="shared" ref="U1842:U1905" si="99">+F1842+I1842+J1842</f>
        <v>0</v>
      </c>
    </row>
    <row r="1843" spans="1:21" x14ac:dyDescent="0.35">
      <c r="A1843">
        <v>2025</v>
      </c>
      <c r="B1843" s="7" t="s">
        <v>94</v>
      </c>
      <c r="C1843" s="7" t="s">
        <v>130</v>
      </c>
      <c r="D1843">
        <v>202505</v>
      </c>
      <c r="E1843" s="3" t="s">
        <v>37</v>
      </c>
      <c r="F1843">
        <v>0</v>
      </c>
      <c r="G1843">
        <v>0</v>
      </c>
      <c r="H1843">
        <v>0</v>
      </c>
      <c r="I1843">
        <v>1081.1024755999999</v>
      </c>
      <c r="J1843">
        <v>6.6796599999999996E-3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T1843" t="str">
        <f t="shared" si="98"/>
        <v>040127202505</v>
      </c>
      <c r="U1843">
        <f t="shared" si="99"/>
        <v>1081.1091552599999</v>
      </c>
    </row>
    <row r="1844" spans="1:21" x14ac:dyDescent="0.35">
      <c r="A1844">
        <v>2025</v>
      </c>
      <c r="B1844" s="7" t="s">
        <v>94</v>
      </c>
      <c r="C1844" s="7" t="s">
        <v>130</v>
      </c>
      <c r="D1844">
        <v>202505</v>
      </c>
      <c r="E1844" s="3" t="s">
        <v>38</v>
      </c>
      <c r="F1844">
        <v>13.460065999999999</v>
      </c>
      <c r="G1844">
        <v>13.460065999999999</v>
      </c>
      <c r="H1844">
        <v>0</v>
      </c>
      <c r="I1844">
        <v>1.28933974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T1844" t="str">
        <f t="shared" si="98"/>
        <v>040128202505</v>
      </c>
      <c r="U1844">
        <f t="shared" si="99"/>
        <v>14.74940574</v>
      </c>
    </row>
    <row r="1845" spans="1:21" x14ac:dyDescent="0.35">
      <c r="A1845">
        <v>2025</v>
      </c>
      <c r="B1845" s="7" t="s">
        <v>94</v>
      </c>
      <c r="C1845" s="7" t="s">
        <v>130</v>
      </c>
      <c r="D1845">
        <v>202505</v>
      </c>
      <c r="E1845" s="3" t="s">
        <v>39</v>
      </c>
      <c r="F1845">
        <v>0</v>
      </c>
      <c r="G1845">
        <v>0</v>
      </c>
      <c r="H1845">
        <v>0</v>
      </c>
      <c r="I1845">
        <v>529.20811100000003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15.787478999999999</v>
      </c>
      <c r="Q1845">
        <v>0</v>
      </c>
      <c r="R1845">
        <v>0</v>
      </c>
      <c r="T1845" t="str">
        <f t="shared" si="98"/>
        <v>040130202505</v>
      </c>
      <c r="U1845">
        <f t="shared" si="99"/>
        <v>529.20811100000003</v>
      </c>
    </row>
    <row r="1846" spans="1:21" x14ac:dyDescent="0.35">
      <c r="A1846">
        <v>2025</v>
      </c>
      <c r="B1846" s="7" t="s">
        <v>94</v>
      </c>
      <c r="C1846" s="7" t="s">
        <v>130</v>
      </c>
      <c r="D1846">
        <v>202505</v>
      </c>
      <c r="E1846" s="3" t="s">
        <v>40</v>
      </c>
      <c r="F1846">
        <v>0</v>
      </c>
      <c r="G1846">
        <v>0</v>
      </c>
      <c r="H1846">
        <v>0</v>
      </c>
      <c r="I1846">
        <v>1.6295790000000001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T1846" t="str">
        <f t="shared" si="98"/>
        <v>040132202505</v>
      </c>
      <c r="U1846">
        <f t="shared" si="99"/>
        <v>1.6295790000000001</v>
      </c>
    </row>
    <row r="1847" spans="1:21" x14ac:dyDescent="0.35">
      <c r="A1847">
        <v>2025</v>
      </c>
      <c r="B1847" s="7" t="s">
        <v>94</v>
      </c>
      <c r="C1847" s="7" t="s">
        <v>130</v>
      </c>
      <c r="D1847">
        <v>202505</v>
      </c>
      <c r="E1847" s="3" t="s">
        <v>41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T1847" t="str">
        <f t="shared" si="98"/>
        <v>040133202505</v>
      </c>
      <c r="U1847">
        <f t="shared" si="99"/>
        <v>0</v>
      </c>
    </row>
    <row r="1848" spans="1:21" x14ac:dyDescent="0.35">
      <c r="A1848">
        <v>2025</v>
      </c>
      <c r="B1848" s="7" t="s">
        <v>94</v>
      </c>
      <c r="C1848" s="7" t="s">
        <v>130</v>
      </c>
      <c r="D1848">
        <v>202505</v>
      </c>
      <c r="E1848" s="3" t="s">
        <v>42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T1848" t="str">
        <f t="shared" si="98"/>
        <v>040136202505</v>
      </c>
      <c r="U1848">
        <f t="shared" si="99"/>
        <v>0</v>
      </c>
    </row>
    <row r="1849" spans="1:21" x14ac:dyDescent="0.35">
      <c r="A1849">
        <v>2025</v>
      </c>
      <c r="B1849" s="7" t="s">
        <v>94</v>
      </c>
      <c r="C1849" s="7" t="s">
        <v>130</v>
      </c>
      <c r="D1849">
        <v>202505</v>
      </c>
      <c r="E1849" s="3" t="s">
        <v>43</v>
      </c>
      <c r="F1849">
        <v>0</v>
      </c>
      <c r="G1849">
        <v>0</v>
      </c>
      <c r="H1849">
        <v>0</v>
      </c>
      <c r="I1849">
        <v>17.729813289999999</v>
      </c>
      <c r="J1849">
        <v>0.9330766800000001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T1849" t="str">
        <f t="shared" si="98"/>
        <v>040137202505</v>
      </c>
      <c r="U1849">
        <f t="shared" si="99"/>
        <v>18.662889969999998</v>
      </c>
    </row>
    <row r="1850" spans="1:21" x14ac:dyDescent="0.35">
      <c r="A1850">
        <v>2025</v>
      </c>
      <c r="B1850" s="7" t="s">
        <v>94</v>
      </c>
      <c r="C1850" s="7" t="s">
        <v>130</v>
      </c>
      <c r="D1850">
        <v>202505</v>
      </c>
      <c r="E1850" s="3" t="s">
        <v>44</v>
      </c>
      <c r="F1850">
        <v>0</v>
      </c>
      <c r="G1850">
        <v>0</v>
      </c>
      <c r="H1850">
        <v>0</v>
      </c>
      <c r="I1850">
        <v>14.531916000000001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T1850" t="str">
        <f t="shared" si="98"/>
        <v>040138202505</v>
      </c>
      <c r="U1850">
        <f t="shared" si="99"/>
        <v>14.531916000000001</v>
      </c>
    </row>
    <row r="1851" spans="1:21" x14ac:dyDescent="0.35">
      <c r="A1851">
        <v>2025</v>
      </c>
      <c r="B1851" s="7" t="s">
        <v>94</v>
      </c>
      <c r="C1851" s="7" t="s">
        <v>130</v>
      </c>
      <c r="D1851">
        <v>202505</v>
      </c>
      <c r="E1851" s="3" t="s">
        <v>45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T1851" t="str">
        <f t="shared" si="98"/>
        <v>040139202505</v>
      </c>
      <c r="U1851">
        <f t="shared" si="99"/>
        <v>0</v>
      </c>
    </row>
    <row r="1852" spans="1:21" x14ac:dyDescent="0.35">
      <c r="A1852">
        <v>2025</v>
      </c>
      <c r="B1852" s="7" t="s">
        <v>94</v>
      </c>
      <c r="C1852" s="7" t="s">
        <v>130</v>
      </c>
      <c r="D1852">
        <v>202505</v>
      </c>
      <c r="E1852" s="3" t="s">
        <v>46</v>
      </c>
      <c r="F1852">
        <v>0</v>
      </c>
      <c r="G1852">
        <v>0</v>
      </c>
      <c r="H1852">
        <v>0</v>
      </c>
      <c r="I1852">
        <v>60.570532999999998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T1852" t="str">
        <f t="shared" si="98"/>
        <v>040140202505</v>
      </c>
      <c r="U1852">
        <f t="shared" si="99"/>
        <v>60.570532999999998</v>
      </c>
    </row>
    <row r="1853" spans="1:21" x14ac:dyDescent="0.35">
      <c r="A1853">
        <v>2025</v>
      </c>
      <c r="B1853" s="7" t="s">
        <v>94</v>
      </c>
      <c r="C1853" s="7" t="s">
        <v>130</v>
      </c>
      <c r="D1853">
        <v>202505</v>
      </c>
      <c r="E1853" s="3" t="s">
        <v>47</v>
      </c>
      <c r="F1853">
        <v>0</v>
      </c>
      <c r="G1853">
        <v>0</v>
      </c>
      <c r="H1853">
        <v>0</v>
      </c>
      <c r="I1853">
        <v>0.15228800000000001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T1853" t="str">
        <f t="shared" si="98"/>
        <v>040141202505</v>
      </c>
      <c r="U1853">
        <f t="shared" si="99"/>
        <v>0.15228800000000001</v>
      </c>
    </row>
    <row r="1854" spans="1:21" x14ac:dyDescent="0.35">
      <c r="A1854">
        <v>2025</v>
      </c>
      <c r="B1854" s="7" t="s">
        <v>94</v>
      </c>
      <c r="C1854" s="7" t="s">
        <v>130</v>
      </c>
      <c r="D1854">
        <v>202505</v>
      </c>
      <c r="E1854" s="3" t="s">
        <v>48</v>
      </c>
      <c r="F1854">
        <v>10.205491390000001</v>
      </c>
      <c r="G1854">
        <v>5.22439754</v>
      </c>
      <c r="H1854">
        <v>4.9810938499999997</v>
      </c>
      <c r="I1854">
        <v>7.6493842499999998</v>
      </c>
      <c r="J1854">
        <v>6.53112E-2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8.3348665799999999</v>
      </c>
      <c r="Q1854">
        <v>0.27018708000000002</v>
      </c>
      <c r="R1854">
        <v>0</v>
      </c>
      <c r="T1854" t="str">
        <f t="shared" si="98"/>
        <v>040143202505</v>
      </c>
      <c r="U1854">
        <f t="shared" si="99"/>
        <v>17.92018684</v>
      </c>
    </row>
    <row r="1855" spans="1:21" x14ac:dyDescent="0.35">
      <c r="A1855">
        <v>2025</v>
      </c>
      <c r="B1855" s="7" t="s">
        <v>94</v>
      </c>
      <c r="C1855" s="7" t="s">
        <v>130</v>
      </c>
      <c r="D1855">
        <v>202505</v>
      </c>
      <c r="E1855" s="3" t="s">
        <v>49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T1855" t="str">
        <f t="shared" si="98"/>
        <v>040145202505</v>
      </c>
      <c r="U1855">
        <f t="shared" si="99"/>
        <v>0</v>
      </c>
    </row>
    <row r="1856" spans="1:21" x14ac:dyDescent="0.35">
      <c r="A1856">
        <v>2025</v>
      </c>
      <c r="B1856" s="7" t="s">
        <v>94</v>
      </c>
      <c r="C1856" s="7" t="s">
        <v>130</v>
      </c>
      <c r="D1856">
        <v>202505</v>
      </c>
      <c r="E1856" s="3" t="s">
        <v>50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T1856" t="str">
        <f t="shared" si="98"/>
        <v>040147202505</v>
      </c>
      <c r="U1856">
        <f t="shared" si="99"/>
        <v>0</v>
      </c>
    </row>
    <row r="1857" spans="1:21" x14ac:dyDescent="0.35">
      <c r="A1857">
        <v>2025</v>
      </c>
      <c r="B1857" s="7" t="s">
        <v>94</v>
      </c>
      <c r="C1857" s="7" t="s">
        <v>130</v>
      </c>
      <c r="D1857">
        <v>202505</v>
      </c>
      <c r="E1857" s="3" t="s">
        <v>51</v>
      </c>
      <c r="F1857">
        <v>0</v>
      </c>
      <c r="G1857">
        <v>0</v>
      </c>
      <c r="H1857">
        <v>0</v>
      </c>
      <c r="I1857">
        <v>9.3293529999999993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T1857" t="str">
        <f t="shared" si="98"/>
        <v>040149202505</v>
      </c>
      <c r="U1857">
        <f t="shared" si="99"/>
        <v>9.3293529999999993</v>
      </c>
    </row>
    <row r="1858" spans="1:21" x14ac:dyDescent="0.35">
      <c r="A1858">
        <v>2025</v>
      </c>
      <c r="B1858" s="7" t="s">
        <v>94</v>
      </c>
      <c r="C1858" s="7" t="s">
        <v>130</v>
      </c>
      <c r="D1858">
        <v>202505</v>
      </c>
      <c r="E1858" s="3" t="s">
        <v>52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T1858" t="str">
        <f t="shared" si="98"/>
        <v>040150202505</v>
      </c>
      <c r="U1858">
        <f t="shared" si="99"/>
        <v>0</v>
      </c>
    </row>
    <row r="1859" spans="1:21" x14ac:dyDescent="0.35">
      <c r="A1859">
        <v>2025</v>
      </c>
      <c r="B1859" s="7" t="s">
        <v>94</v>
      </c>
      <c r="C1859" s="7" t="s">
        <v>130</v>
      </c>
      <c r="D1859">
        <v>202505</v>
      </c>
      <c r="E1859" s="3" t="s">
        <v>53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T1859" t="str">
        <f t="shared" si="98"/>
        <v>040151202505</v>
      </c>
      <c r="U1859">
        <f t="shared" si="99"/>
        <v>0</v>
      </c>
    </row>
    <row r="1860" spans="1:21" x14ac:dyDescent="0.35">
      <c r="A1860">
        <v>2025</v>
      </c>
      <c r="B1860" s="7" t="s">
        <v>94</v>
      </c>
      <c r="C1860" s="7" t="s">
        <v>130</v>
      </c>
      <c r="D1860">
        <v>202505</v>
      </c>
      <c r="E1860" s="3" t="s">
        <v>54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T1860" t="str">
        <f t="shared" si="98"/>
        <v>040152202505</v>
      </c>
      <c r="U1860">
        <f t="shared" si="99"/>
        <v>0</v>
      </c>
    </row>
    <row r="1861" spans="1:21" x14ac:dyDescent="0.35">
      <c r="A1861">
        <v>2025</v>
      </c>
      <c r="B1861" s="7" t="s">
        <v>94</v>
      </c>
      <c r="C1861" s="7" t="s">
        <v>130</v>
      </c>
      <c r="D1861">
        <v>202505</v>
      </c>
      <c r="E1861" s="3" t="s">
        <v>55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0.25798920999999997</v>
      </c>
      <c r="M1861">
        <v>0.25798920999999997</v>
      </c>
      <c r="N1861">
        <v>0</v>
      </c>
      <c r="O1861">
        <v>0</v>
      </c>
      <c r="P1861">
        <v>0</v>
      </c>
      <c r="Q1861">
        <v>0</v>
      </c>
      <c r="R1861">
        <v>0</v>
      </c>
      <c r="T1861" t="str">
        <f t="shared" si="98"/>
        <v>040154202505</v>
      </c>
      <c r="U1861">
        <f t="shared" si="99"/>
        <v>0</v>
      </c>
    </row>
    <row r="1862" spans="1:21" x14ac:dyDescent="0.35">
      <c r="A1862">
        <v>2025</v>
      </c>
      <c r="B1862" s="7" t="s">
        <v>94</v>
      </c>
      <c r="C1862" s="7" t="s">
        <v>130</v>
      </c>
      <c r="D1862">
        <v>202505</v>
      </c>
      <c r="E1862" s="3" t="s">
        <v>56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T1862" t="str">
        <f t="shared" si="98"/>
        <v>040155202505</v>
      </c>
      <c r="U1862">
        <f t="shared" si="99"/>
        <v>0</v>
      </c>
    </row>
    <row r="1863" spans="1:21" x14ac:dyDescent="0.35">
      <c r="A1863">
        <v>2025</v>
      </c>
      <c r="B1863" s="7" t="s">
        <v>94</v>
      </c>
      <c r="C1863" s="7" t="s">
        <v>130</v>
      </c>
      <c r="D1863">
        <v>202505</v>
      </c>
      <c r="E1863" s="3" t="s">
        <v>57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T1863" t="str">
        <f t="shared" si="98"/>
        <v>040156202505</v>
      </c>
      <c r="U1863">
        <f t="shared" si="99"/>
        <v>0</v>
      </c>
    </row>
    <row r="1864" spans="1:21" x14ac:dyDescent="0.35">
      <c r="A1864">
        <v>2025</v>
      </c>
      <c r="B1864" s="7" t="s">
        <v>94</v>
      </c>
      <c r="C1864" s="7" t="s">
        <v>130</v>
      </c>
      <c r="D1864">
        <v>202505</v>
      </c>
      <c r="E1864" s="3" t="s">
        <v>58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T1864" t="str">
        <f t="shared" si="98"/>
        <v>040157202505</v>
      </c>
      <c r="U1864">
        <f t="shared" si="99"/>
        <v>0</v>
      </c>
    </row>
    <row r="1865" spans="1:21" x14ac:dyDescent="0.35">
      <c r="A1865">
        <v>2025</v>
      </c>
      <c r="B1865" s="7" t="s">
        <v>94</v>
      </c>
      <c r="C1865" s="7" t="s">
        <v>130</v>
      </c>
      <c r="D1865">
        <v>202505</v>
      </c>
      <c r="E1865" s="3" t="s">
        <v>59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T1865" t="str">
        <f t="shared" si="98"/>
        <v>040158202505</v>
      </c>
      <c r="U1865">
        <f t="shared" si="99"/>
        <v>0</v>
      </c>
    </row>
    <row r="1866" spans="1:21" x14ac:dyDescent="0.35">
      <c r="A1866">
        <v>2025</v>
      </c>
      <c r="B1866" s="7" t="s">
        <v>94</v>
      </c>
      <c r="C1866" s="7" t="s">
        <v>130</v>
      </c>
      <c r="D1866">
        <v>202505</v>
      </c>
      <c r="E1866" s="3" t="s">
        <v>60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T1866" t="str">
        <f t="shared" si="98"/>
        <v>040159202505</v>
      </c>
      <c r="U1866">
        <f t="shared" si="99"/>
        <v>0</v>
      </c>
    </row>
    <row r="1867" spans="1:21" x14ac:dyDescent="0.35">
      <c r="A1867">
        <v>2025</v>
      </c>
      <c r="B1867" s="7" t="s">
        <v>94</v>
      </c>
      <c r="C1867" s="7" t="s">
        <v>130</v>
      </c>
      <c r="D1867">
        <v>202505</v>
      </c>
      <c r="E1867" s="3" t="s">
        <v>63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T1867" t="str">
        <f t="shared" si="98"/>
        <v>040160202505</v>
      </c>
      <c r="U1867">
        <f t="shared" si="99"/>
        <v>0</v>
      </c>
    </row>
    <row r="1868" spans="1:21" x14ac:dyDescent="0.35">
      <c r="A1868">
        <v>2025</v>
      </c>
      <c r="B1868" s="7" t="s">
        <v>94</v>
      </c>
      <c r="C1868" s="7" t="s">
        <v>130</v>
      </c>
      <c r="D1868">
        <v>202505</v>
      </c>
      <c r="E1868" s="3" t="s">
        <v>61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T1868" t="str">
        <f t="shared" si="98"/>
        <v>040162202505</v>
      </c>
      <c r="U1868">
        <f t="shared" si="99"/>
        <v>0</v>
      </c>
    </row>
    <row r="1869" spans="1:21" x14ac:dyDescent="0.35">
      <c r="A1869">
        <v>2025</v>
      </c>
      <c r="B1869" s="7" t="s">
        <v>94</v>
      </c>
      <c r="C1869" s="7" t="s">
        <v>130</v>
      </c>
      <c r="D1869">
        <v>202505</v>
      </c>
      <c r="E1869" s="3" t="s">
        <v>114</v>
      </c>
      <c r="F1869">
        <v>0</v>
      </c>
      <c r="G1869">
        <v>0</v>
      </c>
      <c r="H1869">
        <v>0</v>
      </c>
      <c r="I1869">
        <v>3.0150372499999998</v>
      </c>
      <c r="J1869">
        <v>0</v>
      </c>
      <c r="K1869">
        <v>0</v>
      </c>
      <c r="L1869">
        <v>0</v>
      </c>
      <c r="M1869">
        <v>0</v>
      </c>
      <c r="N1869">
        <v>9.4495000000000007E-4</v>
      </c>
      <c r="O1869">
        <v>0</v>
      </c>
      <c r="P1869">
        <v>0</v>
      </c>
      <c r="Q1869">
        <v>0</v>
      </c>
      <c r="R1869">
        <v>0</v>
      </c>
      <c r="T1869" t="str">
        <f t="shared" si="98"/>
        <v>040165202505</v>
      </c>
      <c r="U1869">
        <f t="shared" si="99"/>
        <v>3.0150372499999998</v>
      </c>
    </row>
    <row r="1870" spans="1:21" x14ac:dyDescent="0.35">
      <c r="A1870">
        <v>2025</v>
      </c>
      <c r="B1870" s="7" t="s">
        <v>95</v>
      </c>
      <c r="C1870" s="7" t="s">
        <v>131</v>
      </c>
      <c r="D1870">
        <v>202506</v>
      </c>
      <c r="E1870" s="3">
        <v>5</v>
      </c>
      <c r="F1870">
        <v>1804.9657071199999</v>
      </c>
      <c r="G1870">
        <v>1800.7063719800001</v>
      </c>
      <c r="H1870">
        <v>1.2197561399999999</v>
      </c>
      <c r="I1870">
        <v>10690.78770481</v>
      </c>
      <c r="J1870">
        <v>1023.29104827</v>
      </c>
      <c r="K1870">
        <v>64.444781509999999</v>
      </c>
      <c r="L1870">
        <v>77.274940879999988</v>
      </c>
      <c r="M1870">
        <v>55.914953270000005</v>
      </c>
      <c r="N1870">
        <v>21.359987610000001</v>
      </c>
      <c r="O1870">
        <v>0</v>
      </c>
      <c r="P1870">
        <v>203.28061368000002</v>
      </c>
      <c r="Q1870">
        <v>94.926883349999997</v>
      </c>
      <c r="R1870">
        <v>0</v>
      </c>
      <c r="T1870" t="str">
        <f t="shared" si="98"/>
        <v>5202506</v>
      </c>
      <c r="U1870">
        <f t="shared" si="99"/>
        <v>13519.044460200001</v>
      </c>
    </row>
    <row r="1871" spans="1:21" x14ac:dyDescent="0.35">
      <c r="A1871">
        <v>2025</v>
      </c>
      <c r="B1871" s="7" t="s">
        <v>95</v>
      </c>
      <c r="C1871" s="7" t="s">
        <v>131</v>
      </c>
      <c r="D1871">
        <v>202506</v>
      </c>
      <c r="E1871" s="3" t="s">
        <v>19</v>
      </c>
      <c r="F1871">
        <v>85.343324340000009</v>
      </c>
      <c r="G1871">
        <v>85.343324340000009</v>
      </c>
      <c r="H1871">
        <v>0</v>
      </c>
      <c r="I1871">
        <v>548.53250333000005</v>
      </c>
      <c r="J1871">
        <v>38.652912069999999</v>
      </c>
      <c r="K1871">
        <v>64.444781509999999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T1871" t="str">
        <f t="shared" si="98"/>
        <v>040002202506</v>
      </c>
      <c r="U1871">
        <f t="shared" si="99"/>
        <v>672.52873973999999</v>
      </c>
    </row>
    <row r="1872" spans="1:21" x14ac:dyDescent="0.35">
      <c r="A1872">
        <v>2025</v>
      </c>
      <c r="B1872" s="7" t="s">
        <v>95</v>
      </c>
      <c r="C1872" s="7" t="s">
        <v>131</v>
      </c>
      <c r="D1872">
        <v>202506</v>
      </c>
      <c r="E1872" s="3" t="s">
        <v>20</v>
      </c>
      <c r="F1872">
        <v>332.66243500000002</v>
      </c>
      <c r="G1872">
        <v>328.55787500000002</v>
      </c>
      <c r="H1872">
        <v>1.064981</v>
      </c>
      <c r="I1872">
        <v>4027.314437</v>
      </c>
      <c r="J1872">
        <v>348.68978800000002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T1872" t="str">
        <f t="shared" si="98"/>
        <v>040012202506</v>
      </c>
      <c r="U1872">
        <f t="shared" si="99"/>
        <v>4708.6666599999999</v>
      </c>
    </row>
    <row r="1873" spans="1:21" x14ac:dyDescent="0.35">
      <c r="A1873">
        <v>2025</v>
      </c>
      <c r="B1873" s="7" t="s">
        <v>95</v>
      </c>
      <c r="C1873" s="7" t="s">
        <v>131</v>
      </c>
      <c r="D1873">
        <v>202506</v>
      </c>
      <c r="E1873" s="3" t="s">
        <v>21</v>
      </c>
      <c r="F1873">
        <v>466.24125299999997</v>
      </c>
      <c r="G1873">
        <v>466.24125299999997</v>
      </c>
      <c r="H1873">
        <v>0</v>
      </c>
      <c r="I1873">
        <v>1528.2335290000001</v>
      </c>
      <c r="J1873">
        <v>132.00827799999999</v>
      </c>
      <c r="K1873">
        <v>0</v>
      </c>
      <c r="L1873">
        <v>8.0818949999999994</v>
      </c>
      <c r="M1873">
        <v>8.0818949999999994</v>
      </c>
      <c r="N1873">
        <v>0</v>
      </c>
      <c r="O1873">
        <v>0</v>
      </c>
      <c r="P1873">
        <v>32.616675000000001</v>
      </c>
      <c r="Q1873">
        <v>20.976247999999998</v>
      </c>
      <c r="R1873">
        <v>0</v>
      </c>
      <c r="T1873" t="str">
        <f t="shared" si="98"/>
        <v>040014202506</v>
      </c>
      <c r="U1873">
        <f t="shared" si="99"/>
        <v>2126.48306</v>
      </c>
    </row>
    <row r="1874" spans="1:21" x14ac:dyDescent="0.35">
      <c r="A1874">
        <v>2025</v>
      </c>
      <c r="B1874" s="7" t="s">
        <v>95</v>
      </c>
      <c r="C1874" s="7" t="s">
        <v>131</v>
      </c>
      <c r="D1874">
        <v>202506</v>
      </c>
      <c r="E1874" s="3" t="s">
        <v>22</v>
      </c>
      <c r="F1874">
        <v>77.931314</v>
      </c>
      <c r="G1874">
        <v>77.931314</v>
      </c>
      <c r="H1874">
        <v>0</v>
      </c>
      <c r="I1874">
        <v>1047.8013080000001</v>
      </c>
      <c r="J1874">
        <v>40.388322000000002</v>
      </c>
      <c r="K1874">
        <v>0</v>
      </c>
      <c r="L1874">
        <v>7.407076</v>
      </c>
      <c r="M1874">
        <v>7.407076</v>
      </c>
      <c r="N1874">
        <v>0</v>
      </c>
      <c r="O1874">
        <v>0</v>
      </c>
      <c r="P1874">
        <v>53.552658000000001</v>
      </c>
      <c r="Q1874">
        <v>18.530574000000001</v>
      </c>
      <c r="R1874">
        <v>0</v>
      </c>
      <c r="T1874" t="str">
        <f t="shared" si="98"/>
        <v>040021202506</v>
      </c>
      <c r="U1874">
        <f t="shared" si="99"/>
        <v>1166.120944</v>
      </c>
    </row>
    <row r="1875" spans="1:21" x14ac:dyDescent="0.35">
      <c r="A1875">
        <v>2025</v>
      </c>
      <c r="B1875" s="7" t="s">
        <v>95</v>
      </c>
      <c r="C1875" s="7" t="s">
        <v>131</v>
      </c>
      <c r="D1875">
        <v>202506</v>
      </c>
      <c r="E1875" s="3" t="s">
        <v>23</v>
      </c>
      <c r="F1875">
        <v>90.676913659999997</v>
      </c>
      <c r="G1875">
        <v>90.676913659999997</v>
      </c>
      <c r="H1875">
        <v>0</v>
      </c>
      <c r="I1875">
        <v>67.322729900000013</v>
      </c>
      <c r="J1875">
        <v>7.1088351599999999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0.33667437</v>
      </c>
      <c r="R1875">
        <v>0</v>
      </c>
      <c r="T1875" t="str">
        <f t="shared" si="98"/>
        <v>040030202506</v>
      </c>
      <c r="U1875">
        <f t="shared" si="99"/>
        <v>165.10847872000002</v>
      </c>
    </row>
    <row r="1876" spans="1:21" x14ac:dyDescent="0.35">
      <c r="A1876">
        <v>2025</v>
      </c>
      <c r="B1876" s="7" t="s">
        <v>95</v>
      </c>
      <c r="C1876" s="7" t="s">
        <v>131</v>
      </c>
      <c r="D1876">
        <v>202506</v>
      </c>
      <c r="E1876" s="3" t="s">
        <v>24</v>
      </c>
      <c r="F1876">
        <v>551.31041400000004</v>
      </c>
      <c r="G1876">
        <v>551.31041400000004</v>
      </c>
      <c r="H1876">
        <v>0</v>
      </c>
      <c r="I1876">
        <v>13.632663000000001</v>
      </c>
      <c r="J1876">
        <v>292.35781300000002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T1876" t="str">
        <f t="shared" si="98"/>
        <v>040036202506</v>
      </c>
      <c r="U1876">
        <f t="shared" si="99"/>
        <v>857.30088999999998</v>
      </c>
    </row>
    <row r="1877" spans="1:21" x14ac:dyDescent="0.35">
      <c r="A1877">
        <v>2025</v>
      </c>
      <c r="B1877" s="7" t="s">
        <v>95</v>
      </c>
      <c r="C1877" s="7" t="s">
        <v>131</v>
      </c>
      <c r="D1877">
        <v>202506</v>
      </c>
      <c r="E1877" s="3" t="s">
        <v>25</v>
      </c>
      <c r="F1877">
        <v>63.855728999999997</v>
      </c>
      <c r="G1877">
        <v>63.855728999999997</v>
      </c>
      <c r="H1877">
        <v>0</v>
      </c>
      <c r="I1877">
        <v>4.866422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T1877" t="str">
        <f t="shared" si="98"/>
        <v>040042202506</v>
      </c>
      <c r="U1877">
        <f t="shared" si="99"/>
        <v>68.722150999999997</v>
      </c>
    </row>
    <row r="1878" spans="1:21" x14ac:dyDescent="0.35">
      <c r="A1878">
        <v>2025</v>
      </c>
      <c r="B1878" s="7" t="s">
        <v>95</v>
      </c>
      <c r="C1878" s="7" t="s">
        <v>131</v>
      </c>
      <c r="D1878">
        <v>202506</v>
      </c>
      <c r="E1878" s="3" t="s">
        <v>26</v>
      </c>
      <c r="F1878">
        <v>9.1999999999999998E-3</v>
      </c>
      <c r="G1878">
        <v>9.1999999999999998E-3</v>
      </c>
      <c r="H1878">
        <v>0</v>
      </c>
      <c r="I1878">
        <v>271.61345399999999</v>
      </c>
      <c r="J1878">
        <v>19.750792000000001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20.65991</v>
      </c>
      <c r="Q1878">
        <v>41.384430999999999</v>
      </c>
      <c r="R1878">
        <v>0</v>
      </c>
      <c r="T1878" t="str">
        <f t="shared" si="98"/>
        <v>040044202506</v>
      </c>
      <c r="U1878">
        <f t="shared" si="99"/>
        <v>291.373446</v>
      </c>
    </row>
    <row r="1879" spans="1:21" x14ac:dyDescent="0.35">
      <c r="A1879">
        <v>2025</v>
      </c>
      <c r="B1879" s="7" t="s">
        <v>95</v>
      </c>
      <c r="C1879" s="7" t="s">
        <v>131</v>
      </c>
      <c r="D1879">
        <v>202506</v>
      </c>
      <c r="E1879" s="3" t="s">
        <v>27</v>
      </c>
      <c r="F1879">
        <v>24.42215002</v>
      </c>
      <c r="G1879">
        <v>24.42215002</v>
      </c>
      <c r="H1879">
        <v>0</v>
      </c>
      <c r="I1879">
        <v>64.905324329999999</v>
      </c>
      <c r="J1879">
        <v>0.62204443000000009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T1879" t="str">
        <f t="shared" si="98"/>
        <v>040058202506</v>
      </c>
      <c r="U1879">
        <f t="shared" si="99"/>
        <v>89.949518780000005</v>
      </c>
    </row>
    <row r="1880" spans="1:21" x14ac:dyDescent="0.35">
      <c r="A1880">
        <v>2025</v>
      </c>
      <c r="B1880" s="7" t="s">
        <v>95</v>
      </c>
      <c r="C1880" s="7" t="s">
        <v>131</v>
      </c>
      <c r="D1880">
        <v>202506</v>
      </c>
      <c r="E1880" s="3" t="s">
        <v>28</v>
      </c>
      <c r="F1880">
        <v>0</v>
      </c>
      <c r="G1880">
        <v>0</v>
      </c>
      <c r="H1880">
        <v>0</v>
      </c>
      <c r="I1880">
        <v>273.72756700000002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T1880" t="str">
        <f t="shared" si="98"/>
        <v>040059202506</v>
      </c>
      <c r="U1880">
        <f t="shared" si="99"/>
        <v>273.72756700000002</v>
      </c>
    </row>
    <row r="1881" spans="1:21" x14ac:dyDescent="0.35">
      <c r="A1881">
        <v>2025</v>
      </c>
      <c r="B1881" s="7" t="s">
        <v>95</v>
      </c>
      <c r="C1881" s="7" t="s">
        <v>131</v>
      </c>
      <c r="D1881">
        <v>202506</v>
      </c>
      <c r="E1881" s="3" t="s">
        <v>62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T1881" t="str">
        <f t="shared" si="98"/>
        <v>040060202506</v>
      </c>
      <c r="U1881">
        <f t="shared" si="99"/>
        <v>0</v>
      </c>
    </row>
    <row r="1882" spans="1:21" x14ac:dyDescent="0.35">
      <c r="A1882">
        <v>2025</v>
      </c>
      <c r="B1882" s="7" t="s">
        <v>95</v>
      </c>
      <c r="C1882" s="7" t="s">
        <v>131</v>
      </c>
      <c r="D1882">
        <v>202506</v>
      </c>
      <c r="E1882" s="3" t="s">
        <v>29</v>
      </c>
      <c r="F1882">
        <v>3.317879</v>
      </c>
      <c r="G1882">
        <v>3.317879</v>
      </c>
      <c r="H1882">
        <v>0</v>
      </c>
      <c r="I1882">
        <v>106.31018299999999</v>
      </c>
      <c r="J1882">
        <v>1.5237000000000001E-2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T1882" t="str">
        <f t="shared" si="98"/>
        <v>040062202506</v>
      </c>
      <c r="U1882">
        <f t="shared" si="99"/>
        <v>109.643299</v>
      </c>
    </row>
    <row r="1883" spans="1:21" x14ac:dyDescent="0.35">
      <c r="A1883">
        <v>2025</v>
      </c>
      <c r="B1883" s="7" t="s">
        <v>95</v>
      </c>
      <c r="C1883" s="7" t="s">
        <v>131</v>
      </c>
      <c r="D1883">
        <v>202506</v>
      </c>
      <c r="E1883" s="3" t="s">
        <v>30</v>
      </c>
      <c r="F1883">
        <v>70.641013170000008</v>
      </c>
      <c r="G1883">
        <v>70.641013170000008</v>
      </c>
      <c r="H1883">
        <v>0</v>
      </c>
      <c r="I1883">
        <v>1201.86515882</v>
      </c>
      <c r="J1883">
        <v>142.51053569999999</v>
      </c>
      <c r="K1883">
        <v>0</v>
      </c>
      <c r="L1883">
        <v>12.00720881</v>
      </c>
      <c r="M1883">
        <v>12.00720881</v>
      </c>
      <c r="N1883">
        <v>0</v>
      </c>
      <c r="O1883">
        <v>0</v>
      </c>
      <c r="P1883">
        <v>69.303592469999998</v>
      </c>
      <c r="Q1883">
        <v>13.69185002</v>
      </c>
      <c r="R1883">
        <v>0</v>
      </c>
      <c r="T1883" t="str">
        <f t="shared" si="98"/>
        <v>040072202506</v>
      </c>
      <c r="U1883">
        <f t="shared" si="99"/>
        <v>1415.01670769</v>
      </c>
    </row>
    <row r="1884" spans="1:21" x14ac:dyDescent="0.35">
      <c r="A1884">
        <v>2025</v>
      </c>
      <c r="B1884" s="7" t="s">
        <v>95</v>
      </c>
      <c r="C1884" s="7" t="s">
        <v>131</v>
      </c>
      <c r="D1884">
        <v>202506</v>
      </c>
      <c r="E1884" s="3" t="s">
        <v>31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T1884" t="str">
        <f t="shared" si="98"/>
        <v>040106202506</v>
      </c>
      <c r="U1884">
        <f t="shared" si="99"/>
        <v>0</v>
      </c>
    </row>
    <row r="1885" spans="1:21" x14ac:dyDescent="0.35">
      <c r="A1885">
        <v>2025</v>
      </c>
      <c r="B1885" s="7" t="s">
        <v>95</v>
      </c>
      <c r="C1885" s="7" t="s">
        <v>131</v>
      </c>
      <c r="D1885">
        <v>202506</v>
      </c>
      <c r="E1885" s="3" t="s">
        <v>32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T1885" t="str">
        <f t="shared" si="98"/>
        <v>040108202506</v>
      </c>
      <c r="U1885">
        <f t="shared" si="99"/>
        <v>0</v>
      </c>
    </row>
    <row r="1886" spans="1:21" x14ac:dyDescent="0.35">
      <c r="A1886">
        <v>2025</v>
      </c>
      <c r="B1886" s="7" t="s">
        <v>95</v>
      </c>
      <c r="C1886" s="7" t="s">
        <v>131</v>
      </c>
      <c r="D1886">
        <v>202506</v>
      </c>
      <c r="E1886" s="3" t="s">
        <v>33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T1886" t="str">
        <f t="shared" si="98"/>
        <v>040110202506</v>
      </c>
      <c r="U1886">
        <f t="shared" si="99"/>
        <v>0</v>
      </c>
    </row>
    <row r="1887" spans="1:21" x14ac:dyDescent="0.35">
      <c r="A1887">
        <v>2025</v>
      </c>
      <c r="B1887" s="7" t="s">
        <v>95</v>
      </c>
      <c r="C1887" s="7" t="s">
        <v>131</v>
      </c>
      <c r="D1887">
        <v>202506</v>
      </c>
      <c r="E1887" s="3" t="s">
        <v>34</v>
      </c>
      <c r="F1887">
        <v>15.22416572</v>
      </c>
      <c r="G1887">
        <v>15.22416572</v>
      </c>
      <c r="H1887">
        <v>0</v>
      </c>
      <c r="I1887">
        <v>0</v>
      </c>
      <c r="J1887">
        <v>0</v>
      </c>
      <c r="K1887">
        <v>0</v>
      </c>
      <c r="L1887">
        <v>1.7750988999999999</v>
      </c>
      <c r="M1887">
        <v>1.7750988999999999</v>
      </c>
      <c r="N1887">
        <v>0</v>
      </c>
      <c r="O1887">
        <v>0</v>
      </c>
      <c r="P1887">
        <v>0</v>
      </c>
      <c r="Q1887">
        <v>0</v>
      </c>
      <c r="R1887">
        <v>0</v>
      </c>
      <c r="T1887" t="str">
        <f t="shared" si="98"/>
        <v>040112202506</v>
      </c>
      <c r="U1887">
        <f t="shared" si="99"/>
        <v>15.22416572</v>
      </c>
    </row>
    <row r="1888" spans="1:21" x14ac:dyDescent="0.35">
      <c r="A1888">
        <v>2025</v>
      </c>
      <c r="B1888" s="7" t="s">
        <v>95</v>
      </c>
      <c r="C1888" s="7" t="s">
        <v>131</v>
      </c>
      <c r="D1888">
        <v>202506</v>
      </c>
      <c r="E1888" s="3" t="s">
        <v>35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5.7951430000000004</v>
      </c>
      <c r="M1888">
        <v>5.7951430000000004</v>
      </c>
      <c r="N1888">
        <v>0</v>
      </c>
      <c r="O1888">
        <v>0</v>
      </c>
      <c r="P1888">
        <v>0</v>
      </c>
      <c r="Q1888">
        <v>7.0930000000000003E-3</v>
      </c>
      <c r="R1888">
        <v>0</v>
      </c>
      <c r="T1888" t="str">
        <f t="shared" si="98"/>
        <v>040113202506</v>
      </c>
      <c r="U1888">
        <f t="shared" si="99"/>
        <v>0</v>
      </c>
    </row>
    <row r="1889" spans="1:21" x14ac:dyDescent="0.35">
      <c r="A1889">
        <v>2025</v>
      </c>
      <c r="B1889" s="7" t="s">
        <v>95</v>
      </c>
      <c r="C1889" s="7" t="s">
        <v>131</v>
      </c>
      <c r="D1889">
        <v>202506</v>
      </c>
      <c r="E1889" s="3" t="s">
        <v>37</v>
      </c>
      <c r="F1889">
        <v>0</v>
      </c>
      <c r="G1889">
        <v>0</v>
      </c>
      <c r="H1889">
        <v>0</v>
      </c>
      <c r="I1889">
        <v>1027.94911131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T1889" t="str">
        <f t="shared" si="98"/>
        <v>040127202506</v>
      </c>
      <c r="U1889">
        <f t="shared" si="99"/>
        <v>1027.94911131</v>
      </c>
    </row>
    <row r="1890" spans="1:21" x14ac:dyDescent="0.35">
      <c r="A1890">
        <v>2025</v>
      </c>
      <c r="B1890" s="7" t="s">
        <v>95</v>
      </c>
      <c r="C1890" s="7" t="s">
        <v>131</v>
      </c>
      <c r="D1890">
        <v>202506</v>
      </c>
      <c r="E1890" s="3" t="s">
        <v>38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T1890" t="str">
        <f t="shared" si="98"/>
        <v>040128202506</v>
      </c>
      <c r="U1890">
        <f t="shared" si="99"/>
        <v>0</v>
      </c>
    </row>
    <row r="1891" spans="1:21" x14ac:dyDescent="0.35">
      <c r="A1891">
        <v>2025</v>
      </c>
      <c r="B1891" s="7" t="s">
        <v>95</v>
      </c>
      <c r="C1891" s="7" t="s">
        <v>131</v>
      </c>
      <c r="D1891">
        <v>202506</v>
      </c>
      <c r="E1891" s="3" t="s">
        <v>39</v>
      </c>
      <c r="F1891">
        <v>0</v>
      </c>
      <c r="G1891">
        <v>0</v>
      </c>
      <c r="H1891">
        <v>0</v>
      </c>
      <c r="I1891">
        <v>444.643957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16.448315000000001</v>
      </c>
      <c r="Q1891">
        <v>0</v>
      </c>
      <c r="R1891">
        <v>0</v>
      </c>
      <c r="T1891" t="str">
        <f t="shared" si="98"/>
        <v>040130202506</v>
      </c>
      <c r="U1891">
        <f t="shared" si="99"/>
        <v>444.643957</v>
      </c>
    </row>
    <row r="1892" spans="1:21" x14ac:dyDescent="0.35">
      <c r="A1892">
        <v>2025</v>
      </c>
      <c r="B1892" s="7" t="s">
        <v>95</v>
      </c>
      <c r="C1892" s="7" t="s">
        <v>131</v>
      </c>
      <c r="D1892">
        <v>202506</v>
      </c>
      <c r="E1892" s="3" t="s">
        <v>40</v>
      </c>
      <c r="F1892">
        <v>20.650123000000001</v>
      </c>
      <c r="G1892">
        <v>20.650123000000001</v>
      </c>
      <c r="H1892">
        <v>0</v>
      </c>
      <c r="I1892">
        <v>2.2350859999999999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T1892" t="str">
        <f t="shared" si="98"/>
        <v>040132202506</v>
      </c>
      <c r="U1892">
        <f t="shared" si="99"/>
        <v>22.885209</v>
      </c>
    </row>
    <row r="1893" spans="1:21" x14ac:dyDescent="0.35">
      <c r="A1893">
        <v>2025</v>
      </c>
      <c r="B1893" s="7" t="s">
        <v>95</v>
      </c>
      <c r="C1893" s="7" t="s">
        <v>131</v>
      </c>
      <c r="D1893">
        <v>202506</v>
      </c>
      <c r="E1893" s="3" t="s">
        <v>41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T1893" t="str">
        <f t="shared" si="98"/>
        <v>040133202506</v>
      </c>
      <c r="U1893">
        <f t="shared" si="99"/>
        <v>0</v>
      </c>
    </row>
    <row r="1894" spans="1:21" x14ac:dyDescent="0.35">
      <c r="A1894">
        <v>2025</v>
      </c>
      <c r="B1894" s="7" t="s">
        <v>95</v>
      </c>
      <c r="C1894" s="7" t="s">
        <v>131</v>
      </c>
      <c r="D1894">
        <v>202506</v>
      </c>
      <c r="E1894" s="3" t="s">
        <v>42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T1894" t="str">
        <f t="shared" si="98"/>
        <v>040136202506</v>
      </c>
      <c r="U1894">
        <f t="shared" si="99"/>
        <v>0</v>
      </c>
    </row>
    <row r="1895" spans="1:21" x14ac:dyDescent="0.35">
      <c r="A1895">
        <v>2025</v>
      </c>
      <c r="B1895" s="7" t="s">
        <v>95</v>
      </c>
      <c r="C1895" s="7" t="s">
        <v>131</v>
      </c>
      <c r="D1895">
        <v>202506</v>
      </c>
      <c r="E1895" s="3" t="s">
        <v>43</v>
      </c>
      <c r="F1895">
        <v>0</v>
      </c>
      <c r="G1895">
        <v>0</v>
      </c>
      <c r="H1895">
        <v>0</v>
      </c>
      <c r="I1895">
        <v>7.2754393099999994</v>
      </c>
      <c r="J1895">
        <v>0.86777243999999998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T1895" t="str">
        <f t="shared" si="98"/>
        <v>040137202506</v>
      </c>
      <c r="U1895">
        <f t="shared" si="99"/>
        <v>8.143211749999999</v>
      </c>
    </row>
    <row r="1896" spans="1:21" x14ac:dyDescent="0.35">
      <c r="A1896">
        <v>2025</v>
      </c>
      <c r="B1896" s="7" t="s">
        <v>95</v>
      </c>
      <c r="C1896" s="7" t="s">
        <v>131</v>
      </c>
      <c r="D1896">
        <v>202506</v>
      </c>
      <c r="E1896" s="3" t="s">
        <v>44</v>
      </c>
      <c r="F1896">
        <v>0</v>
      </c>
      <c r="G1896">
        <v>0</v>
      </c>
      <c r="H1896">
        <v>0</v>
      </c>
      <c r="I1896">
        <v>11.925132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T1896" t="str">
        <f t="shared" si="98"/>
        <v>040138202506</v>
      </c>
      <c r="U1896">
        <f t="shared" si="99"/>
        <v>11.925132</v>
      </c>
    </row>
    <row r="1897" spans="1:21" x14ac:dyDescent="0.35">
      <c r="A1897">
        <v>2025</v>
      </c>
      <c r="B1897" s="7" t="s">
        <v>95</v>
      </c>
      <c r="C1897" s="7" t="s">
        <v>131</v>
      </c>
      <c r="D1897">
        <v>202506</v>
      </c>
      <c r="E1897" s="3" t="s">
        <v>45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T1897" t="str">
        <f t="shared" si="98"/>
        <v>040139202506</v>
      </c>
      <c r="U1897">
        <f t="shared" si="99"/>
        <v>0</v>
      </c>
    </row>
    <row r="1898" spans="1:21" x14ac:dyDescent="0.35">
      <c r="A1898">
        <v>2025</v>
      </c>
      <c r="B1898" s="7" t="s">
        <v>95</v>
      </c>
      <c r="C1898" s="7" t="s">
        <v>131</v>
      </c>
      <c r="D1898">
        <v>202506</v>
      </c>
      <c r="E1898" s="3" t="s">
        <v>46</v>
      </c>
      <c r="F1898">
        <v>0</v>
      </c>
      <c r="G1898">
        <v>0</v>
      </c>
      <c r="H1898">
        <v>0</v>
      </c>
      <c r="I1898">
        <v>23.139029000000001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T1898" t="str">
        <f t="shared" si="98"/>
        <v>040140202506</v>
      </c>
      <c r="U1898">
        <f t="shared" si="99"/>
        <v>23.139029000000001</v>
      </c>
    </row>
    <row r="1899" spans="1:21" x14ac:dyDescent="0.35">
      <c r="A1899">
        <v>2025</v>
      </c>
      <c r="B1899" s="7" t="s">
        <v>95</v>
      </c>
      <c r="C1899" s="7" t="s">
        <v>131</v>
      </c>
      <c r="D1899">
        <v>202506</v>
      </c>
      <c r="E1899" s="3" t="s">
        <v>47</v>
      </c>
      <c r="F1899">
        <v>0</v>
      </c>
      <c r="G1899">
        <v>0</v>
      </c>
      <c r="H1899">
        <v>0</v>
      </c>
      <c r="I1899">
        <v>0.101605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T1899" t="str">
        <f t="shared" si="98"/>
        <v>040141202506</v>
      </c>
      <c r="U1899">
        <f t="shared" si="99"/>
        <v>0.101605</v>
      </c>
    </row>
    <row r="1900" spans="1:21" x14ac:dyDescent="0.35">
      <c r="A1900">
        <v>2025</v>
      </c>
      <c r="B1900" s="7" t="s">
        <v>95</v>
      </c>
      <c r="C1900" s="7" t="s">
        <v>131</v>
      </c>
      <c r="D1900">
        <v>202506</v>
      </c>
      <c r="E1900" s="3" t="s">
        <v>48</v>
      </c>
      <c r="F1900">
        <v>2.6797932100000001</v>
      </c>
      <c r="G1900">
        <v>2.5250180699999998</v>
      </c>
      <c r="H1900">
        <v>0.15477514000000001</v>
      </c>
      <c r="I1900">
        <v>7.2586547000000001</v>
      </c>
      <c r="J1900">
        <v>0.31871846999999998</v>
      </c>
      <c r="K1900">
        <v>0</v>
      </c>
      <c r="L1900">
        <v>41.84175639</v>
      </c>
      <c r="M1900">
        <v>20.481768779999999</v>
      </c>
      <c r="N1900">
        <v>21.359987610000001</v>
      </c>
      <c r="O1900">
        <v>0</v>
      </c>
      <c r="P1900">
        <v>10.58818602</v>
      </c>
      <c r="Q1900">
        <v>1.2960000000000001E-5</v>
      </c>
      <c r="R1900">
        <v>0</v>
      </c>
      <c r="T1900" t="str">
        <f t="shared" si="98"/>
        <v>040143202506</v>
      </c>
      <c r="U1900">
        <f t="shared" si="99"/>
        <v>10.257166380000001</v>
      </c>
    </row>
    <row r="1901" spans="1:21" x14ac:dyDescent="0.35">
      <c r="A1901">
        <v>2025</v>
      </c>
      <c r="B1901" s="7" t="s">
        <v>95</v>
      </c>
      <c r="C1901" s="7" t="s">
        <v>131</v>
      </c>
      <c r="D1901">
        <v>202506</v>
      </c>
      <c r="E1901" s="3" t="s">
        <v>49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T1901" t="str">
        <f t="shared" si="98"/>
        <v>040145202506</v>
      </c>
      <c r="U1901">
        <f t="shared" si="99"/>
        <v>0</v>
      </c>
    </row>
    <row r="1902" spans="1:21" x14ac:dyDescent="0.35">
      <c r="A1902">
        <v>2025</v>
      </c>
      <c r="B1902" s="7" t="s">
        <v>95</v>
      </c>
      <c r="C1902" s="7" t="s">
        <v>131</v>
      </c>
      <c r="D1902">
        <v>202506</v>
      </c>
      <c r="E1902" s="3" t="s">
        <v>50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T1902" t="str">
        <f t="shared" si="98"/>
        <v>040147202506</v>
      </c>
      <c r="U1902">
        <f t="shared" si="99"/>
        <v>0</v>
      </c>
    </row>
    <row r="1903" spans="1:21" x14ac:dyDescent="0.35">
      <c r="A1903">
        <v>2025</v>
      </c>
      <c r="B1903" s="7" t="s">
        <v>95</v>
      </c>
      <c r="C1903" s="7" t="s">
        <v>131</v>
      </c>
      <c r="D1903">
        <v>202506</v>
      </c>
      <c r="E1903" s="3" t="s">
        <v>51</v>
      </c>
      <c r="F1903">
        <v>0</v>
      </c>
      <c r="G1903">
        <v>0</v>
      </c>
      <c r="H1903">
        <v>0</v>
      </c>
      <c r="I1903">
        <v>7.9493099999999997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9.8875000000000005E-2</v>
      </c>
      <c r="Q1903">
        <v>0</v>
      </c>
      <c r="R1903">
        <v>0</v>
      </c>
      <c r="T1903" t="str">
        <f t="shared" si="98"/>
        <v>040149202506</v>
      </c>
      <c r="U1903">
        <f t="shared" si="99"/>
        <v>7.9493099999999997</v>
      </c>
    </row>
    <row r="1904" spans="1:21" x14ac:dyDescent="0.35">
      <c r="A1904">
        <v>2025</v>
      </c>
      <c r="B1904" s="7" t="s">
        <v>95</v>
      </c>
      <c r="C1904" s="7" t="s">
        <v>131</v>
      </c>
      <c r="D1904">
        <v>202506</v>
      </c>
      <c r="E1904" s="3" t="s">
        <v>52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2.0935799999999998E-3</v>
      </c>
      <c r="M1904">
        <v>2.0935799999999998E-3</v>
      </c>
      <c r="N1904">
        <v>0</v>
      </c>
      <c r="O1904">
        <v>0</v>
      </c>
      <c r="P1904">
        <v>0</v>
      </c>
      <c r="Q1904">
        <v>0</v>
      </c>
      <c r="R1904">
        <v>0</v>
      </c>
      <c r="T1904" t="str">
        <f t="shared" si="98"/>
        <v>040150202506</v>
      </c>
      <c r="U1904">
        <f t="shared" si="99"/>
        <v>0</v>
      </c>
    </row>
    <row r="1905" spans="1:21" x14ac:dyDescent="0.35">
      <c r="A1905">
        <v>2025</v>
      </c>
      <c r="B1905" s="7" t="s">
        <v>95</v>
      </c>
      <c r="C1905" s="7" t="s">
        <v>131</v>
      </c>
      <c r="D1905">
        <v>202506</v>
      </c>
      <c r="E1905" s="3" t="s">
        <v>53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T1905" t="str">
        <f t="shared" si="98"/>
        <v>040151202506</v>
      </c>
      <c r="U1905">
        <f t="shared" si="99"/>
        <v>0</v>
      </c>
    </row>
    <row r="1906" spans="1:21" x14ac:dyDescent="0.35">
      <c r="A1906">
        <v>2025</v>
      </c>
      <c r="B1906" s="7" t="s">
        <v>95</v>
      </c>
      <c r="C1906" s="7" t="s">
        <v>131</v>
      </c>
      <c r="D1906">
        <v>202506</v>
      </c>
      <c r="E1906" s="3" t="s">
        <v>54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T1906" t="str">
        <f t="shared" ref="T1906:T1961" si="100">+E1906&amp;D1906</f>
        <v>040152202506</v>
      </c>
      <c r="U1906">
        <f t="shared" ref="U1906:U1961" si="101">+F1906+I1906+J1906</f>
        <v>0</v>
      </c>
    </row>
    <row r="1907" spans="1:21" x14ac:dyDescent="0.35">
      <c r="A1907">
        <v>2025</v>
      </c>
      <c r="B1907" s="7" t="s">
        <v>95</v>
      </c>
      <c r="C1907" s="7" t="s">
        <v>131</v>
      </c>
      <c r="D1907">
        <v>202506</v>
      </c>
      <c r="E1907" s="3" t="s">
        <v>55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0.36466920000000003</v>
      </c>
      <c r="M1907">
        <v>0.36466920000000003</v>
      </c>
      <c r="N1907">
        <v>0</v>
      </c>
      <c r="O1907">
        <v>0</v>
      </c>
      <c r="P1907">
        <v>0</v>
      </c>
      <c r="Q1907">
        <v>0</v>
      </c>
      <c r="R1907">
        <v>0</v>
      </c>
      <c r="T1907" t="str">
        <f t="shared" si="100"/>
        <v>040154202506</v>
      </c>
      <c r="U1907">
        <f t="shared" si="101"/>
        <v>0</v>
      </c>
    </row>
    <row r="1908" spans="1:21" x14ac:dyDescent="0.35">
      <c r="A1908">
        <v>2025</v>
      </c>
      <c r="B1908" s="7" t="s">
        <v>95</v>
      </c>
      <c r="C1908" s="7" t="s">
        <v>131</v>
      </c>
      <c r="D1908">
        <v>202506</v>
      </c>
      <c r="E1908" s="3" t="s">
        <v>56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T1908" t="str">
        <f t="shared" si="100"/>
        <v>040155202506</v>
      </c>
      <c r="U1908">
        <f t="shared" si="101"/>
        <v>0</v>
      </c>
    </row>
    <row r="1909" spans="1:21" x14ac:dyDescent="0.35">
      <c r="A1909">
        <v>2025</v>
      </c>
      <c r="B1909" s="7" t="s">
        <v>95</v>
      </c>
      <c r="C1909" s="7" t="s">
        <v>131</v>
      </c>
      <c r="D1909">
        <v>202506</v>
      </c>
      <c r="E1909" s="3" t="s">
        <v>57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T1909" t="str">
        <f t="shared" si="100"/>
        <v>040156202506</v>
      </c>
      <c r="U1909">
        <f t="shared" si="101"/>
        <v>0</v>
      </c>
    </row>
    <row r="1910" spans="1:21" x14ac:dyDescent="0.35">
      <c r="A1910">
        <v>2025</v>
      </c>
      <c r="B1910" s="7" t="s">
        <v>95</v>
      </c>
      <c r="C1910" s="7" t="s">
        <v>131</v>
      </c>
      <c r="D1910">
        <v>202506</v>
      </c>
      <c r="E1910" s="3" t="s">
        <v>58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T1910" t="str">
        <f t="shared" si="100"/>
        <v>040157202506</v>
      </c>
      <c r="U1910">
        <f t="shared" si="101"/>
        <v>0</v>
      </c>
    </row>
    <row r="1911" spans="1:21" x14ac:dyDescent="0.35">
      <c r="A1911">
        <v>2025</v>
      </c>
      <c r="B1911" s="7" t="s">
        <v>95</v>
      </c>
      <c r="C1911" s="7" t="s">
        <v>131</v>
      </c>
      <c r="D1911">
        <v>202506</v>
      </c>
      <c r="E1911" s="3" t="s">
        <v>59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T1911" t="str">
        <f t="shared" si="100"/>
        <v>040158202506</v>
      </c>
      <c r="U1911">
        <f t="shared" si="101"/>
        <v>0</v>
      </c>
    </row>
    <row r="1912" spans="1:21" x14ac:dyDescent="0.35">
      <c r="A1912">
        <v>2025</v>
      </c>
      <c r="B1912" s="7" t="s">
        <v>95</v>
      </c>
      <c r="C1912" s="7" t="s">
        <v>131</v>
      </c>
      <c r="D1912">
        <v>202506</v>
      </c>
      <c r="E1912" s="3" t="s">
        <v>60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T1912" t="str">
        <f t="shared" si="100"/>
        <v>040159202506</v>
      </c>
      <c r="U1912">
        <f t="shared" si="101"/>
        <v>0</v>
      </c>
    </row>
    <row r="1913" spans="1:21" x14ac:dyDescent="0.35">
      <c r="A1913">
        <v>2025</v>
      </c>
      <c r="B1913" s="7" t="s">
        <v>95</v>
      </c>
      <c r="C1913" s="7" t="s">
        <v>131</v>
      </c>
      <c r="D1913">
        <v>202506</v>
      </c>
      <c r="E1913" s="3" t="s">
        <v>63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T1913" t="str">
        <f t="shared" si="100"/>
        <v>040160202506</v>
      </c>
      <c r="U1913">
        <f t="shared" si="101"/>
        <v>0</v>
      </c>
    </row>
    <row r="1914" spans="1:21" x14ac:dyDescent="0.35">
      <c r="A1914">
        <v>2025</v>
      </c>
      <c r="B1914" s="7" t="s">
        <v>95</v>
      </c>
      <c r="C1914" s="7" t="s">
        <v>131</v>
      </c>
      <c r="D1914">
        <v>202506</v>
      </c>
      <c r="E1914" s="3" t="s">
        <v>61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T1914" t="str">
        <f t="shared" si="100"/>
        <v>040162202506</v>
      </c>
      <c r="U1914">
        <f t="shared" si="101"/>
        <v>0</v>
      </c>
    </row>
    <row r="1915" spans="1:21" x14ac:dyDescent="0.35">
      <c r="A1915">
        <v>2025</v>
      </c>
      <c r="B1915" s="7" t="s">
        <v>95</v>
      </c>
      <c r="C1915" s="7" t="s">
        <v>131</v>
      </c>
      <c r="D1915">
        <v>202506</v>
      </c>
      <c r="E1915" s="3" t="s">
        <v>114</v>
      </c>
      <c r="F1915">
        <v>0</v>
      </c>
      <c r="G1915">
        <v>0</v>
      </c>
      <c r="H1915">
        <v>0</v>
      </c>
      <c r="I1915">
        <v>2.1851011099999997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1.240219E-2</v>
      </c>
      <c r="Q1915">
        <v>0</v>
      </c>
      <c r="R1915">
        <v>0</v>
      </c>
      <c r="T1915" t="str">
        <f t="shared" si="100"/>
        <v>040165202506</v>
      </c>
      <c r="U1915">
        <f t="shared" si="101"/>
        <v>2.1851011099999997</v>
      </c>
    </row>
    <row r="1916" spans="1:21" x14ac:dyDescent="0.35">
      <c r="A1916">
        <v>2025</v>
      </c>
      <c r="B1916" s="7" t="s">
        <v>96</v>
      </c>
      <c r="C1916" s="7" t="s">
        <v>132</v>
      </c>
      <c r="D1916">
        <v>202507</v>
      </c>
      <c r="E1916" s="3">
        <v>5</v>
      </c>
      <c r="F1916">
        <v>1085.37813164</v>
      </c>
      <c r="G1916">
        <v>1078.72182625</v>
      </c>
      <c r="H1916">
        <v>5.7409163899999998</v>
      </c>
      <c r="I1916">
        <v>11444.575652540001</v>
      </c>
      <c r="J1916">
        <v>699.07825620000006</v>
      </c>
      <c r="K1916">
        <v>51.144296600000004</v>
      </c>
      <c r="L1916">
        <v>72.996402900000007</v>
      </c>
      <c r="M1916">
        <v>72.82426298</v>
      </c>
      <c r="N1916">
        <v>0</v>
      </c>
      <c r="O1916">
        <v>0.17213992</v>
      </c>
      <c r="P1916">
        <v>246.98405065</v>
      </c>
      <c r="Q1916">
        <v>92.535329750000002</v>
      </c>
      <c r="R1916">
        <v>0</v>
      </c>
      <c r="T1916" t="str">
        <f t="shared" si="100"/>
        <v>5202507</v>
      </c>
      <c r="U1916">
        <f t="shared" si="101"/>
        <v>13229.032040380001</v>
      </c>
    </row>
    <row r="1917" spans="1:21" x14ac:dyDescent="0.35">
      <c r="A1917">
        <v>2025</v>
      </c>
      <c r="B1917" s="7" t="s">
        <v>96</v>
      </c>
      <c r="C1917" s="7" t="s">
        <v>132</v>
      </c>
      <c r="D1917">
        <v>202507</v>
      </c>
      <c r="E1917" s="3" t="s">
        <v>19</v>
      </c>
      <c r="F1917">
        <v>90.007331900000011</v>
      </c>
      <c r="G1917">
        <v>90.007331900000011</v>
      </c>
      <c r="H1917">
        <v>0</v>
      </c>
      <c r="I1917">
        <v>464.26950425999996</v>
      </c>
      <c r="J1917">
        <v>60.752623729999996</v>
      </c>
      <c r="K1917">
        <v>51.144296600000004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T1917" t="str">
        <f t="shared" si="100"/>
        <v>040002202507</v>
      </c>
      <c r="U1917">
        <f t="shared" si="101"/>
        <v>615.02945989</v>
      </c>
    </row>
    <row r="1918" spans="1:21" x14ac:dyDescent="0.35">
      <c r="A1918">
        <v>2025</v>
      </c>
      <c r="B1918" s="7" t="s">
        <v>96</v>
      </c>
      <c r="C1918" s="7" t="s">
        <v>132</v>
      </c>
      <c r="D1918">
        <v>202507</v>
      </c>
      <c r="E1918" s="3" t="s">
        <v>20</v>
      </c>
      <c r="F1918">
        <v>343.83680800000002</v>
      </c>
      <c r="G1918">
        <v>343.83680800000002</v>
      </c>
      <c r="H1918">
        <v>0</v>
      </c>
      <c r="I1918">
        <v>4258.2067100000004</v>
      </c>
      <c r="J1918">
        <v>162.97780499999999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T1918" t="str">
        <f t="shared" si="100"/>
        <v>040012202507</v>
      </c>
      <c r="U1918">
        <f t="shared" si="101"/>
        <v>4765.0213230000008</v>
      </c>
    </row>
    <row r="1919" spans="1:21" x14ac:dyDescent="0.35">
      <c r="A1919">
        <v>2025</v>
      </c>
      <c r="B1919" s="7" t="s">
        <v>96</v>
      </c>
      <c r="C1919" s="7" t="s">
        <v>132</v>
      </c>
      <c r="D1919">
        <v>202507</v>
      </c>
      <c r="E1919" s="3" t="s">
        <v>21</v>
      </c>
      <c r="F1919">
        <v>361.359781</v>
      </c>
      <c r="G1919">
        <v>361.359781</v>
      </c>
      <c r="H1919">
        <v>0</v>
      </c>
      <c r="I1919">
        <v>1803.22883</v>
      </c>
      <c r="J1919">
        <v>104.942268</v>
      </c>
      <c r="K1919">
        <v>0</v>
      </c>
      <c r="L1919">
        <v>33.28463</v>
      </c>
      <c r="M1919">
        <v>33.28463</v>
      </c>
      <c r="N1919">
        <v>0</v>
      </c>
      <c r="O1919">
        <v>0</v>
      </c>
      <c r="P1919">
        <v>41.334667000000003</v>
      </c>
      <c r="Q1919">
        <v>17.474626000000001</v>
      </c>
      <c r="R1919">
        <v>0</v>
      </c>
      <c r="T1919" t="str">
        <f t="shared" si="100"/>
        <v>040014202507</v>
      </c>
      <c r="U1919">
        <f t="shared" si="101"/>
        <v>2269.5308789999999</v>
      </c>
    </row>
    <row r="1920" spans="1:21" x14ac:dyDescent="0.35">
      <c r="A1920">
        <v>2025</v>
      </c>
      <c r="B1920" s="7" t="s">
        <v>96</v>
      </c>
      <c r="C1920" s="7" t="s">
        <v>132</v>
      </c>
      <c r="D1920">
        <v>202507</v>
      </c>
      <c r="E1920" s="3" t="s">
        <v>22</v>
      </c>
      <c r="F1920">
        <v>57.14714</v>
      </c>
      <c r="G1920">
        <v>54.540961000000003</v>
      </c>
      <c r="H1920">
        <v>2.606179</v>
      </c>
      <c r="I1920">
        <v>1065.544091</v>
      </c>
      <c r="J1920">
        <v>32.482725000000002</v>
      </c>
      <c r="K1920">
        <v>0</v>
      </c>
      <c r="L1920">
        <v>6.8564629999999998</v>
      </c>
      <c r="M1920">
        <v>6.8564629999999998</v>
      </c>
      <c r="N1920">
        <v>0</v>
      </c>
      <c r="O1920">
        <v>0</v>
      </c>
      <c r="P1920">
        <v>61.792127999999998</v>
      </c>
      <c r="Q1920">
        <v>20.131584</v>
      </c>
      <c r="R1920">
        <v>0</v>
      </c>
      <c r="T1920" t="str">
        <f t="shared" si="100"/>
        <v>040021202507</v>
      </c>
      <c r="U1920">
        <f t="shared" si="101"/>
        <v>1155.1739560000001</v>
      </c>
    </row>
    <row r="1921" spans="1:21" x14ac:dyDescent="0.35">
      <c r="A1921">
        <v>2025</v>
      </c>
      <c r="B1921" s="7" t="s">
        <v>96</v>
      </c>
      <c r="C1921" s="7" t="s">
        <v>132</v>
      </c>
      <c r="D1921">
        <v>202507</v>
      </c>
      <c r="E1921" s="3" t="s">
        <v>23</v>
      </c>
      <c r="F1921">
        <v>35.615244189999999</v>
      </c>
      <c r="G1921">
        <v>35.615244189999999</v>
      </c>
      <c r="H1921">
        <v>0</v>
      </c>
      <c r="I1921">
        <v>72.968361329999993</v>
      </c>
      <c r="J1921">
        <v>3.0440953099999999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0.22178376999999999</v>
      </c>
      <c r="R1921">
        <v>0</v>
      </c>
      <c r="T1921" t="str">
        <f t="shared" si="100"/>
        <v>040030202507</v>
      </c>
      <c r="U1921">
        <f t="shared" si="101"/>
        <v>111.62770082999999</v>
      </c>
    </row>
    <row r="1922" spans="1:21" x14ac:dyDescent="0.35">
      <c r="A1922">
        <v>2025</v>
      </c>
      <c r="B1922" s="7" t="s">
        <v>96</v>
      </c>
      <c r="C1922" s="7" t="s">
        <v>132</v>
      </c>
      <c r="D1922">
        <v>202507</v>
      </c>
      <c r="E1922" s="3" t="s">
        <v>24</v>
      </c>
      <c r="F1922">
        <v>0</v>
      </c>
      <c r="G1922">
        <v>0</v>
      </c>
      <c r="H1922">
        <v>0</v>
      </c>
      <c r="I1922">
        <v>10.948793</v>
      </c>
      <c r="J1922">
        <v>7.9410000000000001E-3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T1922" t="str">
        <f t="shared" si="100"/>
        <v>040036202507</v>
      </c>
      <c r="U1922">
        <f t="shared" si="101"/>
        <v>10.956734000000001</v>
      </c>
    </row>
    <row r="1923" spans="1:21" x14ac:dyDescent="0.35">
      <c r="A1923">
        <v>2025</v>
      </c>
      <c r="B1923" s="7" t="s">
        <v>96</v>
      </c>
      <c r="C1923" s="7" t="s">
        <v>132</v>
      </c>
      <c r="D1923">
        <v>202507</v>
      </c>
      <c r="E1923" s="3" t="s">
        <v>25</v>
      </c>
      <c r="F1923">
        <v>51.481850999999999</v>
      </c>
      <c r="G1923">
        <v>51.481850999999999</v>
      </c>
      <c r="H1923">
        <v>0</v>
      </c>
      <c r="I1923">
        <v>0.77430299999999996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T1923" t="str">
        <f t="shared" si="100"/>
        <v>040042202507</v>
      </c>
      <c r="U1923">
        <f t="shared" si="101"/>
        <v>52.256154000000002</v>
      </c>
    </row>
    <row r="1924" spans="1:21" x14ac:dyDescent="0.35">
      <c r="A1924">
        <v>2025</v>
      </c>
      <c r="B1924" s="7" t="s">
        <v>96</v>
      </c>
      <c r="C1924" s="7" t="s">
        <v>132</v>
      </c>
      <c r="D1924">
        <v>202507</v>
      </c>
      <c r="E1924" s="3" t="s">
        <v>26</v>
      </c>
      <c r="F1924">
        <v>1.8124000000000001E-2</v>
      </c>
      <c r="G1924">
        <v>1.8124000000000001E-2</v>
      </c>
      <c r="H1924">
        <v>0</v>
      </c>
      <c r="I1924">
        <v>273.382497</v>
      </c>
      <c r="J1924">
        <v>163.845901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36.090460999999998</v>
      </c>
      <c r="Q1924">
        <v>37.510523999999997</v>
      </c>
      <c r="R1924">
        <v>0</v>
      </c>
      <c r="T1924" t="str">
        <f t="shared" si="100"/>
        <v>040044202507</v>
      </c>
      <c r="U1924">
        <f t="shared" si="101"/>
        <v>437.24652200000003</v>
      </c>
    </row>
    <row r="1925" spans="1:21" x14ac:dyDescent="0.35">
      <c r="A1925">
        <v>2025</v>
      </c>
      <c r="B1925" s="7" t="s">
        <v>96</v>
      </c>
      <c r="C1925" s="7" t="s">
        <v>132</v>
      </c>
      <c r="D1925">
        <v>202507</v>
      </c>
      <c r="E1925" s="3" t="s">
        <v>27</v>
      </c>
      <c r="F1925">
        <v>7.5882482400000004</v>
      </c>
      <c r="G1925">
        <v>7.5882482400000004</v>
      </c>
      <c r="H1925">
        <v>0</v>
      </c>
      <c r="I1925">
        <v>70.675035319999992</v>
      </c>
      <c r="J1925">
        <v>1.5553417199999999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T1925" t="str">
        <f t="shared" si="100"/>
        <v>040058202507</v>
      </c>
      <c r="U1925">
        <f t="shared" si="101"/>
        <v>79.818625279999992</v>
      </c>
    </row>
    <row r="1926" spans="1:21" x14ac:dyDescent="0.35">
      <c r="A1926">
        <v>2025</v>
      </c>
      <c r="B1926" s="7" t="s">
        <v>96</v>
      </c>
      <c r="C1926" s="7" t="s">
        <v>132</v>
      </c>
      <c r="D1926">
        <v>202507</v>
      </c>
      <c r="E1926" s="3" t="s">
        <v>28</v>
      </c>
      <c r="F1926">
        <v>0</v>
      </c>
      <c r="G1926">
        <v>0</v>
      </c>
      <c r="H1926">
        <v>0</v>
      </c>
      <c r="I1926">
        <v>347.133895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T1926" t="str">
        <f t="shared" si="100"/>
        <v>040059202507</v>
      </c>
      <c r="U1926">
        <f t="shared" si="101"/>
        <v>347.133895</v>
      </c>
    </row>
    <row r="1927" spans="1:21" x14ac:dyDescent="0.35">
      <c r="A1927">
        <v>2025</v>
      </c>
      <c r="B1927" s="7" t="s">
        <v>96</v>
      </c>
      <c r="C1927" s="7" t="s">
        <v>132</v>
      </c>
      <c r="D1927">
        <v>202507</v>
      </c>
      <c r="E1927" s="3" t="s">
        <v>62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T1927" t="str">
        <f t="shared" si="100"/>
        <v>040060202507</v>
      </c>
      <c r="U1927">
        <f t="shared" si="101"/>
        <v>0</v>
      </c>
    </row>
    <row r="1928" spans="1:21" x14ac:dyDescent="0.35">
      <c r="A1928">
        <v>2025</v>
      </c>
      <c r="B1928" s="7" t="s">
        <v>96</v>
      </c>
      <c r="C1928" s="7" t="s">
        <v>132</v>
      </c>
      <c r="D1928">
        <v>202507</v>
      </c>
      <c r="E1928" s="3" t="s">
        <v>29</v>
      </c>
      <c r="F1928">
        <v>1.270365</v>
      </c>
      <c r="G1928">
        <v>1.270365</v>
      </c>
      <c r="H1928">
        <v>0</v>
      </c>
      <c r="I1928">
        <v>139.10426699999999</v>
      </c>
      <c r="J1928">
        <v>6.3668000000000002E-2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T1928" t="str">
        <f t="shared" si="100"/>
        <v>040062202507</v>
      </c>
      <c r="U1928">
        <f t="shared" si="101"/>
        <v>140.4383</v>
      </c>
    </row>
    <row r="1929" spans="1:21" x14ac:dyDescent="0.35">
      <c r="A1929">
        <v>2025</v>
      </c>
      <c r="B1929" s="7" t="s">
        <v>96</v>
      </c>
      <c r="C1929" s="7" t="s">
        <v>132</v>
      </c>
      <c r="D1929">
        <v>202507</v>
      </c>
      <c r="E1929" s="3" t="s">
        <v>30</v>
      </c>
      <c r="F1929">
        <v>124.24409803</v>
      </c>
      <c r="G1929">
        <v>124.24409803</v>
      </c>
      <c r="H1929">
        <v>0</v>
      </c>
      <c r="I1929">
        <v>1358.3127719500001</v>
      </c>
      <c r="J1929">
        <v>165.43170527000001</v>
      </c>
      <c r="K1929">
        <v>0</v>
      </c>
      <c r="L1929">
        <v>14.77891236</v>
      </c>
      <c r="M1929">
        <v>14.778784060000001</v>
      </c>
      <c r="N1929">
        <v>0</v>
      </c>
      <c r="O1929">
        <v>1.283E-4</v>
      </c>
      <c r="P1929">
        <v>85.033479540000002</v>
      </c>
      <c r="Q1929">
        <v>17.06877252</v>
      </c>
      <c r="R1929">
        <v>0</v>
      </c>
      <c r="T1929" t="str">
        <f t="shared" si="100"/>
        <v>040072202507</v>
      </c>
      <c r="U1929">
        <f t="shared" si="101"/>
        <v>1647.9885752500002</v>
      </c>
    </row>
    <row r="1930" spans="1:21" x14ac:dyDescent="0.35">
      <c r="A1930">
        <v>2025</v>
      </c>
      <c r="B1930" s="7" t="s">
        <v>96</v>
      </c>
      <c r="C1930" s="7" t="s">
        <v>132</v>
      </c>
      <c r="D1930">
        <v>202507</v>
      </c>
      <c r="E1930" s="3" t="s">
        <v>31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T1930" t="str">
        <f t="shared" si="100"/>
        <v>040106202507</v>
      </c>
      <c r="U1930">
        <f t="shared" si="101"/>
        <v>0</v>
      </c>
    </row>
    <row r="1931" spans="1:21" x14ac:dyDescent="0.35">
      <c r="A1931">
        <v>2025</v>
      </c>
      <c r="B1931" s="7" t="s">
        <v>96</v>
      </c>
      <c r="C1931" s="7" t="s">
        <v>132</v>
      </c>
      <c r="D1931">
        <v>202507</v>
      </c>
      <c r="E1931" s="3" t="s">
        <v>32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T1931" t="str">
        <f t="shared" si="100"/>
        <v>040108202507</v>
      </c>
      <c r="U1931">
        <f t="shared" si="101"/>
        <v>0</v>
      </c>
    </row>
    <row r="1932" spans="1:21" x14ac:dyDescent="0.35">
      <c r="A1932">
        <v>2025</v>
      </c>
      <c r="B1932" s="7" t="s">
        <v>96</v>
      </c>
      <c r="C1932" s="7" t="s">
        <v>132</v>
      </c>
      <c r="D1932">
        <v>202507</v>
      </c>
      <c r="E1932" s="3" t="s">
        <v>33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T1932" t="str">
        <f t="shared" si="100"/>
        <v>040110202507</v>
      </c>
      <c r="U1932">
        <f t="shared" si="101"/>
        <v>0</v>
      </c>
    </row>
    <row r="1933" spans="1:21" x14ac:dyDescent="0.35">
      <c r="A1933">
        <v>2025</v>
      </c>
      <c r="B1933" s="7" t="s">
        <v>96</v>
      </c>
      <c r="C1933" s="7" t="s">
        <v>132</v>
      </c>
      <c r="D1933">
        <v>202507</v>
      </c>
      <c r="E1933" s="3" t="s">
        <v>34</v>
      </c>
      <c r="F1933">
        <v>0.33131948999999999</v>
      </c>
      <c r="G1933">
        <v>0.33131948999999999</v>
      </c>
      <c r="H1933">
        <v>0</v>
      </c>
      <c r="I1933">
        <v>0</v>
      </c>
      <c r="J1933">
        <v>0</v>
      </c>
      <c r="K1933">
        <v>0</v>
      </c>
      <c r="L1933">
        <v>0.55548392000000002</v>
      </c>
      <c r="M1933">
        <v>0.38347229999999999</v>
      </c>
      <c r="N1933">
        <v>0</v>
      </c>
      <c r="O1933">
        <v>0.17201162</v>
      </c>
      <c r="P1933">
        <v>0</v>
      </c>
      <c r="Q1933">
        <v>0</v>
      </c>
      <c r="R1933">
        <v>0</v>
      </c>
      <c r="T1933" t="str">
        <f t="shared" si="100"/>
        <v>040112202507</v>
      </c>
      <c r="U1933">
        <f t="shared" si="101"/>
        <v>0.33131948999999999</v>
      </c>
    </row>
    <row r="1934" spans="1:21" x14ac:dyDescent="0.35">
      <c r="A1934">
        <v>2025</v>
      </c>
      <c r="B1934" s="7" t="s">
        <v>96</v>
      </c>
      <c r="C1934" s="7" t="s">
        <v>132</v>
      </c>
      <c r="D1934">
        <v>202507</v>
      </c>
      <c r="E1934" s="3" t="s">
        <v>35</v>
      </c>
      <c r="F1934">
        <v>0</v>
      </c>
      <c r="G1934">
        <v>0</v>
      </c>
      <c r="H1934">
        <v>0</v>
      </c>
      <c r="I1934">
        <v>0</v>
      </c>
      <c r="J1934">
        <v>1.1900379999999999</v>
      </c>
      <c r="K1934">
        <v>0</v>
      </c>
      <c r="L1934">
        <v>3.5999999999999997E-2</v>
      </c>
      <c r="M1934">
        <v>3.5999999999999997E-2</v>
      </c>
      <c r="N1934">
        <v>0</v>
      </c>
      <c r="O1934">
        <v>0</v>
      </c>
      <c r="P1934">
        <v>0</v>
      </c>
      <c r="Q1934">
        <v>0.12803899999999999</v>
      </c>
      <c r="R1934">
        <v>0</v>
      </c>
      <c r="T1934" t="str">
        <f t="shared" si="100"/>
        <v>040113202507</v>
      </c>
      <c r="U1934">
        <f t="shared" si="101"/>
        <v>1.1900379999999999</v>
      </c>
    </row>
    <row r="1935" spans="1:21" x14ac:dyDescent="0.35">
      <c r="A1935">
        <v>2025</v>
      </c>
      <c r="B1935" s="7" t="s">
        <v>96</v>
      </c>
      <c r="C1935" s="7" t="s">
        <v>132</v>
      </c>
      <c r="D1935">
        <v>202507</v>
      </c>
      <c r="E1935" s="3" t="s">
        <v>37</v>
      </c>
      <c r="F1935">
        <v>0</v>
      </c>
      <c r="G1935">
        <v>0</v>
      </c>
      <c r="H1935">
        <v>0</v>
      </c>
      <c r="I1935">
        <v>987.23470021000003</v>
      </c>
      <c r="J1935">
        <v>2.2155999999999999E-3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T1935" t="str">
        <f t="shared" si="100"/>
        <v>040127202507</v>
      </c>
      <c r="U1935">
        <f t="shared" si="101"/>
        <v>987.23691581000003</v>
      </c>
    </row>
    <row r="1936" spans="1:21" x14ac:dyDescent="0.35">
      <c r="A1936">
        <v>2025</v>
      </c>
      <c r="B1936" s="7" t="s">
        <v>96</v>
      </c>
      <c r="C1936" s="7" t="s">
        <v>132</v>
      </c>
      <c r="D1936">
        <v>202507</v>
      </c>
      <c r="E1936" s="3" t="s">
        <v>38</v>
      </c>
      <c r="F1936">
        <v>0</v>
      </c>
      <c r="G1936">
        <v>0</v>
      </c>
      <c r="H1936">
        <v>0</v>
      </c>
      <c r="I1936">
        <v>5.4233061900000008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T1936" t="str">
        <f t="shared" si="100"/>
        <v>040128202507</v>
      </c>
      <c r="U1936">
        <f t="shared" si="101"/>
        <v>5.4233061900000008</v>
      </c>
    </row>
    <row r="1937" spans="1:21" x14ac:dyDescent="0.35">
      <c r="A1937">
        <v>2025</v>
      </c>
      <c r="B1937" s="7" t="s">
        <v>96</v>
      </c>
      <c r="C1937" s="7" t="s">
        <v>132</v>
      </c>
      <c r="D1937">
        <v>202507</v>
      </c>
      <c r="E1937" s="3" t="s">
        <v>39</v>
      </c>
      <c r="F1937">
        <v>0</v>
      </c>
      <c r="G1937">
        <v>0</v>
      </c>
      <c r="H1937">
        <v>0</v>
      </c>
      <c r="I1937">
        <v>477.11250200000001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17.262924000000002</v>
      </c>
      <c r="Q1937">
        <v>0</v>
      </c>
      <c r="R1937">
        <v>0</v>
      </c>
      <c r="T1937" t="str">
        <f t="shared" si="100"/>
        <v>040130202507</v>
      </c>
      <c r="U1937">
        <f t="shared" si="101"/>
        <v>477.11250200000001</v>
      </c>
    </row>
    <row r="1938" spans="1:21" x14ac:dyDescent="0.35">
      <c r="A1938">
        <v>2025</v>
      </c>
      <c r="B1938" s="7" t="s">
        <v>96</v>
      </c>
      <c r="C1938" s="7" t="s">
        <v>132</v>
      </c>
      <c r="D1938">
        <v>202507</v>
      </c>
      <c r="E1938" s="3" t="s">
        <v>40</v>
      </c>
      <c r="F1938">
        <v>4.3683870000000002</v>
      </c>
      <c r="G1938">
        <v>4.3683870000000002</v>
      </c>
      <c r="H1938">
        <v>0</v>
      </c>
      <c r="I1938">
        <v>1.9000000000000001E-5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T1938" t="str">
        <f t="shared" si="100"/>
        <v>040132202507</v>
      </c>
      <c r="U1938">
        <f t="shared" si="101"/>
        <v>4.3684060000000002</v>
      </c>
    </row>
    <row r="1939" spans="1:21" x14ac:dyDescent="0.35">
      <c r="A1939">
        <v>2025</v>
      </c>
      <c r="B1939" s="7" t="s">
        <v>96</v>
      </c>
      <c r="C1939" s="7" t="s">
        <v>132</v>
      </c>
      <c r="D1939">
        <v>202507</v>
      </c>
      <c r="E1939" s="3" t="s">
        <v>41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T1939" t="str">
        <f t="shared" si="100"/>
        <v>040133202507</v>
      </c>
      <c r="U1939">
        <f t="shared" si="101"/>
        <v>0</v>
      </c>
    </row>
    <row r="1940" spans="1:21" x14ac:dyDescent="0.35">
      <c r="A1940">
        <v>2025</v>
      </c>
      <c r="B1940" s="7" t="s">
        <v>96</v>
      </c>
      <c r="C1940" s="7" t="s">
        <v>132</v>
      </c>
      <c r="D1940">
        <v>202507</v>
      </c>
      <c r="E1940" s="3" t="s">
        <v>42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T1940" t="str">
        <f t="shared" si="100"/>
        <v>040136202507</v>
      </c>
      <c r="U1940">
        <f t="shared" si="101"/>
        <v>0</v>
      </c>
    </row>
    <row r="1941" spans="1:21" x14ac:dyDescent="0.35">
      <c r="A1941">
        <v>2025</v>
      </c>
      <c r="B1941" s="7" t="s">
        <v>96</v>
      </c>
      <c r="C1941" s="7" t="s">
        <v>132</v>
      </c>
      <c r="D1941">
        <v>202507</v>
      </c>
      <c r="E1941" s="3" t="s">
        <v>43</v>
      </c>
      <c r="F1941">
        <v>0</v>
      </c>
      <c r="G1941">
        <v>0</v>
      </c>
      <c r="H1941">
        <v>0</v>
      </c>
      <c r="I1941">
        <v>15.550975189999999</v>
      </c>
      <c r="J1941">
        <v>1.84065937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T1941" t="str">
        <f t="shared" si="100"/>
        <v>040137202507</v>
      </c>
      <c r="U1941">
        <f t="shared" si="101"/>
        <v>17.39163456</v>
      </c>
    </row>
    <row r="1942" spans="1:21" x14ac:dyDescent="0.35">
      <c r="A1942">
        <v>2025</v>
      </c>
      <c r="B1942" s="7" t="s">
        <v>96</v>
      </c>
      <c r="C1942" s="7" t="s">
        <v>132</v>
      </c>
      <c r="D1942">
        <v>202507</v>
      </c>
      <c r="E1942" s="3" t="s">
        <v>44</v>
      </c>
      <c r="F1942">
        <v>0</v>
      </c>
      <c r="G1942">
        <v>0</v>
      </c>
      <c r="H1942">
        <v>0</v>
      </c>
      <c r="I1942">
        <v>14.228571000000001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0.30593599999999999</v>
      </c>
      <c r="Q1942">
        <v>0</v>
      </c>
      <c r="R1942">
        <v>0</v>
      </c>
      <c r="T1942" t="str">
        <f t="shared" si="100"/>
        <v>040138202507</v>
      </c>
      <c r="U1942">
        <f t="shared" si="101"/>
        <v>14.228571000000001</v>
      </c>
    </row>
    <row r="1943" spans="1:21" x14ac:dyDescent="0.35">
      <c r="A1943">
        <v>2025</v>
      </c>
      <c r="B1943" s="7" t="s">
        <v>96</v>
      </c>
      <c r="C1943" s="7" t="s">
        <v>132</v>
      </c>
      <c r="D1943">
        <v>202507</v>
      </c>
      <c r="E1943" s="3" t="s">
        <v>45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T1943" t="str">
        <f t="shared" si="100"/>
        <v>040139202507</v>
      </c>
      <c r="U1943">
        <f t="shared" si="101"/>
        <v>0</v>
      </c>
    </row>
    <row r="1944" spans="1:21" x14ac:dyDescent="0.35">
      <c r="A1944">
        <v>2025</v>
      </c>
      <c r="B1944" s="7" t="s">
        <v>96</v>
      </c>
      <c r="C1944" s="7" t="s">
        <v>132</v>
      </c>
      <c r="D1944">
        <v>202507</v>
      </c>
      <c r="E1944" s="3" t="s">
        <v>46</v>
      </c>
      <c r="F1944">
        <v>0</v>
      </c>
      <c r="G1944">
        <v>0</v>
      </c>
      <c r="H1944">
        <v>0</v>
      </c>
      <c r="I1944">
        <v>44.451484999999998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T1944" t="str">
        <f t="shared" si="100"/>
        <v>040140202507</v>
      </c>
      <c r="U1944">
        <f t="shared" si="101"/>
        <v>44.451484999999998</v>
      </c>
    </row>
    <row r="1945" spans="1:21" x14ac:dyDescent="0.35">
      <c r="A1945">
        <v>2025</v>
      </c>
      <c r="B1945" s="7" t="s">
        <v>96</v>
      </c>
      <c r="C1945" s="7" t="s">
        <v>132</v>
      </c>
      <c r="D1945">
        <v>202507</v>
      </c>
      <c r="E1945" s="3" t="s">
        <v>47</v>
      </c>
      <c r="F1945">
        <v>0</v>
      </c>
      <c r="G1945">
        <v>0</v>
      </c>
      <c r="H1945">
        <v>0</v>
      </c>
      <c r="I1945">
        <v>17.491655999999999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T1945" t="str">
        <f t="shared" si="100"/>
        <v>040141202507</v>
      </c>
      <c r="U1945">
        <f t="shared" si="101"/>
        <v>17.491655999999999</v>
      </c>
    </row>
    <row r="1946" spans="1:21" x14ac:dyDescent="0.35">
      <c r="A1946">
        <v>2025</v>
      </c>
      <c r="B1946" s="7" t="s">
        <v>96</v>
      </c>
      <c r="C1946" s="7" t="s">
        <v>132</v>
      </c>
      <c r="D1946">
        <v>202507</v>
      </c>
      <c r="E1946" s="3" t="s">
        <v>48</v>
      </c>
      <c r="F1946">
        <v>8.1094337900000006</v>
      </c>
      <c r="G1946">
        <v>4.0593073999999998</v>
      </c>
      <c r="H1946">
        <v>3.1347373900000002</v>
      </c>
      <c r="I1946">
        <v>4.4282549699999993</v>
      </c>
      <c r="J1946">
        <v>0.94126919999999992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4.8773303399999994</v>
      </c>
      <c r="Q1946">
        <v>4.6000000000000004E-7</v>
      </c>
      <c r="R1946">
        <v>0</v>
      </c>
      <c r="T1946" t="str">
        <f t="shared" si="100"/>
        <v>040143202507</v>
      </c>
      <c r="U1946">
        <f t="shared" si="101"/>
        <v>13.478957960000001</v>
      </c>
    </row>
    <row r="1947" spans="1:21" x14ac:dyDescent="0.35">
      <c r="A1947">
        <v>2025</v>
      </c>
      <c r="B1947" s="7" t="s">
        <v>96</v>
      </c>
      <c r="C1947" s="7" t="s">
        <v>132</v>
      </c>
      <c r="D1947">
        <v>202507</v>
      </c>
      <c r="E1947" s="3" t="s">
        <v>49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T1947" t="str">
        <f t="shared" si="100"/>
        <v>040145202507</v>
      </c>
      <c r="U1947">
        <f t="shared" si="101"/>
        <v>0</v>
      </c>
    </row>
    <row r="1948" spans="1:21" x14ac:dyDescent="0.35">
      <c r="A1948">
        <v>2025</v>
      </c>
      <c r="B1948" s="7" t="s">
        <v>96</v>
      </c>
      <c r="C1948" s="7" t="s">
        <v>132</v>
      </c>
      <c r="D1948">
        <v>202507</v>
      </c>
      <c r="E1948" s="3" t="s">
        <v>50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T1948" t="str">
        <f t="shared" si="100"/>
        <v>040147202507</v>
      </c>
      <c r="U1948">
        <f t="shared" si="101"/>
        <v>0</v>
      </c>
    </row>
    <row r="1949" spans="1:21" x14ac:dyDescent="0.35">
      <c r="A1949">
        <v>2025</v>
      </c>
      <c r="B1949" s="7" t="s">
        <v>96</v>
      </c>
      <c r="C1949" s="7" t="s">
        <v>132</v>
      </c>
      <c r="D1949">
        <v>202507</v>
      </c>
      <c r="E1949" s="3" t="s">
        <v>51</v>
      </c>
      <c r="F1949">
        <v>0</v>
      </c>
      <c r="G1949">
        <v>0</v>
      </c>
      <c r="H1949">
        <v>0</v>
      </c>
      <c r="I1949">
        <v>11.204670999999999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2.4680000000000001E-3</v>
      </c>
      <c r="Q1949">
        <v>0</v>
      </c>
      <c r="R1949">
        <v>0</v>
      </c>
      <c r="T1949" t="str">
        <f t="shared" si="100"/>
        <v>040149202507</v>
      </c>
      <c r="U1949">
        <f t="shared" si="101"/>
        <v>11.204670999999999</v>
      </c>
    </row>
    <row r="1950" spans="1:21" x14ac:dyDescent="0.35">
      <c r="A1950">
        <v>2025</v>
      </c>
      <c r="B1950" s="7" t="s">
        <v>96</v>
      </c>
      <c r="C1950" s="7" t="s">
        <v>132</v>
      </c>
      <c r="D1950">
        <v>202507</v>
      </c>
      <c r="E1950" s="3" t="s">
        <v>52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17.028224820000002</v>
      </c>
      <c r="M1950">
        <v>17.028224820000002</v>
      </c>
      <c r="N1950">
        <v>0</v>
      </c>
      <c r="O1950">
        <v>0</v>
      </c>
      <c r="P1950">
        <v>0</v>
      </c>
      <c r="Q1950">
        <v>0</v>
      </c>
      <c r="R1950">
        <v>0</v>
      </c>
      <c r="T1950" t="str">
        <f t="shared" si="100"/>
        <v>040150202507</v>
      </c>
      <c r="U1950">
        <f t="shared" si="101"/>
        <v>0</v>
      </c>
    </row>
    <row r="1951" spans="1:21" x14ac:dyDescent="0.35">
      <c r="A1951">
        <v>2025</v>
      </c>
      <c r="B1951" s="7" t="s">
        <v>96</v>
      </c>
      <c r="C1951" s="7" t="s">
        <v>132</v>
      </c>
      <c r="D1951">
        <v>202507</v>
      </c>
      <c r="E1951" s="3" t="s">
        <v>53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T1951" t="str">
        <f t="shared" si="100"/>
        <v>040151202507</v>
      </c>
      <c r="U1951">
        <f t="shared" si="101"/>
        <v>0</v>
      </c>
    </row>
    <row r="1952" spans="1:21" x14ac:dyDescent="0.35">
      <c r="A1952">
        <v>2025</v>
      </c>
      <c r="B1952" s="7" t="s">
        <v>96</v>
      </c>
      <c r="C1952" s="7" t="s">
        <v>132</v>
      </c>
      <c r="D1952">
        <v>202507</v>
      </c>
      <c r="E1952" s="3" t="s">
        <v>54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T1952" t="str">
        <f t="shared" si="100"/>
        <v>040152202507</v>
      </c>
      <c r="U1952">
        <f t="shared" si="101"/>
        <v>0</v>
      </c>
    </row>
    <row r="1953" spans="1:21" x14ac:dyDescent="0.35">
      <c r="A1953">
        <v>2025</v>
      </c>
      <c r="B1953" s="7" t="s">
        <v>96</v>
      </c>
      <c r="C1953" s="7" t="s">
        <v>132</v>
      </c>
      <c r="D1953">
        <v>202507</v>
      </c>
      <c r="E1953" s="3" t="s">
        <v>55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0.45668880000000001</v>
      </c>
      <c r="M1953">
        <v>0.45668880000000001</v>
      </c>
      <c r="N1953">
        <v>0</v>
      </c>
      <c r="O1953">
        <v>0</v>
      </c>
      <c r="P1953">
        <v>0</v>
      </c>
      <c r="Q1953">
        <v>0</v>
      </c>
      <c r="R1953">
        <v>0</v>
      </c>
      <c r="T1953" t="str">
        <f t="shared" si="100"/>
        <v>040154202507</v>
      </c>
      <c r="U1953">
        <f t="shared" si="101"/>
        <v>0</v>
      </c>
    </row>
    <row r="1954" spans="1:21" x14ac:dyDescent="0.35">
      <c r="A1954">
        <v>2025</v>
      </c>
      <c r="B1954" s="7" t="s">
        <v>96</v>
      </c>
      <c r="C1954" s="7" t="s">
        <v>132</v>
      </c>
      <c r="D1954">
        <v>202507</v>
      </c>
      <c r="E1954" s="3" t="s">
        <v>56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T1954" t="str">
        <f t="shared" si="100"/>
        <v>040155202507</v>
      </c>
      <c r="U1954">
        <f t="shared" si="101"/>
        <v>0</v>
      </c>
    </row>
    <row r="1955" spans="1:21" x14ac:dyDescent="0.35">
      <c r="A1955">
        <v>2025</v>
      </c>
      <c r="B1955" s="7" t="s">
        <v>96</v>
      </c>
      <c r="C1955" s="7" t="s">
        <v>132</v>
      </c>
      <c r="D1955">
        <v>202507</v>
      </c>
      <c r="E1955" s="3" t="s">
        <v>57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T1955" t="str">
        <f t="shared" si="100"/>
        <v>040156202507</v>
      </c>
      <c r="U1955">
        <f t="shared" si="101"/>
        <v>0</v>
      </c>
    </row>
    <row r="1956" spans="1:21" x14ac:dyDescent="0.35">
      <c r="A1956">
        <v>2025</v>
      </c>
      <c r="B1956" s="7" t="s">
        <v>96</v>
      </c>
      <c r="C1956" s="7" t="s">
        <v>132</v>
      </c>
      <c r="D1956">
        <v>202507</v>
      </c>
      <c r="E1956" s="3" t="s">
        <v>58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T1956" t="str">
        <f t="shared" si="100"/>
        <v>040157202507</v>
      </c>
      <c r="U1956">
        <f t="shared" si="101"/>
        <v>0</v>
      </c>
    </row>
    <row r="1957" spans="1:21" x14ac:dyDescent="0.35">
      <c r="A1957">
        <v>2025</v>
      </c>
      <c r="B1957" s="7" t="s">
        <v>96</v>
      </c>
      <c r="C1957" s="7" t="s">
        <v>132</v>
      </c>
      <c r="D1957">
        <v>202507</v>
      </c>
      <c r="E1957" s="3" t="s">
        <v>59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T1957" t="str">
        <f t="shared" si="100"/>
        <v>040158202507</v>
      </c>
      <c r="U1957">
        <f t="shared" si="101"/>
        <v>0</v>
      </c>
    </row>
    <row r="1958" spans="1:21" x14ac:dyDescent="0.35">
      <c r="A1958">
        <v>2025</v>
      </c>
      <c r="B1958" s="7" t="s">
        <v>96</v>
      </c>
      <c r="C1958" s="7" t="s">
        <v>132</v>
      </c>
      <c r="D1958">
        <v>202507</v>
      </c>
      <c r="E1958" s="3" t="s">
        <v>60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T1958" t="str">
        <f t="shared" si="100"/>
        <v>040159202507</v>
      </c>
      <c r="U1958">
        <f t="shared" si="101"/>
        <v>0</v>
      </c>
    </row>
    <row r="1959" spans="1:21" x14ac:dyDescent="0.35">
      <c r="A1959">
        <v>2025</v>
      </c>
      <c r="B1959" s="7" t="s">
        <v>96</v>
      </c>
      <c r="C1959" s="7" t="s">
        <v>132</v>
      </c>
      <c r="D1959">
        <v>202507</v>
      </c>
      <c r="E1959" s="3" t="s">
        <v>63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T1959" t="str">
        <f t="shared" si="100"/>
        <v>040160202507</v>
      </c>
      <c r="U1959">
        <f t="shared" si="101"/>
        <v>0</v>
      </c>
    </row>
    <row r="1960" spans="1:21" x14ac:dyDescent="0.35">
      <c r="A1960">
        <v>2025</v>
      </c>
      <c r="B1960" s="7" t="s">
        <v>96</v>
      </c>
      <c r="C1960" s="7" t="s">
        <v>132</v>
      </c>
      <c r="D1960">
        <v>202507</v>
      </c>
      <c r="E1960" s="3" t="s">
        <v>61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T1960" t="str">
        <f t="shared" si="100"/>
        <v>040162202507</v>
      </c>
      <c r="U1960">
        <f t="shared" si="101"/>
        <v>0</v>
      </c>
    </row>
    <row r="1961" spans="1:21" x14ac:dyDescent="0.35">
      <c r="A1961">
        <v>2025</v>
      </c>
      <c r="B1961" s="7" t="s">
        <v>96</v>
      </c>
      <c r="C1961" s="7" t="s">
        <v>132</v>
      </c>
      <c r="D1961">
        <v>202507</v>
      </c>
      <c r="E1961" s="3" t="s">
        <v>114</v>
      </c>
      <c r="F1961">
        <v>0</v>
      </c>
      <c r="G1961">
        <v>0</v>
      </c>
      <c r="H1961">
        <v>0</v>
      </c>
      <c r="I1961">
        <v>2.9004531200000003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0.28465677</v>
      </c>
      <c r="Q1961">
        <v>0</v>
      </c>
      <c r="R1961">
        <v>0</v>
      </c>
      <c r="T1961" t="str">
        <f t="shared" si="100"/>
        <v>040165202507</v>
      </c>
      <c r="U1961">
        <f t="shared" si="101"/>
        <v>2.9004531200000003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ACUMULADO</vt:lpstr>
      <vt:lpstr>Sheet1</vt:lpstr>
      <vt:lpstr>Sheet2</vt:lpstr>
      <vt:lpstr>CASTIGOS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Cynthia Monserrat Diaz Rivas</cp:lastModifiedBy>
  <dcterms:created xsi:type="dcterms:W3CDTF">2023-01-25T23:10:59Z</dcterms:created>
  <dcterms:modified xsi:type="dcterms:W3CDTF">2025-09-16T17:09:40Z</dcterms:modified>
</cp:coreProperties>
</file>